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activeX/activeX1.xml" ContentType="application/vnd.ms-office.activeX+xml"/>
  <Override PartName="/xl/activeX/activeX2.xml" ContentType="application/vnd.ms-office.activeX+xml"/>
  <Override PartName="/xl/activeX/activeX3.xml" ContentType="application/vnd.ms-office.activeX+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1828" documentId="13_ncr:1_{46397EEA-9EE9-4AC1-A92D-DB0EEF65A2F4}" xr6:coauthVersionLast="47" xr6:coauthVersionMax="47" xr10:uidLastSave="{C51A1A1C-CEC5-4D86-88A8-0C997C5FF5E3}"/>
  <bookViews>
    <workbookView xWindow="-108" yWindow="-108" windowWidth="23256" windowHeight="14016" tabRatio="803" firstSheet="2" activeTab="5" xr2:uid="{00000000-000D-0000-FFFF-FFFF00000000}"/>
  </bookViews>
  <sheets>
    <sheet name="集計" sheetId="45" r:id="rId1"/>
    <sheet name="ST仕様書表紙" sheetId="32" r:id="rId2"/>
    <sheet name="改版履歴" sheetId="34" r:id="rId3"/>
    <sheet name="パッケージ系" sheetId="36" r:id="rId4"/>
    <sheet name="パッケージ系 (SS)" sheetId="42" r:id="rId5"/>
    <sheet name="パッケージ系 (PS)" sheetId="41" r:id="rId6"/>
    <sheet name="サーバ系" sheetId="33" r:id="rId7"/>
    <sheet name="Win10対応_POS" sheetId="37" r:id="rId8"/>
    <sheet name="Win10対応_SS" sheetId="39" r:id="rId9"/>
    <sheet name="Win10対応_PS" sheetId="40" r:id="rId10"/>
    <sheet name="Win10対応_フルセルフ" sheetId="43" r:id="rId11"/>
    <sheet name="Win10対応_キャッシュレス" sheetId="46" r:id="rId12"/>
    <sheet name="Win10対応_サーバ" sheetId="38" r:id="rId13"/>
    <sheet name="バーコード作成用" sheetId="44" r:id="rId14"/>
    <sheet name="SPS系" sheetId="35" r:id="rId15"/>
  </sheets>
  <externalReferences>
    <externalReference r:id="rId16"/>
    <externalReference r:id="rId17"/>
    <externalReference r:id="rId18"/>
    <externalReference r:id="rId19"/>
    <externalReference r:id="rId20"/>
    <externalReference r:id="rId21"/>
    <externalReference r:id="rId22"/>
    <externalReference r:id="rId23"/>
  </externalReferences>
  <definedNames>
    <definedName name="_1Nagaoka_障害一覧_発生_改修" localSheetId="14">#REF!</definedName>
    <definedName name="_2Nagaoka_障害一覧_発生_改修" localSheetId="7">#REF!</definedName>
    <definedName name="_2Nagaoka_障害一覧_発生_改修" localSheetId="9">#REF!</definedName>
    <definedName name="_2Nagaoka_障害一覧_発生_改修" localSheetId="8">#REF!</definedName>
    <definedName name="_2Nagaoka_障害一覧_発生_改修" localSheetId="11">#REF!</definedName>
    <definedName name="_2Nagaoka_障害一覧_発生_改修" localSheetId="12">#REF!</definedName>
    <definedName name="_2Nagaoka_障害一覧_発生_改修" localSheetId="10">#REF!</definedName>
    <definedName name="_2Nagaoka_障害一覧_発生_改修" localSheetId="3">#REF!</definedName>
    <definedName name="_2Nagaoka_障害一覧_発生_改修" localSheetId="5">#REF!</definedName>
    <definedName name="_2Nagaoka_障害一覧_発生_改修" localSheetId="4">#REF!</definedName>
    <definedName name="_3Nagaoka_障害一覧_発生_改修">#REF!</definedName>
    <definedName name="_ctb１">'[1]現行DB一覧2(CT)'!$A$2:$E$220</definedName>
    <definedName name="_xlnm._FilterDatabase" localSheetId="14" hidden="1">SPS系!$A$3:$Y$131</definedName>
    <definedName name="_xlnm._FilterDatabase" localSheetId="7" hidden="1">Win10対応_POS!$A$1:$V$96</definedName>
    <definedName name="_xlnm._FilterDatabase" localSheetId="9" hidden="1">Win10対応_PS!$A$1:$V$78</definedName>
    <definedName name="_xlnm._FilterDatabase" localSheetId="8" hidden="1">Win10対応_SS!$A$1:$V$78</definedName>
    <definedName name="_xlnm._FilterDatabase" localSheetId="11" hidden="1">Win10対応_キャッシュレス!$A$1:$V$79</definedName>
    <definedName name="_xlnm._FilterDatabase" localSheetId="12" hidden="1">Win10対応_サーバ!$A$3:$V$3</definedName>
    <definedName name="_xlnm._FilterDatabase" localSheetId="10" hidden="1">Win10対応_フルセルフ!$A$1:$V$79</definedName>
    <definedName name="_xlnm._FilterDatabase" localSheetId="6" hidden="1">サーバ系!$A$3:$BL$3</definedName>
    <definedName name="_xlnm._FilterDatabase" localSheetId="3" hidden="1">パッケージ系!$A$3:$V$3</definedName>
    <definedName name="_xlnm._FilterDatabase" localSheetId="5" hidden="1">'パッケージ系 (PS)'!$A$1:$V$111</definedName>
    <definedName name="_xlnm._FilterDatabase" localSheetId="4" hidden="1">'パッケージ系 (SS)'!$A$1:$V$111</definedName>
    <definedName name="_Key1" localSheetId="7" hidden="1">#REF!</definedName>
    <definedName name="_Key1" localSheetId="9" hidden="1">#REF!</definedName>
    <definedName name="_Key1" localSheetId="8" hidden="1">#REF!</definedName>
    <definedName name="_Key1" localSheetId="11" hidden="1">#REF!</definedName>
    <definedName name="_Key1" localSheetId="12" hidden="1">#REF!</definedName>
    <definedName name="_Key1" localSheetId="10" hidden="1">#REF!</definedName>
    <definedName name="_Key1" localSheetId="3" hidden="1">#REF!</definedName>
    <definedName name="_Key1" localSheetId="5" hidden="1">#REF!</definedName>
    <definedName name="_Key1" localSheetId="4" hidden="1">#REF!</definedName>
    <definedName name="_Key1" hidden="1">#REF!</definedName>
    <definedName name="_Order1" hidden="1">255</definedName>
    <definedName name="_Order2" hidden="1">0</definedName>
    <definedName name="_PFM2">[2]pfm002!$D$314:$D$316</definedName>
    <definedName name="_PFM21">[2]pfm002!$D$314:$D$316</definedName>
    <definedName name="_pfm3" localSheetId="14">#REF!</definedName>
    <definedName name="_pfm3" localSheetId="7">#REF!</definedName>
    <definedName name="_pfm3" localSheetId="9">#REF!</definedName>
    <definedName name="_pfm3" localSheetId="8">#REF!</definedName>
    <definedName name="_pfm3" localSheetId="11">#REF!</definedName>
    <definedName name="_pfm3" localSheetId="12">#REF!</definedName>
    <definedName name="_pfm3" localSheetId="10">#REF!</definedName>
    <definedName name="_pfm3" localSheetId="3">#REF!</definedName>
    <definedName name="_pfm3" localSheetId="5">#REF!</definedName>
    <definedName name="_pfm3" localSheetId="4">#REF!</definedName>
    <definedName name="_pfm3">#REF!</definedName>
    <definedName name="_Sort" localSheetId="7" hidden="1">#REF!</definedName>
    <definedName name="_Sort" localSheetId="9" hidden="1">#REF!</definedName>
    <definedName name="_Sort" localSheetId="8" hidden="1">#REF!</definedName>
    <definedName name="_Sort" localSheetId="11" hidden="1">#REF!</definedName>
    <definedName name="_Sort" localSheetId="12" hidden="1">#REF!</definedName>
    <definedName name="_Sort" localSheetId="10" hidden="1">#REF!</definedName>
    <definedName name="_Sort" localSheetId="3" hidden="1">#REF!</definedName>
    <definedName name="_Sort" localSheetId="5" hidden="1">#REF!</definedName>
    <definedName name="_Sort" localSheetId="4" hidden="1">#REF!</definedName>
    <definedName name="_Sort" hidden="1">#REF!</definedName>
    <definedName name="a">#REF!</definedName>
    <definedName name="AccessDatabase" hidden="1">"C:\Documents and Settings\kawana.OHSAKI\My Documents\作業中\ＤＢらいぶらり.mdb"</definedName>
    <definedName name="DISC_CLASS_LVL" localSheetId="7">[3]DISC_CLASS_LVL!#REF!</definedName>
    <definedName name="DISC_CLASS_LVL" localSheetId="9">[3]DISC_CLASS_LVL!#REF!</definedName>
    <definedName name="DISC_CLASS_LVL" localSheetId="8">[3]DISC_CLASS_LVL!#REF!</definedName>
    <definedName name="DISC_CLASS_LVL" localSheetId="11">[3]DISC_CLASS_LVL!#REF!</definedName>
    <definedName name="DISC_CLASS_LVL" localSheetId="12">[3]DISC_CLASS_LVL!#REF!</definedName>
    <definedName name="DISC_CLASS_LVL" localSheetId="10">[3]DISC_CLASS_LVL!#REF!</definedName>
    <definedName name="DISC_CLASS_LVL" localSheetId="3">[3]DISC_CLASS_LVL!#REF!</definedName>
    <definedName name="DISC_CLASS_LVL" localSheetId="5">[3]DISC_CLASS_LVL!#REF!</definedName>
    <definedName name="DISC_CLASS_LVL" localSheetId="4">[3]DISC_CLASS_LVL!#REF!</definedName>
    <definedName name="DISC_CLASS_LVL">[3]DISC_CLASS_LVL!#REF!</definedName>
    <definedName name="DISC_EXCEPTION" localSheetId="14">#REF!</definedName>
    <definedName name="DISC_EXCEPTION" localSheetId="7">#REF!</definedName>
    <definedName name="DISC_EXCEPTION" localSheetId="9">#REF!</definedName>
    <definedName name="DISC_EXCEPTION" localSheetId="8">#REF!</definedName>
    <definedName name="DISC_EXCEPTION" localSheetId="11">#REF!</definedName>
    <definedName name="DISC_EXCEPTION" localSheetId="12">#REF!</definedName>
    <definedName name="DISC_EXCEPTION" localSheetId="10">#REF!</definedName>
    <definedName name="DISC_EXCEPTION" localSheetId="3">#REF!</definedName>
    <definedName name="DISC_EXCEPTION" localSheetId="5">#REF!</definedName>
    <definedName name="DISC_EXCEPTION" localSheetId="4">#REF!</definedName>
    <definedName name="DISC_EXCEPTION">#REF!</definedName>
    <definedName name="DISC_STEP" localSheetId="14">#REF!</definedName>
    <definedName name="DISC_STEP" localSheetId="7">#REF!</definedName>
    <definedName name="DISC_STEP" localSheetId="9">#REF!</definedName>
    <definedName name="DISC_STEP" localSheetId="8">#REF!</definedName>
    <definedName name="DISC_STEP" localSheetId="11">#REF!</definedName>
    <definedName name="DISC_STEP" localSheetId="12">#REF!</definedName>
    <definedName name="DISC_STEP" localSheetId="10">#REF!</definedName>
    <definedName name="DISC_STEP" localSheetId="3">#REF!</definedName>
    <definedName name="DISC_STEP" localSheetId="5">#REF!</definedName>
    <definedName name="DISC_STEP" localSheetId="4">#REF!</definedName>
    <definedName name="DISC_STEP">#REF!</definedName>
    <definedName name="DISC_TARGET" localSheetId="14">#REF!</definedName>
    <definedName name="DISC_TARGET" localSheetId="7">#REF!</definedName>
    <definedName name="DISC_TARGET" localSheetId="9">#REF!</definedName>
    <definedName name="DISC_TARGET" localSheetId="8">#REF!</definedName>
    <definedName name="DISC_TARGET" localSheetId="11">#REF!</definedName>
    <definedName name="DISC_TARGET" localSheetId="12">#REF!</definedName>
    <definedName name="DISC_TARGET" localSheetId="10">#REF!</definedName>
    <definedName name="DISC_TARGET" localSheetId="3">#REF!</definedName>
    <definedName name="DISC_TARGET" localSheetId="5">#REF!</definedName>
    <definedName name="DISC_TARGET" localSheetId="4">#REF!</definedName>
    <definedName name="DISC_TARGET">#REF!</definedName>
    <definedName name="HTML_CodePage" hidden="1">932</definedName>
    <definedName name="HTML_Control" localSheetId="14" hidden="1">{"'表紙'!$A$1:$W$39"}</definedName>
    <definedName name="HTML_Control" localSheetId="7" hidden="1">{"'表紙'!$A$1:$W$39"}</definedName>
    <definedName name="HTML_Control" localSheetId="9" hidden="1">{"'表紙'!$A$1:$W$39"}</definedName>
    <definedName name="HTML_Control" localSheetId="8" hidden="1">{"'表紙'!$A$1:$W$39"}</definedName>
    <definedName name="HTML_Control" localSheetId="11" hidden="1">{"'表紙'!$A$1:$W$39"}</definedName>
    <definedName name="HTML_Control" localSheetId="12" hidden="1">{"'表紙'!$A$1:$W$39"}</definedName>
    <definedName name="HTML_Control" localSheetId="10" hidden="1">{"'表紙'!$A$1:$W$39"}</definedName>
    <definedName name="HTML_Control" localSheetId="3" hidden="1">{"'表紙'!$A$1:$W$39"}</definedName>
    <definedName name="HTML_Control" localSheetId="5" hidden="1">{"'表紙'!$A$1:$W$39"}</definedName>
    <definedName name="HTML_Control" localSheetId="4"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ITﾃｽﾄ基準" localSheetId="14">#REF!</definedName>
    <definedName name="ITﾃｽﾄ基準" localSheetId="7">#REF!</definedName>
    <definedName name="ITﾃｽﾄ基準" localSheetId="9">#REF!</definedName>
    <definedName name="ITﾃｽﾄ基準" localSheetId="8">#REF!</definedName>
    <definedName name="ITﾃｽﾄ基準" localSheetId="11">#REF!</definedName>
    <definedName name="ITﾃｽﾄ基準" localSheetId="12">#REF!</definedName>
    <definedName name="ITﾃｽﾄ基準" localSheetId="10">#REF!</definedName>
    <definedName name="ITﾃｽﾄ基準" localSheetId="3">#REF!</definedName>
    <definedName name="ITﾃｽﾄ基準" localSheetId="5">#REF!</definedName>
    <definedName name="ITﾃｽﾄ基準" localSheetId="4">#REF!</definedName>
    <definedName name="ITﾃｽﾄ基準">#REF!</definedName>
    <definedName name="ITﾃｽﾄ基準小計1">#REF!</definedName>
    <definedName name="ITﾃｽﾄ基準小計2">#REF!</definedName>
    <definedName name="ITﾃｽﾄ基準小計2ｺﾋﾟｰ">#REF!</definedName>
    <definedName name="ITﾃｽﾄ実績" localSheetId="14">#REF!</definedName>
    <definedName name="ITﾃｽﾄ実績" localSheetId="7">#REF!</definedName>
    <definedName name="ITﾃｽﾄ実績" localSheetId="9">#REF!</definedName>
    <definedName name="ITﾃｽﾄ実績" localSheetId="8">#REF!</definedName>
    <definedName name="ITﾃｽﾄ実績" localSheetId="11">#REF!</definedName>
    <definedName name="ITﾃｽﾄ実績" localSheetId="12">#REF!</definedName>
    <definedName name="ITﾃｽﾄ実績" localSheetId="10">#REF!</definedName>
    <definedName name="ITﾃｽﾄ実績" localSheetId="3">#REF!</definedName>
    <definedName name="ITﾃｽﾄ実績" localSheetId="5">#REF!</definedName>
    <definedName name="ITﾃｽﾄ実績" localSheetId="4">#REF!</definedName>
    <definedName name="ITﾃｽﾄ実績">#REF!</definedName>
    <definedName name="ITﾃｽﾄ実績小計1">#REF!</definedName>
    <definedName name="ＩＴﾃｽﾄ実績小計1ｺﾋﾟｰ">#REF!</definedName>
    <definedName name="ITﾃｽﾄ実績小計2">#REF!</definedName>
    <definedName name="IT障害基準" localSheetId="14">#REF!</definedName>
    <definedName name="IT障害基準" localSheetId="7">#REF!</definedName>
    <definedName name="IT障害基準" localSheetId="9">#REF!</definedName>
    <definedName name="IT障害基準" localSheetId="8">#REF!</definedName>
    <definedName name="IT障害基準" localSheetId="11">#REF!</definedName>
    <definedName name="IT障害基準" localSheetId="12">#REF!</definedName>
    <definedName name="IT障害基準" localSheetId="10">#REF!</definedName>
    <definedName name="IT障害基準" localSheetId="3">#REF!</definedName>
    <definedName name="IT障害基準" localSheetId="5">#REF!</definedName>
    <definedName name="IT障害基準" localSheetId="4">#REF!</definedName>
    <definedName name="IT障害基準">#REF!</definedName>
    <definedName name="IT障害基準小計1">#REF!</definedName>
    <definedName name="IT障害基準小計2">#REF!</definedName>
    <definedName name="IT障害実績" localSheetId="14">#REF!</definedName>
    <definedName name="IT障害実績" localSheetId="7">#REF!</definedName>
    <definedName name="IT障害実績" localSheetId="9">#REF!</definedName>
    <definedName name="IT障害実績" localSheetId="8">#REF!</definedName>
    <definedName name="IT障害実績" localSheetId="11">#REF!</definedName>
    <definedName name="IT障害実績" localSheetId="12">#REF!</definedName>
    <definedName name="IT障害実績" localSheetId="10">#REF!</definedName>
    <definedName name="IT障害実績" localSheetId="3">#REF!</definedName>
    <definedName name="IT障害実績" localSheetId="5">#REF!</definedName>
    <definedName name="IT障害実績" localSheetId="4">#REF!</definedName>
    <definedName name="IT障害実績">#REF!</definedName>
    <definedName name="IT障害実績小計1">#REF!</definedName>
    <definedName name="IT障害実績小計2">#REF!</definedName>
    <definedName name="ka" localSheetId="4" hidden="1">{"'表紙'!$A$1:$W$39"}</definedName>
    <definedName name="ka" hidden="1">{"'表紙'!$A$1:$W$39"}</definedName>
    <definedName name="pc">"グループ 260"</definedName>
    <definedName name="PGﾃｽﾄ基準" localSheetId="14">#REF!</definedName>
    <definedName name="PGﾃｽﾄ基準" localSheetId="7">#REF!</definedName>
    <definedName name="PGﾃｽﾄ基準" localSheetId="9">#REF!</definedName>
    <definedName name="PGﾃｽﾄ基準" localSheetId="8">#REF!</definedName>
    <definedName name="PGﾃｽﾄ基準" localSheetId="11">#REF!</definedName>
    <definedName name="PGﾃｽﾄ基準" localSheetId="12">#REF!</definedName>
    <definedName name="PGﾃｽﾄ基準" localSheetId="10">#REF!</definedName>
    <definedName name="PGﾃｽﾄ基準" localSheetId="3">#REF!</definedName>
    <definedName name="PGﾃｽﾄ基準" localSheetId="5">#REF!</definedName>
    <definedName name="PGﾃｽﾄ基準" localSheetId="4">#REF!</definedName>
    <definedName name="PGﾃｽﾄ基準">#REF!</definedName>
    <definedName name="PGﾃｽﾄ基準小計1">#REF!</definedName>
    <definedName name="PGﾃｽﾄ基準小計2">#REF!</definedName>
    <definedName name="PGﾃｽﾄ実績" localSheetId="14">#REF!</definedName>
    <definedName name="PGﾃｽﾄ実績" localSheetId="7">#REF!</definedName>
    <definedName name="PGﾃｽﾄ実績" localSheetId="9">#REF!</definedName>
    <definedName name="PGﾃｽﾄ実績" localSheetId="8">#REF!</definedName>
    <definedName name="PGﾃｽﾄ実績" localSheetId="11">#REF!</definedName>
    <definedName name="PGﾃｽﾄ実績" localSheetId="12">#REF!</definedName>
    <definedName name="PGﾃｽﾄ実績" localSheetId="10">#REF!</definedName>
    <definedName name="PGﾃｽﾄ実績" localSheetId="3">#REF!</definedName>
    <definedName name="PGﾃｽﾄ実績" localSheetId="5">#REF!</definedName>
    <definedName name="PGﾃｽﾄ実績" localSheetId="4">#REF!</definedName>
    <definedName name="PGﾃｽﾄ実績">#REF!</definedName>
    <definedName name="PGﾃｽﾄ実績小計1">#REF!</definedName>
    <definedName name="PGﾃｽﾄ実績小計2">#REF!</definedName>
    <definedName name="PG障害基準" localSheetId="14">#REF!</definedName>
    <definedName name="PG障害基準" localSheetId="7">#REF!</definedName>
    <definedName name="PG障害基準" localSheetId="9">#REF!</definedName>
    <definedName name="PG障害基準" localSheetId="8">#REF!</definedName>
    <definedName name="PG障害基準" localSheetId="11">#REF!</definedName>
    <definedName name="PG障害基準" localSheetId="12">#REF!</definedName>
    <definedName name="PG障害基準" localSheetId="10">#REF!</definedName>
    <definedName name="PG障害基準" localSheetId="3">#REF!</definedName>
    <definedName name="PG障害基準" localSheetId="5">#REF!</definedName>
    <definedName name="PG障害基準" localSheetId="4">#REF!</definedName>
    <definedName name="PG障害基準">#REF!</definedName>
    <definedName name="PG障害基準小計1">#REF!</definedName>
    <definedName name="PG障害基準小計2">#REF!</definedName>
    <definedName name="PG障害実績" localSheetId="14">#REF!</definedName>
    <definedName name="PG障害実績" localSheetId="7">#REF!</definedName>
    <definedName name="PG障害実績" localSheetId="9">#REF!</definedName>
    <definedName name="PG障害実績" localSheetId="8">#REF!</definedName>
    <definedName name="PG障害実績" localSheetId="11">#REF!</definedName>
    <definedName name="PG障害実績" localSheetId="12">#REF!</definedName>
    <definedName name="PG障害実績" localSheetId="10">#REF!</definedName>
    <definedName name="PG障害実績" localSheetId="3">#REF!</definedName>
    <definedName name="PG障害実績" localSheetId="5">#REF!</definedName>
    <definedName name="PG障害実績" localSheetId="4">#REF!</definedName>
    <definedName name="PG障害実績">#REF!</definedName>
    <definedName name="PG障害実績小計1">#REF!</definedName>
    <definedName name="PG障害実績小計2">#REF!</definedName>
    <definedName name="_xlnm.Print_Area" localSheetId="14">SPS系!$A$1:$Y$132</definedName>
    <definedName name="_xlnm.Print_Area" localSheetId="1">ST仕様書表紙!$A$1:$M$28</definedName>
    <definedName name="_xlnm.Print_Area" localSheetId="7">Win10対応_POS!$A$1:$V$96</definedName>
    <definedName name="_xlnm.Print_Area" localSheetId="9">Win10対応_PS!$A$1:$V$78</definedName>
    <definedName name="_xlnm.Print_Area" localSheetId="8">Win10対応_SS!$A$1:$V$78</definedName>
    <definedName name="_xlnm.Print_Area" localSheetId="11">Win10対応_キャッシュレス!$A$1:$V$79</definedName>
    <definedName name="_xlnm.Print_Area" localSheetId="12">Win10対応_サーバ!$A$1:$V$27</definedName>
    <definedName name="_xlnm.Print_Area" localSheetId="10">Win10対応_フルセルフ!$A$1:$V$79</definedName>
    <definedName name="_xlnm.Print_Area" localSheetId="6">サーバ系!$A$1:$X$74</definedName>
    <definedName name="_xlnm.Print_Area" localSheetId="3">パッケージ系!$A$1:$V$111</definedName>
    <definedName name="_xlnm.Print_Area" localSheetId="5">'パッケージ系 (PS)'!$A$1:$V$111</definedName>
    <definedName name="_xlnm.Print_Area" localSheetId="4">'パッケージ系 (SS)'!$A$1:$V$111</definedName>
    <definedName name="_xlnm.Print_Area" localSheetId="2">改版履歴!$A$1:$AR$45</definedName>
    <definedName name="_xlnm.Print_Area">#REF!</definedName>
    <definedName name="_xlnm.Print_Titles" localSheetId="14">SPS系!$1:$3</definedName>
    <definedName name="_xlnm.Print_Titles" localSheetId="6">サーバ系!$1:$3</definedName>
    <definedName name="PSﾃｽﾄ基準" localSheetId="14">#REF!</definedName>
    <definedName name="PSﾃｽﾄ基準" localSheetId="7">#REF!</definedName>
    <definedName name="PSﾃｽﾄ基準" localSheetId="9">#REF!</definedName>
    <definedName name="PSﾃｽﾄ基準" localSheetId="8">#REF!</definedName>
    <definedName name="PSﾃｽﾄ基準" localSheetId="11">#REF!</definedName>
    <definedName name="PSﾃｽﾄ基準" localSheetId="12">#REF!</definedName>
    <definedName name="PSﾃｽﾄ基準" localSheetId="10">#REF!</definedName>
    <definedName name="PSﾃｽﾄ基準" localSheetId="3">#REF!</definedName>
    <definedName name="PSﾃｽﾄ基準" localSheetId="5">#REF!</definedName>
    <definedName name="PSﾃｽﾄ基準" localSheetId="4">#REF!</definedName>
    <definedName name="PSﾃｽﾄ基準">#REF!</definedName>
    <definedName name="PSﾃｽﾄ基準小計1">#REF!</definedName>
    <definedName name="PSﾃｽﾄ基準小計2">#REF!</definedName>
    <definedName name="PSﾃｽﾄ実績" localSheetId="14">#REF!</definedName>
    <definedName name="PSﾃｽﾄ実績" localSheetId="7">#REF!</definedName>
    <definedName name="PSﾃｽﾄ実績" localSheetId="9">#REF!</definedName>
    <definedName name="PSﾃｽﾄ実績" localSheetId="8">#REF!</definedName>
    <definedName name="PSﾃｽﾄ実績" localSheetId="11">#REF!</definedName>
    <definedName name="PSﾃｽﾄ実績" localSheetId="12">#REF!</definedName>
    <definedName name="PSﾃｽﾄ実績" localSheetId="10">#REF!</definedName>
    <definedName name="PSﾃｽﾄ実績" localSheetId="3">#REF!</definedName>
    <definedName name="PSﾃｽﾄ実績" localSheetId="5">#REF!</definedName>
    <definedName name="PSﾃｽﾄ実績" localSheetId="4">#REF!</definedName>
    <definedName name="PSﾃｽﾄ実績">#REF!</definedName>
    <definedName name="PSﾃｽﾄ実績小計1">#REF!</definedName>
    <definedName name="PSﾃｽﾄ実績小計2">#REF!</definedName>
    <definedName name="PS障害基準" localSheetId="14">#REF!</definedName>
    <definedName name="PS障害基準" localSheetId="7">#REF!</definedName>
    <definedName name="PS障害基準" localSheetId="9">#REF!</definedName>
    <definedName name="PS障害基準" localSheetId="8">#REF!</definedName>
    <definedName name="PS障害基準" localSheetId="11">#REF!</definedName>
    <definedName name="PS障害基準" localSheetId="12">#REF!</definedName>
    <definedName name="PS障害基準" localSheetId="10">#REF!</definedName>
    <definedName name="PS障害基準" localSheetId="3">#REF!</definedName>
    <definedName name="PS障害基準" localSheetId="5">#REF!</definedName>
    <definedName name="PS障害基準" localSheetId="4">#REF!</definedName>
    <definedName name="PS障害基準">#REF!</definedName>
    <definedName name="PS障害基準小計1">#REF!</definedName>
    <definedName name="PS障害基準小計2">#REF!</definedName>
    <definedName name="PS障害実績" localSheetId="14">#REF!</definedName>
    <definedName name="PS障害実績" localSheetId="7">#REF!</definedName>
    <definedName name="PS障害実績" localSheetId="9">#REF!</definedName>
    <definedName name="PS障害実績" localSheetId="8">#REF!</definedName>
    <definedName name="PS障害実績" localSheetId="11">#REF!</definedName>
    <definedName name="PS障害実績" localSheetId="12">#REF!</definedName>
    <definedName name="PS障害実績" localSheetId="10">#REF!</definedName>
    <definedName name="PS障害実績" localSheetId="3">#REF!</definedName>
    <definedName name="PS障害実績" localSheetId="5">#REF!</definedName>
    <definedName name="PS障害実績" localSheetId="4">#REF!</definedName>
    <definedName name="PS障害実績">#REF!</definedName>
    <definedName name="PS障害実績小計1">#REF!</definedName>
    <definedName name="PS障害実績小計2">#REF!</definedName>
    <definedName name="PTﾃｽﾄ基準" localSheetId="14">#REF!</definedName>
    <definedName name="PTﾃｽﾄ基準" localSheetId="7">#REF!</definedName>
    <definedName name="PTﾃｽﾄ基準" localSheetId="9">#REF!</definedName>
    <definedName name="PTﾃｽﾄ基準" localSheetId="8">#REF!</definedName>
    <definedName name="PTﾃｽﾄ基準" localSheetId="11">#REF!</definedName>
    <definedName name="PTﾃｽﾄ基準" localSheetId="12">#REF!</definedName>
    <definedName name="PTﾃｽﾄ基準" localSheetId="10">#REF!</definedName>
    <definedName name="PTﾃｽﾄ基準" localSheetId="3">#REF!</definedName>
    <definedName name="PTﾃｽﾄ基準" localSheetId="5">#REF!</definedName>
    <definedName name="PTﾃｽﾄ基準" localSheetId="4">#REF!</definedName>
    <definedName name="PTﾃｽﾄ基準">#REF!</definedName>
    <definedName name="PTﾃｽﾄ基準小計1">#REF!</definedName>
    <definedName name="PTﾃｽﾄ基準小計2">#REF!</definedName>
    <definedName name="PTﾃｽﾄ実績" localSheetId="14">#REF!</definedName>
    <definedName name="PTﾃｽﾄ実績" localSheetId="7">#REF!</definedName>
    <definedName name="PTﾃｽﾄ実績" localSheetId="9">#REF!</definedName>
    <definedName name="PTﾃｽﾄ実績" localSheetId="8">#REF!</definedName>
    <definedName name="PTﾃｽﾄ実績" localSheetId="11">#REF!</definedName>
    <definedName name="PTﾃｽﾄ実績" localSheetId="12">#REF!</definedName>
    <definedName name="PTﾃｽﾄ実績" localSheetId="10">#REF!</definedName>
    <definedName name="PTﾃｽﾄ実績" localSheetId="3">#REF!</definedName>
    <definedName name="PTﾃｽﾄ実績" localSheetId="5">#REF!</definedName>
    <definedName name="PTﾃｽﾄ実績" localSheetId="4">#REF!</definedName>
    <definedName name="PTﾃｽﾄ実績">#REF!</definedName>
    <definedName name="PTﾃｽﾄ実績小計1">#REF!</definedName>
    <definedName name="PTﾃｽﾄ実績小計2">#REF!</definedName>
    <definedName name="PT障害基準" localSheetId="14">#REF!</definedName>
    <definedName name="PT障害基準" localSheetId="7">#REF!</definedName>
    <definedName name="PT障害基準" localSheetId="9">#REF!</definedName>
    <definedName name="PT障害基準" localSheetId="8">#REF!</definedName>
    <definedName name="PT障害基準" localSheetId="11">#REF!</definedName>
    <definedName name="PT障害基準" localSheetId="12">#REF!</definedName>
    <definedName name="PT障害基準" localSheetId="10">#REF!</definedName>
    <definedName name="PT障害基準" localSheetId="3">#REF!</definedName>
    <definedName name="PT障害基準" localSheetId="5">#REF!</definedName>
    <definedName name="PT障害基準" localSheetId="4">#REF!</definedName>
    <definedName name="PT障害基準">#REF!</definedName>
    <definedName name="PT障害基準小計1">#REF!</definedName>
    <definedName name="PT障害基準小計2">#REF!</definedName>
    <definedName name="PT障害実績" localSheetId="14">#REF!</definedName>
    <definedName name="PT障害実績" localSheetId="7">#REF!</definedName>
    <definedName name="PT障害実績" localSheetId="9">#REF!</definedName>
    <definedName name="PT障害実績" localSheetId="8">#REF!</definedName>
    <definedName name="PT障害実績" localSheetId="11">#REF!</definedName>
    <definedName name="PT障害実績" localSheetId="12">#REF!</definedName>
    <definedName name="PT障害実績" localSheetId="10">#REF!</definedName>
    <definedName name="PT障害実績" localSheetId="3">#REF!</definedName>
    <definedName name="PT障害実績" localSheetId="5">#REF!</definedName>
    <definedName name="PT障害実績" localSheetId="4">#REF!</definedName>
    <definedName name="PT障害実績">#REF!</definedName>
    <definedName name="PT障害実績小計1">#REF!</definedName>
    <definedName name="PT障害実績小計2">#REF!</definedName>
    <definedName name="RACK">[4]装置データold!$D$78:$D$92</definedName>
    <definedName name="SQL_Runtime型名" localSheetId="4">#REF!</definedName>
    <definedName name="SQL_Runtime型名">#REF!</definedName>
    <definedName name="SSﾃｽﾄ基準" localSheetId="14">#REF!</definedName>
    <definedName name="SSﾃｽﾄ基準" localSheetId="7">#REF!</definedName>
    <definedName name="SSﾃｽﾄ基準" localSheetId="9">#REF!</definedName>
    <definedName name="SSﾃｽﾄ基準" localSheetId="8">#REF!</definedName>
    <definedName name="SSﾃｽﾄ基準" localSheetId="11">#REF!</definedName>
    <definedName name="SSﾃｽﾄ基準" localSheetId="12">#REF!</definedName>
    <definedName name="SSﾃｽﾄ基準" localSheetId="10">#REF!</definedName>
    <definedName name="SSﾃｽﾄ基準" localSheetId="3">#REF!</definedName>
    <definedName name="SSﾃｽﾄ基準" localSheetId="5">#REF!</definedName>
    <definedName name="SSﾃｽﾄ基準" localSheetId="4">#REF!</definedName>
    <definedName name="SSﾃｽﾄ基準">#REF!</definedName>
    <definedName name="SSﾃｽﾄ基準小計1">#REF!</definedName>
    <definedName name="SSﾃｽﾄ基準小計2">#REF!</definedName>
    <definedName name="SSﾃｽﾄ実績" localSheetId="14">#REF!</definedName>
    <definedName name="SSﾃｽﾄ実績" localSheetId="7">#REF!</definedName>
    <definedName name="SSﾃｽﾄ実績" localSheetId="9">#REF!</definedName>
    <definedName name="SSﾃｽﾄ実績" localSheetId="8">#REF!</definedName>
    <definedName name="SSﾃｽﾄ実績" localSheetId="11">#REF!</definedName>
    <definedName name="SSﾃｽﾄ実績" localSheetId="12">#REF!</definedName>
    <definedName name="SSﾃｽﾄ実績" localSheetId="10">#REF!</definedName>
    <definedName name="SSﾃｽﾄ実績" localSheetId="3">#REF!</definedName>
    <definedName name="SSﾃｽﾄ実績" localSheetId="5">#REF!</definedName>
    <definedName name="SSﾃｽﾄ実績" localSheetId="4">#REF!</definedName>
    <definedName name="SSﾃｽﾄ実績">#REF!</definedName>
    <definedName name="SSﾃｽﾄ実績小計1">#REF!</definedName>
    <definedName name="SSﾃｽﾄ実績小計2">#REF!</definedName>
    <definedName name="SS障害基準" localSheetId="14">#REF!</definedName>
    <definedName name="SS障害基準" localSheetId="7">#REF!</definedName>
    <definedName name="SS障害基準" localSheetId="9">#REF!</definedName>
    <definedName name="SS障害基準" localSheetId="8">#REF!</definedName>
    <definedName name="SS障害基準" localSheetId="11">#REF!</definedName>
    <definedName name="SS障害基準" localSheetId="12">#REF!</definedName>
    <definedName name="SS障害基準" localSheetId="10">#REF!</definedName>
    <definedName name="SS障害基準" localSheetId="3">#REF!</definedName>
    <definedName name="SS障害基準" localSheetId="5">#REF!</definedName>
    <definedName name="SS障害基準" localSheetId="4">#REF!</definedName>
    <definedName name="SS障害基準">#REF!</definedName>
    <definedName name="SS障害基準小計1">#REF!</definedName>
    <definedName name="SS障害基準小計2">#REF!</definedName>
    <definedName name="SS障害実績" localSheetId="14">#REF!</definedName>
    <definedName name="SS障害実績" localSheetId="7">#REF!</definedName>
    <definedName name="SS障害実績" localSheetId="9">#REF!</definedName>
    <definedName name="SS障害実績" localSheetId="8">#REF!</definedName>
    <definedName name="SS障害実績" localSheetId="11">#REF!</definedName>
    <definedName name="SS障害実績" localSheetId="12">#REF!</definedName>
    <definedName name="SS障害実績" localSheetId="10">#REF!</definedName>
    <definedName name="SS障害実績" localSheetId="3">#REF!</definedName>
    <definedName name="SS障害実績" localSheetId="5">#REF!</definedName>
    <definedName name="SS障害実績" localSheetId="4">#REF!</definedName>
    <definedName name="SS障害実績">#REF!</definedName>
    <definedName name="SS障害実績小計1">#REF!</definedName>
    <definedName name="SS障害実績小計2">#REF!</definedName>
    <definedName name="STﾃｽﾄ基準" localSheetId="14">#REF!</definedName>
    <definedName name="STﾃｽﾄ基準" localSheetId="7">#REF!</definedName>
    <definedName name="STﾃｽﾄ基準" localSheetId="9">#REF!</definedName>
    <definedName name="STﾃｽﾄ基準" localSheetId="8">#REF!</definedName>
    <definedName name="STﾃｽﾄ基準" localSheetId="11">#REF!</definedName>
    <definedName name="STﾃｽﾄ基準" localSheetId="12">#REF!</definedName>
    <definedName name="STﾃｽﾄ基準" localSheetId="10">#REF!</definedName>
    <definedName name="STﾃｽﾄ基準" localSheetId="3">#REF!</definedName>
    <definedName name="STﾃｽﾄ基準" localSheetId="5">#REF!</definedName>
    <definedName name="STﾃｽﾄ基準" localSheetId="4">#REF!</definedName>
    <definedName name="STﾃｽﾄ基準">#REF!</definedName>
    <definedName name="STﾃｽﾄ基準小計1">#REF!</definedName>
    <definedName name="STﾃｽﾄ基準小計2">#REF!</definedName>
    <definedName name="STﾃｽﾄ実績" localSheetId="14">#REF!</definedName>
    <definedName name="STﾃｽﾄ実績" localSheetId="7">#REF!</definedName>
    <definedName name="STﾃｽﾄ実績" localSheetId="9">#REF!</definedName>
    <definedName name="STﾃｽﾄ実績" localSheetId="8">#REF!</definedName>
    <definedName name="STﾃｽﾄ実績" localSheetId="11">#REF!</definedName>
    <definedName name="STﾃｽﾄ実績" localSheetId="12">#REF!</definedName>
    <definedName name="STﾃｽﾄ実績" localSheetId="10">#REF!</definedName>
    <definedName name="STﾃｽﾄ実績" localSheetId="3">#REF!</definedName>
    <definedName name="STﾃｽﾄ実績" localSheetId="5">#REF!</definedName>
    <definedName name="STﾃｽﾄ実績" localSheetId="4">#REF!</definedName>
    <definedName name="STﾃｽﾄ実績">#REF!</definedName>
    <definedName name="STﾃｽﾄ実績小計1">#REF!</definedName>
    <definedName name="STﾃｽﾄ実績小計2">#REF!</definedName>
    <definedName name="ST障害基準" localSheetId="14">#REF!</definedName>
    <definedName name="ST障害基準" localSheetId="7">#REF!</definedName>
    <definedName name="ST障害基準" localSheetId="9">#REF!</definedName>
    <definedName name="ST障害基準" localSheetId="8">#REF!</definedName>
    <definedName name="ST障害基準" localSheetId="11">#REF!</definedName>
    <definedName name="ST障害基準" localSheetId="12">#REF!</definedName>
    <definedName name="ST障害基準" localSheetId="10">#REF!</definedName>
    <definedName name="ST障害基準" localSheetId="3">#REF!</definedName>
    <definedName name="ST障害基準" localSheetId="5">#REF!</definedName>
    <definedName name="ST障害基準" localSheetId="4">#REF!</definedName>
    <definedName name="ST障害基準">#REF!</definedName>
    <definedName name="ST障害基準小計1">#REF!</definedName>
    <definedName name="ST障害基準小計2">#REF!</definedName>
    <definedName name="ST障害実績" localSheetId="14">#REF!</definedName>
    <definedName name="ST障害実績" localSheetId="7">#REF!</definedName>
    <definedName name="ST障害実績" localSheetId="9">#REF!</definedName>
    <definedName name="ST障害実績" localSheetId="8">#REF!</definedName>
    <definedName name="ST障害実績" localSheetId="11">#REF!</definedName>
    <definedName name="ST障害実績" localSheetId="12">#REF!</definedName>
    <definedName name="ST障害実績" localSheetId="10">#REF!</definedName>
    <definedName name="ST障害実績" localSheetId="3">#REF!</definedName>
    <definedName name="ST障害実績" localSheetId="5">#REF!</definedName>
    <definedName name="ST障害実績" localSheetId="4">#REF!</definedName>
    <definedName name="ST障害実績">#REF!</definedName>
    <definedName name="ST障害実績小計1">#REF!</definedName>
    <definedName name="ST障害実績小計2">#REF!</definedName>
    <definedName name="UIﾃｽﾄ基準" localSheetId="14">#REF!</definedName>
    <definedName name="UIﾃｽﾄ基準" localSheetId="7">#REF!</definedName>
    <definedName name="UIﾃｽﾄ基準" localSheetId="9">#REF!</definedName>
    <definedName name="UIﾃｽﾄ基準" localSheetId="8">#REF!</definedName>
    <definedName name="UIﾃｽﾄ基準" localSheetId="11">#REF!</definedName>
    <definedName name="UIﾃｽﾄ基準" localSheetId="12">#REF!</definedName>
    <definedName name="UIﾃｽﾄ基準" localSheetId="10">#REF!</definedName>
    <definedName name="UIﾃｽﾄ基準" localSheetId="3">#REF!</definedName>
    <definedName name="UIﾃｽﾄ基準" localSheetId="5">#REF!</definedName>
    <definedName name="UIﾃｽﾄ基準" localSheetId="4">#REF!</definedName>
    <definedName name="UIﾃｽﾄ基準">#REF!</definedName>
    <definedName name="UIﾃｽﾄ基準小計1">#REF!</definedName>
    <definedName name="UIﾃｽﾄ基準小計2">#REF!</definedName>
    <definedName name="UIﾃｽﾄ実績" localSheetId="14">#REF!</definedName>
    <definedName name="UIﾃｽﾄ実績" localSheetId="7">#REF!</definedName>
    <definedName name="UIﾃｽﾄ実績" localSheetId="9">#REF!</definedName>
    <definedName name="UIﾃｽﾄ実績" localSheetId="8">#REF!</definedName>
    <definedName name="UIﾃｽﾄ実績" localSheetId="11">#REF!</definedName>
    <definedName name="UIﾃｽﾄ実績" localSheetId="12">#REF!</definedName>
    <definedName name="UIﾃｽﾄ実績" localSheetId="10">#REF!</definedName>
    <definedName name="UIﾃｽﾄ実績" localSheetId="3">#REF!</definedName>
    <definedName name="UIﾃｽﾄ実績" localSheetId="5">#REF!</definedName>
    <definedName name="UIﾃｽﾄ実績" localSheetId="4">#REF!</definedName>
    <definedName name="UIﾃｽﾄ実績">#REF!</definedName>
    <definedName name="UIﾃｽﾄ実績小計1">#REF!</definedName>
    <definedName name="UIﾃｽﾄ実績小計2">#REF!</definedName>
    <definedName name="UI障害基準" localSheetId="14">#REF!</definedName>
    <definedName name="UI障害基準" localSheetId="7">#REF!</definedName>
    <definedName name="UI障害基準" localSheetId="9">#REF!</definedName>
    <definedName name="UI障害基準" localSheetId="8">#REF!</definedName>
    <definedName name="UI障害基準" localSheetId="11">#REF!</definedName>
    <definedName name="UI障害基準" localSheetId="12">#REF!</definedName>
    <definedName name="UI障害基準" localSheetId="10">#REF!</definedName>
    <definedName name="UI障害基準" localSheetId="3">#REF!</definedName>
    <definedName name="UI障害基準" localSheetId="5">#REF!</definedName>
    <definedName name="UI障害基準" localSheetId="4">#REF!</definedName>
    <definedName name="UI障害基準">#REF!</definedName>
    <definedName name="UI障害基準小計1">#REF!</definedName>
    <definedName name="UI障害基準小計2">#REF!</definedName>
    <definedName name="UI障害実績" localSheetId="14">#REF!</definedName>
    <definedName name="UI障害実績" localSheetId="7">#REF!</definedName>
    <definedName name="UI障害実績" localSheetId="9">#REF!</definedName>
    <definedName name="UI障害実績" localSheetId="8">#REF!</definedName>
    <definedName name="UI障害実績" localSheetId="11">#REF!</definedName>
    <definedName name="UI障害実績" localSheetId="12">#REF!</definedName>
    <definedName name="UI障害実績" localSheetId="10">#REF!</definedName>
    <definedName name="UI障害実績" localSheetId="3">#REF!</definedName>
    <definedName name="UI障害実績" localSheetId="5">#REF!</definedName>
    <definedName name="UI障害実績" localSheetId="4">#REF!</definedName>
    <definedName name="UI障害実績">#REF!</definedName>
    <definedName name="UI障害実績小計1">#REF!</definedName>
    <definedName name="UI障害実績小計2">#REF!</definedName>
    <definedName name="あ" localSheetId="14" hidden="1">{"'表紙'!$A$1:$W$39"}</definedName>
    <definedName name="あ" localSheetId="7" hidden="1">{"'表紙'!$A$1:$W$39"}</definedName>
    <definedName name="あ" localSheetId="9" hidden="1">{"'表紙'!$A$1:$W$39"}</definedName>
    <definedName name="あ" localSheetId="8" hidden="1">{"'表紙'!$A$1:$W$39"}</definedName>
    <definedName name="あ" localSheetId="11" hidden="1">{"'表紙'!$A$1:$W$39"}</definedName>
    <definedName name="あ" localSheetId="12" hidden="1">{"'表紙'!$A$1:$W$39"}</definedName>
    <definedName name="あ" localSheetId="10" hidden="1">{"'表紙'!$A$1:$W$39"}</definedName>
    <definedName name="あ" localSheetId="3" hidden="1">{"'表紙'!$A$1:$W$39"}</definedName>
    <definedName name="あ" localSheetId="5" hidden="1">{"'表紙'!$A$1:$W$39"}</definedName>
    <definedName name="あ" localSheetId="4" hidden="1">{"'表紙'!$A$1:$W$39"}</definedName>
    <definedName name="あ" hidden="1">{"'表紙'!$A$1:$W$39"}</definedName>
    <definedName name="ああ" localSheetId="14">#REF!</definedName>
    <definedName name="ああ" localSheetId="7">#REF!</definedName>
    <definedName name="ああ" localSheetId="9">#REF!</definedName>
    <definedName name="ああ" localSheetId="8">#REF!</definedName>
    <definedName name="ああ" localSheetId="11">#REF!</definedName>
    <definedName name="ああ" localSheetId="12">#REF!</definedName>
    <definedName name="ああ" localSheetId="10">#REF!</definedName>
    <definedName name="ああ" localSheetId="3">#REF!</definedName>
    <definedName name="ああ" localSheetId="5">#REF!</definedName>
    <definedName name="ああ" localSheetId="4">#REF!</definedName>
    <definedName name="ああ">#REF!</definedName>
    <definedName name="あるべき姿" localSheetId="14">#REF!</definedName>
    <definedName name="あるべき姿" localSheetId="7">#REF!</definedName>
    <definedName name="あるべき姿" localSheetId="9">#REF!</definedName>
    <definedName name="あるべき姿" localSheetId="8">#REF!</definedName>
    <definedName name="あるべき姿" localSheetId="11">#REF!</definedName>
    <definedName name="あるべき姿" localSheetId="12">#REF!</definedName>
    <definedName name="あるべき姿" localSheetId="10">#REF!</definedName>
    <definedName name="あるべき姿" localSheetId="3">#REF!</definedName>
    <definedName name="あるべき姿" localSheetId="5">#REF!</definedName>
    <definedName name="あるべき姿" localSheetId="4">#REF!</definedName>
    <definedName name="あるべき姿">#REF!</definedName>
    <definedName name="クエリー5">#REF!</definedName>
    <definedName name="レシートサンプル" localSheetId="4" hidden="1">{"'表紙'!$A$1:$W$39"}</definedName>
    <definedName name="レシートサンプル" hidden="1">{"'表紙'!$A$1:$W$39"}</definedName>
    <definedName name="影響度" localSheetId="14">[5]リスト・分析!$B$4:$B$6</definedName>
    <definedName name="影響度" localSheetId="7">[5]リスト・分析!$B$4:$B$6</definedName>
    <definedName name="影響度" localSheetId="9">[5]リスト・分析!$B$4:$B$6</definedName>
    <definedName name="影響度" localSheetId="8">[5]リスト・分析!$B$4:$B$6</definedName>
    <definedName name="影響度" localSheetId="11">[5]リスト・分析!$B$4:$B$6</definedName>
    <definedName name="影響度" localSheetId="12">[5]リスト・分析!$B$4:$B$6</definedName>
    <definedName name="影響度" localSheetId="10">[5]リスト・分析!$B$4:$B$6</definedName>
    <definedName name="影響度" localSheetId="3">[5]リスト・分析!$B$4:$B$6</definedName>
    <definedName name="影響度" localSheetId="5">[5]リスト・分析!$B$4:$B$6</definedName>
    <definedName name="影響度" localSheetId="4">[5]リスト・分析!$B$4:$B$6</definedName>
    <definedName name="影響度" localSheetId="2">[5]リスト・分析!$B$4:$B$6</definedName>
    <definedName name="影響度">[6]Sheet1!$B$4:$B$6</definedName>
    <definedName name="解決策" localSheetId="14">#REF!</definedName>
    <definedName name="解決策" localSheetId="7">#REF!</definedName>
    <definedName name="解決策" localSheetId="9">#REF!</definedName>
    <definedName name="解決策" localSheetId="8">#REF!</definedName>
    <definedName name="解決策" localSheetId="11">#REF!</definedName>
    <definedName name="解決策" localSheetId="12">#REF!</definedName>
    <definedName name="解決策" localSheetId="10">#REF!</definedName>
    <definedName name="解決策" localSheetId="3">#REF!</definedName>
    <definedName name="解決策" localSheetId="5">#REF!</definedName>
    <definedName name="解決策" localSheetId="4">#REF!</definedName>
    <definedName name="解決策">#REF!</definedName>
    <definedName name="概要" localSheetId="4" hidden="1">{"'表紙'!$A$1:$W$39"}</definedName>
    <definedName name="概要" hidden="1">{"'表紙'!$A$1:$W$39"}</definedName>
    <definedName name="原因区分" localSheetId="14">[5]リスト・分析!$I$4:$I$10</definedName>
    <definedName name="原因区分" localSheetId="7">[5]リスト・分析!$I$4:$I$10</definedName>
    <definedName name="原因区分" localSheetId="9">[5]リスト・分析!$I$4:$I$10</definedName>
    <definedName name="原因区分" localSheetId="8">[5]リスト・分析!$I$4:$I$10</definedName>
    <definedName name="原因区分" localSheetId="11">[5]リスト・分析!$I$4:$I$10</definedName>
    <definedName name="原因区分" localSheetId="12">[5]リスト・分析!$I$4:$I$10</definedName>
    <definedName name="原因区分" localSheetId="10">[5]リスト・分析!$I$4:$I$10</definedName>
    <definedName name="原因区分" localSheetId="3">[5]リスト・分析!$I$4:$I$10</definedName>
    <definedName name="原因区分" localSheetId="5">[5]リスト・分析!$I$4:$I$10</definedName>
    <definedName name="原因区分" localSheetId="4">[5]リスト・分析!$I$4:$I$10</definedName>
    <definedName name="原因区分" localSheetId="2">[5]リスト・分析!$I$4:$I$10</definedName>
    <definedName name="原因区分">[6]Sheet1!$I$4:$I$10</definedName>
    <definedName name="現象" localSheetId="14">[5]リスト・分析!$F$4:$F$35</definedName>
    <definedName name="現象" localSheetId="7">[5]リスト・分析!$F$4:$F$35</definedName>
    <definedName name="現象" localSheetId="9">[5]リスト・分析!$F$4:$F$35</definedName>
    <definedName name="現象" localSheetId="8">[5]リスト・分析!$F$4:$F$35</definedName>
    <definedName name="現象" localSheetId="11">[5]リスト・分析!$F$4:$F$35</definedName>
    <definedName name="現象" localSheetId="12">[5]リスト・分析!$F$4:$F$35</definedName>
    <definedName name="現象" localSheetId="10">[5]リスト・分析!$F$4:$F$35</definedName>
    <definedName name="現象" localSheetId="3">[5]リスト・分析!$F$4:$F$35</definedName>
    <definedName name="現象" localSheetId="5">[5]リスト・分析!$F$4:$F$35</definedName>
    <definedName name="現象" localSheetId="4">[5]リスト・分析!$F$4:$F$35</definedName>
    <definedName name="現象" localSheetId="2">[5]リスト・分析!$F$4:$F$35</definedName>
    <definedName name="現象">[6]Sheet1!$F$4:$F$35</definedName>
    <definedName name="現状" localSheetId="14">#REF!</definedName>
    <definedName name="現状" localSheetId="7">#REF!</definedName>
    <definedName name="現状" localSheetId="9">#REF!</definedName>
    <definedName name="現状" localSheetId="8">#REF!</definedName>
    <definedName name="現状" localSheetId="11">#REF!</definedName>
    <definedName name="現状" localSheetId="12">#REF!</definedName>
    <definedName name="現状" localSheetId="10">#REF!</definedName>
    <definedName name="現状" localSheetId="3">#REF!</definedName>
    <definedName name="現状" localSheetId="5">#REF!</definedName>
    <definedName name="現状" localSheetId="4">#REF!</definedName>
    <definedName name="現状">#REF!</definedName>
    <definedName name="今回業務改革計画" localSheetId="14">#REF!</definedName>
    <definedName name="今回業務改革計画" localSheetId="7">#REF!</definedName>
    <definedName name="今回業務改革計画" localSheetId="9">#REF!</definedName>
    <definedName name="今回業務改革計画" localSheetId="8">#REF!</definedName>
    <definedName name="今回業務改革計画" localSheetId="11">#REF!</definedName>
    <definedName name="今回業務改革計画" localSheetId="12">#REF!</definedName>
    <definedName name="今回業務改革計画" localSheetId="10">#REF!</definedName>
    <definedName name="今回業務改革計画" localSheetId="3">#REF!</definedName>
    <definedName name="今回業務改革計画" localSheetId="5">#REF!</definedName>
    <definedName name="今回業務改革計画" localSheetId="4">#REF!</definedName>
    <definedName name="今回業務改革計画">#REF!</definedName>
    <definedName name="種別" localSheetId="14">[5]リスト・分析!$L$4:$L$6</definedName>
    <definedName name="種別" localSheetId="7">[5]リスト・分析!$L$4:$L$6</definedName>
    <definedName name="種別" localSheetId="9">[5]リスト・分析!$L$4:$L$6</definedName>
    <definedName name="種別" localSheetId="8">[5]リスト・分析!$L$4:$L$6</definedName>
    <definedName name="種別" localSheetId="11">[5]リスト・分析!$L$4:$L$6</definedName>
    <definedName name="種別" localSheetId="12">[5]リスト・分析!$L$4:$L$6</definedName>
    <definedName name="種別" localSheetId="10">[5]リスト・分析!$L$4:$L$6</definedName>
    <definedName name="種別" localSheetId="3">[5]リスト・分析!$L$4:$L$6</definedName>
    <definedName name="種別" localSheetId="5">[5]リスト・分析!$L$4:$L$6</definedName>
    <definedName name="種別" localSheetId="4">[5]リスト・分析!$L$4:$L$6</definedName>
    <definedName name="種別" localSheetId="2">[5]リスト・分析!$L$4:$L$6</definedName>
    <definedName name="種別">[6]Sheet1!$L$4:$L$6</definedName>
    <definedName name="将来計画" localSheetId="14">#REF!</definedName>
    <definedName name="将来計画" localSheetId="7">#REF!</definedName>
    <definedName name="将来計画" localSheetId="9">#REF!</definedName>
    <definedName name="将来計画" localSheetId="8">#REF!</definedName>
    <definedName name="将来計画" localSheetId="11">#REF!</definedName>
    <definedName name="将来計画" localSheetId="12">#REF!</definedName>
    <definedName name="将来計画" localSheetId="10">#REF!</definedName>
    <definedName name="将来計画" localSheetId="3">#REF!</definedName>
    <definedName name="将来計画" localSheetId="5">#REF!</definedName>
    <definedName name="将来計画" localSheetId="4">#REF!</definedName>
    <definedName name="将来計画">#REF!</definedName>
    <definedName name="担当部署" localSheetId="14">[5]リスト・分析!$O$4:$O$10</definedName>
    <definedName name="担当部署" localSheetId="7">[5]リスト・分析!$O$4:$O$10</definedName>
    <definedName name="担当部署" localSheetId="9">[5]リスト・分析!$O$4:$O$10</definedName>
    <definedName name="担当部署" localSheetId="8">[5]リスト・分析!$O$4:$O$10</definedName>
    <definedName name="担当部署" localSheetId="11">[5]リスト・分析!$O$4:$O$10</definedName>
    <definedName name="担当部署" localSheetId="12">[5]リスト・分析!$O$4:$O$10</definedName>
    <definedName name="担当部署" localSheetId="10">[5]リスト・分析!$O$4:$O$10</definedName>
    <definedName name="担当部署" localSheetId="3">[5]リスト・分析!$O$4:$O$10</definedName>
    <definedName name="担当部署" localSheetId="5">[5]リスト・分析!$O$4:$O$10</definedName>
    <definedName name="担当部署" localSheetId="4">[5]リスト・分析!$O$4:$O$10</definedName>
    <definedName name="担当部署" localSheetId="2">[5]リスト・分析!$O$4:$O$10</definedName>
    <definedName name="担当部署">[6]Sheet1!$O$4:$O$10</definedName>
    <definedName name="店舗一覧表" localSheetId="4">#REF!</definedName>
    <definedName name="店舗一覧表">#REF!</definedName>
    <definedName name="版数" localSheetId="14">[7]表紙!$H$23</definedName>
    <definedName name="版数" localSheetId="7">[7]表紙!$H$23</definedName>
    <definedName name="版数" localSheetId="9">[7]表紙!$H$23</definedName>
    <definedName name="版数" localSheetId="8">[7]表紙!$H$23</definedName>
    <definedName name="版数" localSheetId="11">[7]表紙!$H$23</definedName>
    <definedName name="版数" localSheetId="12">[7]表紙!$H$23</definedName>
    <definedName name="版数" localSheetId="10">[7]表紙!$H$23</definedName>
    <definedName name="版数" localSheetId="3">[7]表紙!$H$23</definedName>
    <definedName name="版数" localSheetId="5">[7]表紙!$H$23</definedName>
    <definedName name="版数" localSheetId="4">[7]表紙!$H$23</definedName>
    <definedName name="版数" localSheetId="2">[7]表紙!$H$23</definedName>
    <definedName name="版数">#REF!</definedName>
    <definedName name="版数１" localSheetId="14">#REF!</definedName>
    <definedName name="版数１" localSheetId="7">#REF!</definedName>
    <definedName name="版数１" localSheetId="9">#REF!</definedName>
    <definedName name="版数１" localSheetId="8">#REF!</definedName>
    <definedName name="版数１" localSheetId="11">#REF!</definedName>
    <definedName name="版数１" localSheetId="12">#REF!</definedName>
    <definedName name="版数１" localSheetId="10">#REF!</definedName>
    <definedName name="版数１" localSheetId="3">#REF!</definedName>
    <definedName name="版数１" localSheetId="5">#REF!</definedName>
    <definedName name="版数１" localSheetId="4">#REF!</definedName>
    <definedName name="版数１">[8]表紙!#REF!</definedName>
    <definedName name="付帯作業項目" localSheetId="14">#REF!</definedName>
    <definedName name="付帯作業項目" localSheetId="7">#REF!</definedName>
    <definedName name="付帯作業項目" localSheetId="9">#REF!</definedName>
    <definedName name="付帯作業項目" localSheetId="8">#REF!</definedName>
    <definedName name="付帯作業項目" localSheetId="11">#REF!</definedName>
    <definedName name="付帯作業項目" localSheetId="12">#REF!</definedName>
    <definedName name="付帯作業項目" localSheetId="10">#REF!</definedName>
    <definedName name="付帯作業項目" localSheetId="3">#REF!</definedName>
    <definedName name="付帯作業項目" localSheetId="5">#REF!</definedName>
    <definedName name="付帯作業項目" localSheetId="4">#REF!</definedName>
    <definedName name="付帯作業項目">#REF!</definedName>
    <definedName name="問題・課題" localSheetId="14">#REF!</definedName>
    <definedName name="問題・課題" localSheetId="7">#REF!</definedName>
    <definedName name="問題・課題" localSheetId="9">#REF!</definedName>
    <definedName name="問題・課題" localSheetId="8">#REF!</definedName>
    <definedName name="問題・課題" localSheetId="11">#REF!</definedName>
    <definedName name="問題・課題" localSheetId="12">#REF!</definedName>
    <definedName name="問題・課題" localSheetId="10">#REF!</definedName>
    <definedName name="問題・課題" localSheetId="3">#REF!</definedName>
    <definedName name="問題・課題" localSheetId="5">#REF!</definedName>
    <definedName name="問題・課題" localSheetId="4">#REF!</definedName>
    <definedName name="問題・課題">#REF!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5" i="40" l="1"/>
  <c r="B54" i="33" l="1"/>
  <c r="B53" i="33"/>
  <c r="B52" i="33"/>
  <c r="B51" i="33"/>
  <c r="B36" i="33"/>
  <c r="B50" i="33"/>
  <c r="B48" i="33"/>
  <c r="B47" i="33"/>
  <c r="B46" i="33"/>
  <c r="B45" i="33"/>
  <c r="B44" i="33"/>
  <c r="B41" i="33"/>
  <c r="S77" i="46"/>
  <c r="R77" i="46"/>
  <c r="Q77" i="46"/>
  <c r="P76" i="46"/>
  <c r="O76" i="46"/>
  <c r="N76" i="46"/>
  <c r="M76" i="46"/>
  <c r="L76" i="46"/>
  <c r="K76" i="46"/>
  <c r="J76" i="46"/>
  <c r="I76" i="46"/>
  <c r="H76" i="46"/>
  <c r="P75" i="46"/>
  <c r="P77" i="46" s="1"/>
  <c r="P78" i="46" s="1"/>
  <c r="O75" i="46"/>
  <c r="N75" i="46"/>
  <c r="N77" i="46" s="1"/>
  <c r="N78" i="46" s="1"/>
  <c r="M75" i="46"/>
  <c r="L75" i="46"/>
  <c r="L77" i="46" s="1"/>
  <c r="L78" i="46" s="1"/>
  <c r="K75" i="46"/>
  <c r="J75" i="46"/>
  <c r="I75" i="46"/>
  <c r="H75" i="46"/>
  <c r="E72" i="46"/>
  <c r="E71" i="46"/>
  <c r="E70" i="46"/>
  <c r="E69" i="46"/>
  <c r="E68" i="46"/>
  <c r="E67" i="46"/>
  <c r="E66" i="46"/>
  <c r="E65" i="46"/>
  <c r="E64" i="46"/>
  <c r="E63" i="46"/>
  <c r="E62" i="46"/>
  <c r="E61" i="46"/>
  <c r="E60" i="46"/>
  <c r="E59" i="46"/>
  <c r="E58" i="46"/>
  <c r="E57" i="46"/>
  <c r="E56" i="46"/>
  <c r="E55" i="46"/>
  <c r="E54" i="46"/>
  <c r="E53" i="46"/>
  <c r="E52" i="46"/>
  <c r="E51" i="46"/>
  <c r="E50" i="46"/>
  <c r="E49" i="46"/>
  <c r="E48" i="46"/>
  <c r="E47" i="46"/>
  <c r="E46" i="46"/>
  <c r="E45" i="46"/>
  <c r="E44" i="46"/>
  <c r="E43" i="46"/>
  <c r="E42" i="46"/>
  <c r="E41" i="46"/>
  <c r="E40" i="46"/>
  <c r="E39" i="46"/>
  <c r="E38" i="46"/>
  <c r="E37" i="46"/>
  <c r="E36" i="46"/>
  <c r="E35" i="46"/>
  <c r="E34" i="46"/>
  <c r="E33" i="46"/>
  <c r="E32" i="46"/>
  <c r="E31" i="46"/>
  <c r="E30" i="46"/>
  <c r="E29" i="46"/>
  <c r="E28" i="46"/>
  <c r="E27" i="46"/>
  <c r="E26" i="46"/>
  <c r="E25" i="46"/>
  <c r="E24" i="46"/>
  <c r="E23" i="46"/>
  <c r="E22" i="46"/>
  <c r="E21" i="46"/>
  <c r="E20" i="46"/>
  <c r="E19" i="46"/>
  <c r="E18" i="46"/>
  <c r="E17" i="46"/>
  <c r="E16" i="46"/>
  <c r="E15" i="46"/>
  <c r="E14" i="46"/>
  <c r="E13" i="46"/>
  <c r="E12" i="46"/>
  <c r="E11" i="46"/>
  <c r="E10" i="46"/>
  <c r="E9" i="46"/>
  <c r="E8" i="46"/>
  <c r="E7" i="46"/>
  <c r="E6" i="46"/>
  <c r="E5" i="46"/>
  <c r="E4" i="46"/>
  <c r="I77" i="46" l="1"/>
  <c r="I78" i="46" s="1"/>
  <c r="H77" i="46"/>
  <c r="H78" i="46" s="1"/>
  <c r="O77" i="46"/>
  <c r="O78" i="46" s="1"/>
  <c r="J77" i="46"/>
  <c r="J78" i="46" s="1"/>
  <c r="M77" i="46"/>
  <c r="M78" i="46" s="1"/>
  <c r="K77" i="46"/>
  <c r="K78" i="46" s="1"/>
  <c r="D75" i="46" l="1"/>
  <c r="D77" i="46"/>
  <c r="P23" i="38"/>
  <c r="O23" i="38"/>
  <c r="N23" i="38"/>
  <c r="M23" i="38"/>
  <c r="L23" i="38"/>
  <c r="K23" i="38"/>
  <c r="J23" i="38"/>
  <c r="I23" i="38"/>
  <c r="H23" i="38"/>
  <c r="P107" i="36"/>
  <c r="O107" i="36"/>
  <c r="N107" i="36"/>
  <c r="M107" i="36"/>
  <c r="L107" i="36"/>
  <c r="K107" i="36"/>
  <c r="J107" i="36"/>
  <c r="I107" i="36"/>
  <c r="H107" i="36"/>
  <c r="E5" i="45"/>
  <c r="E7" i="45"/>
  <c r="K131" i="35"/>
  <c r="K130" i="35"/>
  <c r="Q109" i="36"/>
  <c r="F5" i="45"/>
  <c r="F7" i="45"/>
  <c r="I107" i="42"/>
  <c r="J107" i="42"/>
  <c r="K107" i="42"/>
  <c r="L107" i="42"/>
  <c r="M107" i="42"/>
  <c r="N107" i="42"/>
  <c r="O107" i="42"/>
  <c r="P107" i="42"/>
  <c r="H107" i="42"/>
  <c r="I107" i="41"/>
  <c r="J107" i="41"/>
  <c r="K107" i="41"/>
  <c r="L107" i="41"/>
  <c r="M107" i="41"/>
  <c r="N107" i="41"/>
  <c r="O107" i="41"/>
  <c r="P107" i="41"/>
  <c r="H107" i="41"/>
  <c r="I74" i="39"/>
  <c r="J74" i="39"/>
  <c r="K74" i="39"/>
  <c r="L74" i="39"/>
  <c r="M74" i="39"/>
  <c r="N74" i="39"/>
  <c r="O74" i="39"/>
  <c r="P74" i="39"/>
  <c r="H74" i="39"/>
  <c r="H73" i="33"/>
  <c r="I73" i="33"/>
  <c r="J73" i="33"/>
  <c r="K73" i="33"/>
  <c r="L73" i="33"/>
  <c r="M73" i="33"/>
  <c r="N73" i="33"/>
  <c r="O73" i="33"/>
  <c r="P73" i="33"/>
  <c r="Q73" i="33"/>
  <c r="R73" i="33"/>
  <c r="S73" i="33"/>
  <c r="T73" i="33"/>
  <c r="G73" i="33"/>
  <c r="I75" i="43"/>
  <c r="J75" i="43"/>
  <c r="K75" i="43"/>
  <c r="L75" i="43"/>
  <c r="M75" i="43"/>
  <c r="N75" i="43"/>
  <c r="O75" i="43"/>
  <c r="P75" i="43"/>
  <c r="H75" i="43"/>
  <c r="H72" i="33"/>
  <c r="I72" i="33"/>
  <c r="J72" i="33"/>
  <c r="K72" i="33"/>
  <c r="L72" i="33"/>
  <c r="M72" i="33"/>
  <c r="N72" i="33"/>
  <c r="O72" i="33"/>
  <c r="P72" i="33"/>
  <c r="Q72" i="33"/>
  <c r="R72" i="33"/>
  <c r="S72" i="33"/>
  <c r="T72" i="33"/>
  <c r="G72" i="33"/>
  <c r="H71" i="33"/>
  <c r="I71" i="33"/>
  <c r="J71" i="33"/>
  <c r="K71" i="33"/>
  <c r="L71" i="33"/>
  <c r="M71" i="33"/>
  <c r="N71" i="33"/>
  <c r="O71" i="33"/>
  <c r="P71" i="33"/>
  <c r="Q71" i="33"/>
  <c r="R71" i="33"/>
  <c r="S71" i="33"/>
  <c r="T71" i="33"/>
  <c r="G70" i="33"/>
  <c r="G71" i="33"/>
  <c r="H70" i="33"/>
  <c r="I70" i="33"/>
  <c r="J70" i="33"/>
  <c r="K70" i="33"/>
  <c r="L70" i="33"/>
  <c r="M70" i="33"/>
  <c r="N70" i="33"/>
  <c r="O70" i="33"/>
  <c r="P70" i="33"/>
  <c r="Q70" i="33"/>
  <c r="R70" i="33"/>
  <c r="S70" i="33"/>
  <c r="T70" i="33"/>
  <c r="I92" i="37"/>
  <c r="J92" i="37"/>
  <c r="K92" i="37"/>
  <c r="L92" i="37"/>
  <c r="M92" i="37"/>
  <c r="N92" i="37"/>
  <c r="O92" i="37"/>
  <c r="P92" i="37"/>
  <c r="H92" i="37"/>
  <c r="I74" i="40"/>
  <c r="J74" i="40"/>
  <c r="K74" i="40"/>
  <c r="L74" i="40"/>
  <c r="M74" i="40"/>
  <c r="N74" i="40"/>
  <c r="O74" i="40"/>
  <c r="P74" i="40"/>
  <c r="H74" i="40"/>
  <c r="S128" i="35"/>
  <c r="R128" i="35"/>
  <c r="Q128" i="35"/>
  <c r="P128" i="35"/>
  <c r="O128" i="35"/>
  <c r="N128" i="35"/>
  <c r="M128" i="35"/>
  <c r="L128" i="35"/>
  <c r="K128" i="35"/>
  <c r="W70" i="33"/>
  <c r="E72" i="41"/>
  <c r="E72" i="42"/>
  <c r="E14" i="41"/>
  <c r="E14" i="42"/>
  <c r="E24" i="43"/>
  <c r="S77" i="43"/>
  <c r="R77" i="43"/>
  <c r="Q77" i="43"/>
  <c r="R76" i="39"/>
  <c r="Q76" i="39"/>
  <c r="I75" i="40"/>
  <c r="J75" i="40"/>
  <c r="K75" i="40"/>
  <c r="L75" i="40"/>
  <c r="M75" i="40"/>
  <c r="N75" i="40"/>
  <c r="O75" i="40"/>
  <c r="P75" i="40"/>
  <c r="E82" i="37"/>
  <c r="E83" i="37"/>
  <c r="E84" i="37"/>
  <c r="E85" i="37"/>
  <c r="E86" i="37"/>
  <c r="E87" i="37"/>
  <c r="E88" i="37"/>
  <c r="E89" i="37"/>
  <c r="E44" i="37"/>
  <c r="E45" i="37"/>
  <c r="E46" i="37"/>
  <c r="F71" i="33" l="1"/>
  <c r="F70" i="33"/>
  <c r="J76" i="40"/>
  <c r="M76" i="40"/>
  <c r="N76" i="40"/>
  <c r="P76" i="40"/>
  <c r="K76" i="40"/>
  <c r="I76" i="40"/>
  <c r="L76" i="40"/>
  <c r="O76" i="40"/>
  <c r="L77" i="40" l="1"/>
  <c r="P77" i="40"/>
  <c r="K77" i="40"/>
  <c r="R76" i="40"/>
  <c r="S76" i="40"/>
  <c r="J77" i="40"/>
  <c r="M77" i="40"/>
  <c r="N77" i="40"/>
  <c r="O77" i="40"/>
  <c r="I77" i="40"/>
  <c r="J75" i="39"/>
  <c r="K75" i="39"/>
  <c r="L75" i="39"/>
  <c r="M75" i="39"/>
  <c r="N75" i="39"/>
  <c r="O75" i="39"/>
  <c r="P75" i="39"/>
  <c r="I75" i="39"/>
  <c r="H75" i="39"/>
  <c r="Q76" i="40"/>
  <c r="I76" i="43"/>
  <c r="J76" i="43"/>
  <c r="K76" i="43"/>
  <c r="K77" i="43" s="1"/>
  <c r="K78" i="43" s="1"/>
  <c r="L76" i="43"/>
  <c r="M76" i="43"/>
  <c r="N76" i="43"/>
  <c r="N77" i="43" s="1"/>
  <c r="N78" i="43" s="1"/>
  <c r="O76" i="43"/>
  <c r="O77" i="43" s="1"/>
  <c r="O78" i="43" s="1"/>
  <c r="P76" i="43"/>
  <c r="H76" i="43"/>
  <c r="B68" i="33"/>
  <c r="B67" i="33"/>
  <c r="E16" i="38"/>
  <c r="E15" i="38"/>
  <c r="E14" i="38"/>
  <c r="E19" i="38"/>
  <c r="E18" i="38"/>
  <c r="E17" i="38"/>
  <c r="E72" i="43"/>
  <c r="E71" i="43"/>
  <c r="E70" i="43"/>
  <c r="E69" i="43"/>
  <c r="E68" i="43"/>
  <c r="E67" i="43"/>
  <c r="E66" i="43"/>
  <c r="E65" i="43"/>
  <c r="E64" i="43"/>
  <c r="E63" i="43"/>
  <c r="E62" i="43"/>
  <c r="E61" i="43"/>
  <c r="E60" i="43"/>
  <c r="E59" i="43"/>
  <c r="E58" i="43"/>
  <c r="E57" i="43"/>
  <c r="E56" i="43"/>
  <c r="E55" i="43"/>
  <c r="E54" i="43"/>
  <c r="E53" i="43"/>
  <c r="E52" i="43"/>
  <c r="E51" i="43"/>
  <c r="E50" i="43"/>
  <c r="E49" i="43"/>
  <c r="E48" i="43"/>
  <c r="E47" i="43"/>
  <c r="E46" i="43"/>
  <c r="E45" i="43"/>
  <c r="E44" i="43"/>
  <c r="E43" i="43"/>
  <c r="E42" i="43"/>
  <c r="E41" i="43"/>
  <c r="E40" i="43"/>
  <c r="E39" i="43"/>
  <c r="E38" i="43"/>
  <c r="E37" i="43"/>
  <c r="E36" i="43"/>
  <c r="E35" i="43"/>
  <c r="E34" i="43"/>
  <c r="E33" i="43"/>
  <c r="E32" i="43"/>
  <c r="E31" i="43"/>
  <c r="E30" i="43"/>
  <c r="E29" i="43"/>
  <c r="E28" i="43"/>
  <c r="E27" i="43"/>
  <c r="E26" i="43"/>
  <c r="E25" i="43"/>
  <c r="E23" i="43"/>
  <c r="E22" i="43"/>
  <c r="E21" i="43"/>
  <c r="E20" i="43"/>
  <c r="E19" i="43"/>
  <c r="E18" i="43"/>
  <c r="E17" i="43"/>
  <c r="E16" i="43"/>
  <c r="E15" i="43"/>
  <c r="E14" i="43"/>
  <c r="E13" i="43"/>
  <c r="E12" i="43"/>
  <c r="E11" i="43"/>
  <c r="E10" i="43"/>
  <c r="E9" i="43"/>
  <c r="E8" i="43"/>
  <c r="E7" i="43"/>
  <c r="E6" i="43"/>
  <c r="E5" i="43"/>
  <c r="E4" i="43"/>
  <c r="S109" i="42"/>
  <c r="R109" i="42"/>
  <c r="Q109" i="42"/>
  <c r="P108" i="42"/>
  <c r="P109" i="42" s="1"/>
  <c r="P110" i="42" s="1"/>
  <c r="O108" i="42"/>
  <c r="N108" i="42"/>
  <c r="M108" i="42"/>
  <c r="M109" i="42" s="1"/>
  <c r="M110" i="42" s="1"/>
  <c r="L108" i="42"/>
  <c r="L109" i="42" s="1"/>
  <c r="L110" i="42" s="1"/>
  <c r="K108" i="42"/>
  <c r="K109" i="42" s="1"/>
  <c r="K110" i="42" s="1"/>
  <c r="J108" i="42"/>
  <c r="I108" i="42"/>
  <c r="I109" i="42" s="1"/>
  <c r="I110" i="42" s="1"/>
  <c r="H108" i="42"/>
  <c r="E106" i="42"/>
  <c r="E105" i="42"/>
  <c r="E104" i="42"/>
  <c r="E103" i="42"/>
  <c r="E102" i="42"/>
  <c r="E101" i="42"/>
  <c r="E100" i="42"/>
  <c r="E99" i="42"/>
  <c r="E98" i="42"/>
  <c r="E97" i="42"/>
  <c r="E96" i="42"/>
  <c r="E95" i="42"/>
  <c r="E94" i="42"/>
  <c r="E93" i="42"/>
  <c r="E92" i="42"/>
  <c r="E91" i="42"/>
  <c r="E90" i="42"/>
  <c r="E89" i="42"/>
  <c r="E88" i="42"/>
  <c r="E87" i="42"/>
  <c r="E86" i="42"/>
  <c r="E85" i="42"/>
  <c r="E84" i="42"/>
  <c r="E83" i="42"/>
  <c r="E82" i="42"/>
  <c r="E81" i="42"/>
  <c r="E80" i="42"/>
  <c r="E79" i="42"/>
  <c r="E78" i="42"/>
  <c r="E77" i="42"/>
  <c r="E76" i="42"/>
  <c r="E75" i="42"/>
  <c r="E74" i="42"/>
  <c r="E73" i="42"/>
  <c r="E71" i="42"/>
  <c r="E70" i="42"/>
  <c r="E69" i="42"/>
  <c r="E68" i="42"/>
  <c r="E67" i="42"/>
  <c r="E66" i="42"/>
  <c r="E65" i="42"/>
  <c r="E64" i="42"/>
  <c r="E63" i="42"/>
  <c r="E62" i="42"/>
  <c r="E61" i="42"/>
  <c r="E60" i="42"/>
  <c r="E59" i="42"/>
  <c r="E58" i="42"/>
  <c r="E57" i="42"/>
  <c r="E56" i="42"/>
  <c r="E55" i="42"/>
  <c r="E54" i="42"/>
  <c r="E53" i="42"/>
  <c r="E52" i="42"/>
  <c r="E51" i="42"/>
  <c r="E50" i="42"/>
  <c r="E49" i="42"/>
  <c r="E48" i="42"/>
  <c r="E47" i="42"/>
  <c r="E46" i="42"/>
  <c r="E45" i="42"/>
  <c r="E44" i="42"/>
  <c r="E43" i="42"/>
  <c r="E42" i="42"/>
  <c r="E41" i="42"/>
  <c r="E40" i="42"/>
  <c r="E39" i="42"/>
  <c r="E38" i="42"/>
  <c r="E37" i="42"/>
  <c r="E36" i="42"/>
  <c r="E35" i="42"/>
  <c r="E34" i="42"/>
  <c r="E33" i="42"/>
  <c r="E32" i="42"/>
  <c r="E31" i="42"/>
  <c r="E30" i="42"/>
  <c r="E29" i="42"/>
  <c r="E28" i="42"/>
  <c r="E27" i="42"/>
  <c r="E26" i="42"/>
  <c r="E25" i="42"/>
  <c r="E24" i="42"/>
  <c r="E23" i="42"/>
  <c r="E22" i="42"/>
  <c r="E21" i="42"/>
  <c r="E20" i="42"/>
  <c r="E19" i="42"/>
  <c r="E18" i="42"/>
  <c r="E17" i="42"/>
  <c r="E16" i="42"/>
  <c r="E15" i="42"/>
  <c r="E13" i="42"/>
  <c r="E12" i="42"/>
  <c r="E11" i="42"/>
  <c r="E10" i="42"/>
  <c r="E9" i="42"/>
  <c r="E8" i="42"/>
  <c r="E7" i="42"/>
  <c r="E6" i="42"/>
  <c r="E5" i="42"/>
  <c r="E4" i="42"/>
  <c r="E54" i="40"/>
  <c r="E53" i="40"/>
  <c r="E52" i="40"/>
  <c r="E51" i="40"/>
  <c r="E50" i="40"/>
  <c r="E49" i="40"/>
  <c r="E48" i="40"/>
  <c r="E47" i="40"/>
  <c r="E46" i="40"/>
  <c r="E45" i="40"/>
  <c r="E44" i="40"/>
  <c r="E43" i="40"/>
  <c r="E42" i="40"/>
  <c r="E41" i="40"/>
  <c r="E40" i="40"/>
  <c r="E39" i="40"/>
  <c r="E38" i="40"/>
  <c r="E37" i="40"/>
  <c r="E36" i="40"/>
  <c r="E35" i="40"/>
  <c r="E34" i="40"/>
  <c r="E33" i="40"/>
  <c r="E32" i="40"/>
  <c r="E31" i="40"/>
  <c r="E30" i="40"/>
  <c r="E29" i="40"/>
  <c r="E28" i="40"/>
  <c r="E27" i="40"/>
  <c r="E26" i="40"/>
  <c r="E25" i="40"/>
  <c r="E24" i="40"/>
  <c r="E23" i="40"/>
  <c r="E22" i="40"/>
  <c r="E21" i="40"/>
  <c r="E20" i="40"/>
  <c r="E19" i="40"/>
  <c r="E18" i="40"/>
  <c r="E17" i="40"/>
  <c r="E16" i="40"/>
  <c r="E15" i="40"/>
  <c r="E14" i="40"/>
  <c r="E13" i="40"/>
  <c r="E12" i="40"/>
  <c r="E11" i="40"/>
  <c r="E10" i="40"/>
  <c r="E9" i="40"/>
  <c r="E8" i="40"/>
  <c r="E7" i="40"/>
  <c r="E6" i="40"/>
  <c r="E5" i="40"/>
  <c r="E4" i="40"/>
  <c r="E13" i="39"/>
  <c r="E54" i="39"/>
  <c r="E53" i="39"/>
  <c r="E52" i="39"/>
  <c r="E51" i="39"/>
  <c r="E50" i="39"/>
  <c r="E49" i="39"/>
  <c r="E48" i="39"/>
  <c r="E47" i="39"/>
  <c r="E46" i="39"/>
  <c r="E45" i="39"/>
  <c r="E44" i="39"/>
  <c r="E43" i="39"/>
  <c r="E42" i="39"/>
  <c r="E41" i="39"/>
  <c r="E40" i="39"/>
  <c r="E39" i="39"/>
  <c r="E38" i="39"/>
  <c r="E37" i="39"/>
  <c r="E36" i="39"/>
  <c r="E35" i="39"/>
  <c r="E34" i="39"/>
  <c r="E33" i="39"/>
  <c r="E32" i="39"/>
  <c r="E31" i="39"/>
  <c r="E30" i="39"/>
  <c r="E29" i="39"/>
  <c r="E28" i="39"/>
  <c r="E27" i="39"/>
  <c r="E26" i="39"/>
  <c r="E25" i="39"/>
  <c r="E24" i="39"/>
  <c r="E23" i="39"/>
  <c r="E22" i="39"/>
  <c r="E21" i="39"/>
  <c r="E20" i="39"/>
  <c r="E19" i="39"/>
  <c r="E18" i="39"/>
  <c r="E17" i="39"/>
  <c r="E16" i="39"/>
  <c r="E15" i="39"/>
  <c r="E14" i="39"/>
  <c r="E12" i="39"/>
  <c r="E11" i="39"/>
  <c r="E10" i="39"/>
  <c r="E9" i="39"/>
  <c r="E8" i="39"/>
  <c r="E7" i="39"/>
  <c r="E6" i="39"/>
  <c r="E5" i="39"/>
  <c r="E4" i="39"/>
  <c r="E73" i="37"/>
  <c r="E72" i="37"/>
  <c r="E71" i="37"/>
  <c r="E74" i="37"/>
  <c r="E69" i="37"/>
  <c r="S109" i="41"/>
  <c r="R109" i="41"/>
  <c r="Q109" i="41"/>
  <c r="P108" i="41"/>
  <c r="P109" i="41" s="1"/>
  <c r="P110" i="41" s="1"/>
  <c r="O108" i="41"/>
  <c r="N108" i="41"/>
  <c r="M108" i="41"/>
  <c r="L108" i="41"/>
  <c r="K108" i="41"/>
  <c r="J108" i="41"/>
  <c r="I108" i="41"/>
  <c r="H108" i="41"/>
  <c r="E106" i="41"/>
  <c r="E105" i="41"/>
  <c r="E104" i="41"/>
  <c r="E103" i="41"/>
  <c r="E102" i="41"/>
  <c r="E101" i="41"/>
  <c r="E100" i="41"/>
  <c r="E99" i="41"/>
  <c r="E98" i="41"/>
  <c r="E97" i="41"/>
  <c r="E96" i="41"/>
  <c r="E95" i="41"/>
  <c r="E94" i="41"/>
  <c r="E93" i="41"/>
  <c r="E92" i="41"/>
  <c r="E91" i="41"/>
  <c r="E90" i="41"/>
  <c r="E89" i="41"/>
  <c r="E88" i="41"/>
  <c r="E87" i="41"/>
  <c r="E86" i="41"/>
  <c r="E85" i="41"/>
  <c r="E84" i="41"/>
  <c r="E83" i="41"/>
  <c r="E82" i="41"/>
  <c r="E81" i="41"/>
  <c r="E80" i="41"/>
  <c r="E79" i="41"/>
  <c r="E78" i="41"/>
  <c r="E77" i="41"/>
  <c r="E76" i="41"/>
  <c r="E75" i="41"/>
  <c r="E74" i="41"/>
  <c r="E73" i="41"/>
  <c r="E71" i="41"/>
  <c r="E70" i="41"/>
  <c r="E69" i="41"/>
  <c r="E68" i="41"/>
  <c r="E67" i="41"/>
  <c r="E66" i="41"/>
  <c r="E65" i="41"/>
  <c r="E64" i="41"/>
  <c r="E63" i="41"/>
  <c r="E62" i="41"/>
  <c r="E61" i="41"/>
  <c r="E60" i="41"/>
  <c r="E59" i="41"/>
  <c r="E58" i="41"/>
  <c r="E57" i="41"/>
  <c r="E56" i="41"/>
  <c r="E55" i="41"/>
  <c r="E54" i="41"/>
  <c r="E53" i="41"/>
  <c r="E52" i="41"/>
  <c r="E51" i="41"/>
  <c r="E50" i="41"/>
  <c r="E49" i="41"/>
  <c r="E48" i="41"/>
  <c r="E47" i="41"/>
  <c r="E46" i="41"/>
  <c r="E45" i="41"/>
  <c r="E44" i="41"/>
  <c r="E43" i="41"/>
  <c r="E42" i="41"/>
  <c r="E41" i="41"/>
  <c r="E40" i="41"/>
  <c r="E39" i="41"/>
  <c r="E38" i="41"/>
  <c r="E37" i="41"/>
  <c r="E36" i="41"/>
  <c r="E35" i="41"/>
  <c r="E34" i="41"/>
  <c r="E33" i="41"/>
  <c r="E32" i="41"/>
  <c r="E31" i="41"/>
  <c r="E30" i="41"/>
  <c r="E29" i="41"/>
  <c r="E28" i="41"/>
  <c r="E27" i="41"/>
  <c r="E26" i="41"/>
  <c r="E25" i="41"/>
  <c r="E24" i="41"/>
  <c r="E23" i="41"/>
  <c r="E22" i="41"/>
  <c r="E21" i="41"/>
  <c r="E20" i="41"/>
  <c r="E19" i="41"/>
  <c r="E18" i="41"/>
  <c r="E17" i="41"/>
  <c r="E16" i="41"/>
  <c r="E15" i="41"/>
  <c r="E13" i="41"/>
  <c r="E12" i="41"/>
  <c r="E11" i="41"/>
  <c r="E10" i="41"/>
  <c r="E9" i="41"/>
  <c r="E8" i="41"/>
  <c r="E7" i="41"/>
  <c r="E6" i="41"/>
  <c r="E5" i="41"/>
  <c r="E4" i="41"/>
  <c r="E65" i="37"/>
  <c r="E64" i="37"/>
  <c r="E63" i="37"/>
  <c r="E62" i="37"/>
  <c r="E61" i="37"/>
  <c r="E60" i="37"/>
  <c r="E43" i="37"/>
  <c r="E42" i="37"/>
  <c r="E41" i="37"/>
  <c r="E40" i="37"/>
  <c r="E39" i="37"/>
  <c r="E38" i="37"/>
  <c r="E37" i="37"/>
  <c r="E36" i="37"/>
  <c r="E35" i="37"/>
  <c r="E34" i="37"/>
  <c r="E33" i="37"/>
  <c r="E32" i="37"/>
  <c r="E31" i="37"/>
  <c r="E30" i="37"/>
  <c r="E29" i="37"/>
  <c r="E28" i="37"/>
  <c r="E25" i="37"/>
  <c r="E23" i="37"/>
  <c r="L109" i="41" l="1"/>
  <c r="L110" i="41" s="1"/>
  <c r="M109" i="41"/>
  <c r="M110" i="41" s="1"/>
  <c r="N109" i="42"/>
  <c r="N110" i="42" s="1"/>
  <c r="J77" i="43"/>
  <c r="J78" i="43" s="1"/>
  <c r="P77" i="43"/>
  <c r="P78" i="43" s="1"/>
  <c r="L77" i="43"/>
  <c r="L78" i="43" s="1"/>
  <c r="H77" i="43"/>
  <c r="H78" i="43" s="1"/>
  <c r="I77" i="43"/>
  <c r="I78" i="43" s="1"/>
  <c r="M77" i="43"/>
  <c r="M78" i="43" s="1"/>
  <c r="J109" i="41"/>
  <c r="J110" i="41" s="1"/>
  <c r="N109" i="41"/>
  <c r="N110" i="41" s="1"/>
  <c r="O109" i="41"/>
  <c r="O110" i="41" s="1"/>
  <c r="H109" i="42"/>
  <c r="H110" i="42" s="1"/>
  <c r="J109" i="42"/>
  <c r="J110" i="42" s="1"/>
  <c r="O109" i="42"/>
  <c r="O110" i="42" s="1"/>
  <c r="K109" i="41"/>
  <c r="K110" i="41" s="1"/>
  <c r="I109" i="41"/>
  <c r="I110" i="41" s="1"/>
  <c r="H109" i="41"/>
  <c r="H110" i="41" s="1"/>
  <c r="E20" i="37"/>
  <c r="E19" i="37"/>
  <c r="E18" i="37"/>
  <c r="E11" i="37"/>
  <c r="E10" i="37"/>
  <c r="E9" i="37"/>
  <c r="E8" i="37"/>
  <c r="E7" i="37"/>
  <c r="E81" i="37"/>
  <c r="E80" i="37"/>
  <c r="E27" i="37"/>
  <c r="H76" i="40"/>
  <c r="H77" i="40" s="1"/>
  <c r="E72" i="40"/>
  <c r="E71" i="40"/>
  <c r="E70" i="40"/>
  <c r="E69" i="40"/>
  <c r="E68" i="40"/>
  <c r="E67" i="40"/>
  <c r="E66" i="40"/>
  <c r="E65" i="40"/>
  <c r="E64" i="40"/>
  <c r="E63" i="40"/>
  <c r="E62" i="40"/>
  <c r="E61" i="40"/>
  <c r="E60" i="40"/>
  <c r="E59" i="40"/>
  <c r="E58" i="40"/>
  <c r="E57" i="40"/>
  <c r="E56" i="40"/>
  <c r="E55" i="40"/>
  <c r="S76" i="39"/>
  <c r="I76" i="39"/>
  <c r="I77" i="39" s="1"/>
  <c r="H76" i="39"/>
  <c r="H77" i="39" s="1"/>
  <c r="E72" i="39"/>
  <c r="E71" i="39"/>
  <c r="E70" i="39"/>
  <c r="E69" i="39"/>
  <c r="E68" i="39"/>
  <c r="E67" i="39"/>
  <c r="E66" i="39"/>
  <c r="E65" i="39"/>
  <c r="E64" i="39"/>
  <c r="E63" i="39"/>
  <c r="E62" i="39"/>
  <c r="E61" i="39"/>
  <c r="E60" i="39"/>
  <c r="E59" i="39"/>
  <c r="E58" i="39"/>
  <c r="E57" i="39"/>
  <c r="E56" i="39"/>
  <c r="E55" i="39"/>
  <c r="E13" i="38"/>
  <c r="E10" i="38"/>
  <c r="E6" i="38"/>
  <c r="E12" i="38"/>
  <c r="E11" i="38"/>
  <c r="E9" i="38"/>
  <c r="E8" i="38"/>
  <c r="E7" i="38"/>
  <c r="S25" i="38"/>
  <c r="R25" i="38"/>
  <c r="Q25" i="38"/>
  <c r="P24" i="38"/>
  <c r="O24" i="38"/>
  <c r="N24" i="38"/>
  <c r="M24" i="38"/>
  <c r="M25" i="38" s="1"/>
  <c r="M26" i="38" s="1"/>
  <c r="L24" i="38"/>
  <c r="K24" i="38"/>
  <c r="J24" i="38"/>
  <c r="I24" i="38"/>
  <c r="I25" i="38" s="1"/>
  <c r="I26" i="38" s="1"/>
  <c r="H24" i="38"/>
  <c r="O25" i="38"/>
  <c r="O26" i="38" s="1"/>
  <c r="E5" i="38"/>
  <c r="E4" i="38"/>
  <c r="E70" i="37"/>
  <c r="E90" i="37"/>
  <c r="M76" i="39" l="1"/>
  <c r="M77" i="39" s="1"/>
  <c r="K76" i="39"/>
  <c r="K77" i="39" s="1"/>
  <c r="D75" i="43"/>
  <c r="D11" i="45" s="1"/>
  <c r="D77" i="43"/>
  <c r="C11" i="45" s="1"/>
  <c r="D109" i="42"/>
  <c r="D107" i="42"/>
  <c r="D4" i="45" s="1"/>
  <c r="P76" i="39"/>
  <c r="P77" i="39" s="1"/>
  <c r="J76" i="39"/>
  <c r="J77" i="39" s="1"/>
  <c r="L76" i="39"/>
  <c r="L77" i="39" s="1"/>
  <c r="O76" i="39"/>
  <c r="O77" i="39" s="1"/>
  <c r="N76" i="39"/>
  <c r="N77" i="39" s="1"/>
  <c r="D109" i="41"/>
  <c r="D107" i="41"/>
  <c r="D6" i="45" s="1"/>
  <c r="N25" i="38"/>
  <c r="N26" i="38" s="1"/>
  <c r="L25" i="38"/>
  <c r="L26" i="38" s="1"/>
  <c r="H25" i="38"/>
  <c r="H26" i="38" s="1"/>
  <c r="P25" i="38"/>
  <c r="P26" i="38" s="1"/>
  <c r="J25" i="38"/>
  <c r="J26" i="38" s="1"/>
  <c r="K25" i="38"/>
  <c r="K26" i="38" s="1"/>
  <c r="E59" i="37"/>
  <c r="E58" i="37"/>
  <c r="E57" i="37"/>
  <c r="C6" i="45" l="1"/>
  <c r="E6" i="45" s="1"/>
  <c r="C4" i="45"/>
  <c r="F4" i="45" s="1"/>
  <c r="E11" i="45"/>
  <c r="F11" i="45"/>
  <c r="D74" i="40"/>
  <c r="D10" i="45" s="1"/>
  <c r="D76" i="40"/>
  <c r="C10" i="45" s="1"/>
  <c r="D76" i="39"/>
  <c r="C9" i="45" s="1"/>
  <c r="D74" i="39"/>
  <c r="D9" i="45" s="1"/>
  <c r="D23" i="38"/>
  <c r="D12" i="45" s="1"/>
  <c r="D25" i="38"/>
  <c r="E56" i="37"/>
  <c r="E55" i="37"/>
  <c r="E54" i="37"/>
  <c r="E53" i="37"/>
  <c r="E52" i="37"/>
  <c r="E51" i="37"/>
  <c r="C12" i="45" l="1"/>
  <c r="E12" i="45" s="1"/>
  <c r="D76" i="33"/>
  <c r="C113" i="42" a="1"/>
  <c r="C113" i="42" s="1"/>
  <c r="C113" i="41"/>
  <c r="F6" i="45"/>
  <c r="E4" i="45"/>
  <c r="F12" i="45"/>
  <c r="F9" i="45"/>
  <c r="E9" i="45"/>
  <c r="E10" i="45"/>
  <c r="F10" i="45"/>
  <c r="E26" i="37"/>
  <c r="E24" i="37"/>
  <c r="E22" i="37"/>
  <c r="E21" i="37"/>
  <c r="E17" i="37"/>
  <c r="E16" i="37"/>
  <c r="E15" i="37"/>
  <c r="S94" i="37"/>
  <c r="R94" i="37"/>
  <c r="Q94" i="37"/>
  <c r="P93" i="37"/>
  <c r="O93" i="37"/>
  <c r="N93" i="37"/>
  <c r="M93" i="37"/>
  <c r="L93" i="37"/>
  <c r="K93" i="37"/>
  <c r="J93" i="37"/>
  <c r="I93" i="37"/>
  <c r="H93" i="37"/>
  <c r="E79" i="37"/>
  <c r="E78" i="37"/>
  <c r="E77" i="37"/>
  <c r="E76" i="37"/>
  <c r="E75" i="37"/>
  <c r="E67" i="37"/>
  <c r="E68" i="37"/>
  <c r="E66" i="37"/>
  <c r="E50" i="37"/>
  <c r="E49" i="37"/>
  <c r="E48" i="37"/>
  <c r="E47" i="37"/>
  <c r="E14" i="37"/>
  <c r="E13" i="37"/>
  <c r="E12" i="37"/>
  <c r="E6" i="37"/>
  <c r="E5" i="37"/>
  <c r="E4" i="37"/>
  <c r="W72" i="33"/>
  <c r="V130" i="35"/>
  <c r="U130" i="35"/>
  <c r="T130" i="35"/>
  <c r="K129" i="35"/>
  <c r="E31" i="35"/>
  <c r="E30" i="35"/>
  <c r="E29" i="35"/>
  <c r="E28" i="35"/>
  <c r="E126" i="35"/>
  <c r="E125" i="35"/>
  <c r="E122" i="35"/>
  <c r="E121" i="35"/>
  <c r="E120" i="35"/>
  <c r="E119" i="35"/>
  <c r="E118" i="35"/>
  <c r="E117" i="35"/>
  <c r="E116" i="35"/>
  <c r="E115" i="35"/>
  <c r="E114" i="35"/>
  <c r="E113" i="35"/>
  <c r="E112" i="35"/>
  <c r="E111" i="35"/>
  <c r="E110" i="35"/>
  <c r="E109" i="35"/>
  <c r="E108" i="35"/>
  <c r="E107" i="35"/>
  <c r="E106" i="35"/>
  <c r="E105" i="35"/>
  <c r="E104" i="35"/>
  <c r="E103" i="35"/>
  <c r="E102" i="35"/>
  <c r="E101" i="35"/>
  <c r="E100" i="35"/>
  <c r="E99" i="35"/>
  <c r="E98" i="35"/>
  <c r="E97" i="35"/>
  <c r="E96" i="35"/>
  <c r="E95" i="35"/>
  <c r="E94" i="35"/>
  <c r="E93" i="35"/>
  <c r="E92" i="35"/>
  <c r="E91" i="35"/>
  <c r="E90" i="35"/>
  <c r="E89" i="35"/>
  <c r="E88" i="35"/>
  <c r="E87" i="35"/>
  <c r="E86" i="35"/>
  <c r="E85" i="35"/>
  <c r="E84" i="35"/>
  <c r="E83" i="35"/>
  <c r="E82" i="35"/>
  <c r="E81" i="35"/>
  <c r="E80" i="35"/>
  <c r="E79" i="35"/>
  <c r="E78" i="35"/>
  <c r="E77" i="35"/>
  <c r="E76" i="35"/>
  <c r="E75" i="35"/>
  <c r="E74" i="35"/>
  <c r="E73" i="35"/>
  <c r="E72" i="35"/>
  <c r="E71" i="35"/>
  <c r="E70" i="35"/>
  <c r="E69" i="35"/>
  <c r="E68" i="35"/>
  <c r="E67" i="35"/>
  <c r="E66" i="35"/>
  <c r="E65" i="35"/>
  <c r="E64" i="35"/>
  <c r="E63" i="35"/>
  <c r="E60" i="35"/>
  <c r="E51" i="35"/>
  <c r="E38" i="35"/>
  <c r="E62" i="35"/>
  <c r="E61" i="35"/>
  <c r="E59" i="35"/>
  <c r="E58" i="35"/>
  <c r="E57" i="35"/>
  <c r="E56" i="35"/>
  <c r="E55" i="35"/>
  <c r="E54" i="35"/>
  <c r="E53" i="35"/>
  <c r="E52" i="35"/>
  <c r="E50" i="35"/>
  <c r="E49" i="35"/>
  <c r="E48" i="35"/>
  <c r="E47" i="35"/>
  <c r="E46" i="35"/>
  <c r="E45" i="35"/>
  <c r="E44" i="35"/>
  <c r="E43" i="35"/>
  <c r="E42" i="35"/>
  <c r="E41" i="35"/>
  <c r="E40" i="35"/>
  <c r="E39" i="35"/>
  <c r="E37" i="35"/>
  <c r="E36" i="35"/>
  <c r="E35" i="35"/>
  <c r="E34" i="35"/>
  <c r="E33" i="35"/>
  <c r="E32" i="35"/>
  <c r="E27" i="35"/>
  <c r="E26" i="35"/>
  <c r="E25" i="35"/>
  <c r="E24" i="35"/>
  <c r="E23" i="35"/>
  <c r="E22" i="35"/>
  <c r="E21" i="35"/>
  <c r="E20" i="35"/>
  <c r="E19" i="35"/>
  <c r="E12" i="35"/>
  <c r="E7" i="35"/>
  <c r="O94" i="37" l="1"/>
  <c r="O95" i="37" s="1"/>
  <c r="K94" i="37"/>
  <c r="K95" i="37" s="1"/>
  <c r="N94" i="37"/>
  <c r="N95" i="37" s="1"/>
  <c r="J94" i="37"/>
  <c r="J95" i="37" s="1"/>
  <c r="P94" i="37"/>
  <c r="P95" i="37" s="1"/>
  <c r="M94" i="37"/>
  <c r="M95" i="37" s="1"/>
  <c r="H94" i="37"/>
  <c r="H95" i="37" s="1"/>
  <c r="L94" i="37"/>
  <c r="L95" i="37" s="1"/>
  <c r="I94" i="37"/>
  <c r="I95" i="37" s="1"/>
  <c r="E8" i="35"/>
  <c r="D92" i="37" l="1"/>
  <c r="D8" i="45" s="1"/>
  <c r="D94" i="37"/>
  <c r="E95" i="36"/>
  <c r="C8" i="45" l="1"/>
  <c r="E8" i="45" s="1"/>
  <c r="E47" i="36"/>
  <c r="E46" i="36"/>
  <c r="E45" i="36"/>
  <c r="E31" i="36"/>
  <c r="E54" i="36"/>
  <c r="F8" i="45" l="1"/>
  <c r="F72" i="33"/>
  <c r="F73" i="33"/>
  <c r="B66" i="33"/>
  <c r="B65" i="33"/>
  <c r="E127" i="35"/>
  <c r="E57" i="36"/>
  <c r="E97" i="36"/>
  <c r="E98" i="36"/>
  <c r="E70" i="36"/>
  <c r="E30" i="36"/>
  <c r="E26" i="36"/>
  <c r="E96" i="36"/>
  <c r="B69" i="33" l="1"/>
  <c r="B64" i="33"/>
  <c r="B63" i="33"/>
  <c r="B10" i="33"/>
  <c r="B62" i="33"/>
  <c r="B61" i="33"/>
  <c r="B60" i="33"/>
  <c r="B59" i="33"/>
  <c r="B58" i="33"/>
  <c r="B40" i="33"/>
  <c r="B39" i="33"/>
  <c r="B38" i="33"/>
  <c r="B37" i="33"/>
  <c r="B49" i="33"/>
  <c r="B35" i="33"/>
  <c r="B34" i="33"/>
  <c r="B33" i="33"/>
  <c r="B32" i="33"/>
  <c r="B31" i="33"/>
  <c r="B43" i="33"/>
  <c r="B30" i="33"/>
  <c r="B42" i="33"/>
  <c r="B25" i="33"/>
  <c r="B29" i="33"/>
  <c r="B28" i="33"/>
  <c r="B27" i="33"/>
  <c r="B26" i="33"/>
  <c r="B24" i="33"/>
  <c r="B23" i="33"/>
  <c r="B22" i="33"/>
  <c r="B21" i="33"/>
  <c r="B20" i="33"/>
  <c r="B18" i="33"/>
  <c r="B19" i="33"/>
  <c r="B17" i="33"/>
  <c r="B16" i="33"/>
  <c r="B15" i="33"/>
  <c r="B14" i="33"/>
  <c r="B57" i="33"/>
  <c r="B56" i="33"/>
  <c r="B13" i="33"/>
  <c r="B55" i="33"/>
  <c r="B12" i="33"/>
  <c r="B11" i="33"/>
  <c r="B9" i="33"/>
  <c r="B8" i="33"/>
  <c r="B7" i="33"/>
  <c r="B6" i="33"/>
  <c r="B5" i="33"/>
  <c r="B4" i="33"/>
  <c r="S129" i="35" l="1"/>
  <c r="S130" i="35" s="1"/>
  <c r="S131" i="35" s="1"/>
  <c r="R129" i="35"/>
  <c r="R130" i="35" s="1"/>
  <c r="R131" i="35" s="1"/>
  <c r="Q129" i="35"/>
  <c r="Q130" i="35" s="1"/>
  <c r="Q131" i="35" s="1"/>
  <c r="P129" i="35"/>
  <c r="P130" i="35" s="1"/>
  <c r="P131" i="35" s="1"/>
  <c r="O129" i="35"/>
  <c r="O130" i="35" s="1"/>
  <c r="O131" i="35" s="1"/>
  <c r="N129" i="35"/>
  <c r="N130" i="35" s="1"/>
  <c r="N131" i="35" s="1"/>
  <c r="M129" i="35"/>
  <c r="M130" i="35" s="1"/>
  <c r="M131" i="35" s="1"/>
  <c r="L129" i="35"/>
  <c r="L130" i="35" s="1"/>
  <c r="L131" i="35" s="1"/>
  <c r="E124" i="35"/>
  <c r="E123" i="35"/>
  <c r="E18" i="35"/>
  <c r="E17" i="35"/>
  <c r="E16" i="35"/>
  <c r="E15" i="35"/>
  <c r="E14" i="35"/>
  <c r="E13" i="35"/>
  <c r="E11" i="35"/>
  <c r="E10" i="35"/>
  <c r="E9" i="35"/>
  <c r="E6" i="35"/>
  <c r="E5" i="35"/>
  <c r="E4" i="35"/>
  <c r="E106" i="36" l="1"/>
  <c r="E105" i="36"/>
  <c r="E104" i="36"/>
  <c r="E103" i="36"/>
  <c r="E102" i="36"/>
  <c r="E101" i="36"/>
  <c r="E100" i="36"/>
  <c r="E99" i="36"/>
  <c r="E91" i="36"/>
  <c r="E90" i="36"/>
  <c r="E89" i="36"/>
  <c r="E88" i="36"/>
  <c r="E94" i="36"/>
  <c r="E87" i="36"/>
  <c r="E86" i="36"/>
  <c r="E85" i="36"/>
  <c r="E84" i="36"/>
  <c r="E83" i="36"/>
  <c r="E82" i="36"/>
  <c r="E81" i="36"/>
  <c r="E80" i="36"/>
  <c r="E79" i="36"/>
  <c r="E78" i="36"/>
  <c r="E77" i="36"/>
  <c r="E76" i="36"/>
  <c r="E75" i="36"/>
  <c r="E74" i="36"/>
  <c r="E73" i="36"/>
  <c r="E92" i="36"/>
  <c r="E72" i="36"/>
  <c r="E71" i="36"/>
  <c r="E69" i="36"/>
  <c r="E68" i="36"/>
  <c r="E67" i="36"/>
  <c r="E66" i="36"/>
  <c r="E65" i="36"/>
  <c r="E64" i="36"/>
  <c r="E63" i="36"/>
  <c r="E62" i="36"/>
  <c r="E61" i="36"/>
  <c r="E60" i="36"/>
  <c r="E59" i="36"/>
  <c r="E58" i="36"/>
  <c r="E56" i="36"/>
  <c r="E55" i="36"/>
  <c r="E53" i="36"/>
  <c r="E52" i="36"/>
  <c r="E51" i="36"/>
  <c r="E50" i="36"/>
  <c r="E49" i="36"/>
  <c r="E48" i="36"/>
  <c r="E44" i="36"/>
  <c r="E43" i="36"/>
  <c r="E42" i="36"/>
  <c r="E41" i="36"/>
  <c r="E40" i="36"/>
  <c r="E39" i="36"/>
  <c r="E38" i="36"/>
  <c r="E37" i="36"/>
  <c r="E36" i="36"/>
  <c r="E35" i="36"/>
  <c r="E34" i="36"/>
  <c r="E33" i="36"/>
  <c r="E32" i="36"/>
  <c r="E29" i="36"/>
  <c r="E28" i="36"/>
  <c r="E27" i="36"/>
  <c r="E25" i="36"/>
  <c r="E24" i="36"/>
  <c r="E23" i="36"/>
  <c r="E22" i="36"/>
  <c r="E21" i="36"/>
  <c r="E20" i="36"/>
  <c r="E19" i="36"/>
  <c r="E18" i="36"/>
  <c r="E17" i="36"/>
  <c r="E93" i="36"/>
  <c r="E16" i="36"/>
  <c r="E15" i="36"/>
  <c r="E14" i="36"/>
  <c r="E13" i="36"/>
  <c r="E12" i="36"/>
  <c r="E11" i="36"/>
  <c r="E10" i="36"/>
  <c r="E9" i="36"/>
  <c r="E8" i="36"/>
  <c r="E7" i="36"/>
  <c r="E6" i="36"/>
  <c r="E5" i="36"/>
  <c r="E4" i="36"/>
  <c r="H108" i="36"/>
  <c r="S109" i="36"/>
  <c r="R109" i="36"/>
  <c r="P108" i="36"/>
  <c r="O108" i="36"/>
  <c r="N108" i="36"/>
  <c r="M108" i="36"/>
  <c r="L108" i="36"/>
  <c r="K108" i="36"/>
  <c r="J108" i="36"/>
  <c r="I108" i="36"/>
  <c r="I109" i="36" l="1"/>
  <c r="I110" i="36" s="1"/>
  <c r="J109" i="36"/>
  <c r="J110" i="36" s="1"/>
  <c r="P109" i="36"/>
  <c r="P110" i="36" s="1"/>
  <c r="M109" i="36"/>
  <c r="M110" i="36" s="1"/>
  <c r="N109" i="36"/>
  <c r="N110" i="36" s="1"/>
  <c r="L109" i="36"/>
  <c r="L110" i="36" s="1"/>
  <c r="K109" i="36"/>
  <c r="K110" i="36" s="1"/>
  <c r="H109" i="36"/>
  <c r="D130" i="35"/>
  <c r="D128" i="35"/>
  <c r="O109" i="36"/>
  <c r="O110" i="36" s="1"/>
  <c r="H110" i="36" l="1"/>
  <c r="D107" i="36"/>
  <c r="D3" i="45" s="1"/>
  <c r="D13" i="45" l="1"/>
  <c r="P111" i="36"/>
  <c r="D109" i="36"/>
  <c r="C3" i="45" l="1"/>
  <c r="E3" i="45" s="1"/>
  <c r="E13" i="45" s="1"/>
  <c r="C115" i="36"/>
  <c r="C13" i="45"/>
  <c r="F13" i="45" s="1"/>
  <c r="F3" i="4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<sst xmlns="http://schemas.openxmlformats.org/spreadsheetml/2006/main" count="11365" uniqueCount="1019">
  <si>
    <t>予定項目数</t>
    <rPh sb="0" eb="2">
      <t>ヨテイ</t>
    </rPh>
    <rPh sb="2" eb="4">
      <t>コウモク</t>
    </rPh>
    <rPh sb="4" eb="5">
      <t>スウ</t>
    </rPh>
    <phoneticPr fontId="23"/>
  </si>
  <si>
    <t>実績項目数</t>
    <rPh sb="0" eb="2">
      <t>ジッセキ</t>
    </rPh>
    <rPh sb="2" eb="4">
      <t>コウモク</t>
    </rPh>
    <rPh sb="4" eb="5">
      <t>スウ</t>
    </rPh>
    <phoneticPr fontId="23"/>
  </si>
  <si>
    <t>残項目数</t>
    <rPh sb="0" eb="1">
      <t>ザン</t>
    </rPh>
    <rPh sb="1" eb="3">
      <t>コウモク</t>
    </rPh>
    <rPh sb="3" eb="4">
      <t>スウ</t>
    </rPh>
    <phoneticPr fontId="23"/>
  </si>
  <si>
    <t>完了率</t>
    <rPh sb="0" eb="2">
      <t>カンリョウ</t>
    </rPh>
    <rPh sb="2" eb="3">
      <t>リツ</t>
    </rPh>
    <phoneticPr fontId="23"/>
  </si>
  <si>
    <t>パッケージ系</t>
    <phoneticPr fontId="23"/>
  </si>
  <si>
    <t>パッケージ系 (SS)</t>
    <phoneticPr fontId="23"/>
  </si>
  <si>
    <t>SPS系</t>
    <phoneticPr fontId="23"/>
  </si>
  <si>
    <t>???</t>
    <phoneticPr fontId="23"/>
  </si>
  <si>
    <t>パッケージ系 (PS)</t>
    <phoneticPr fontId="23"/>
  </si>
  <si>
    <t>サーバ系</t>
    <phoneticPr fontId="23"/>
  </si>
  <si>
    <t>Win10対応_POS</t>
    <phoneticPr fontId="23"/>
  </si>
  <si>
    <t>Win10対応_SS</t>
    <phoneticPr fontId="23"/>
  </si>
  <si>
    <t>Win10対応_PS</t>
    <phoneticPr fontId="23"/>
  </si>
  <si>
    <t>Win10対応_フルセルフ</t>
    <phoneticPr fontId="23"/>
  </si>
  <si>
    <t>Win10対応_サーバ</t>
    <phoneticPr fontId="23"/>
  </si>
  <si>
    <t>合計</t>
    <rPh sb="0" eb="2">
      <t>ゴウケイ</t>
    </rPh>
    <phoneticPr fontId="23"/>
  </si>
  <si>
    <t>TeamStore/M</t>
    <phoneticPr fontId="3"/>
  </si>
  <si>
    <t>システムテスト仕様書兼完了報告書</t>
  </si>
  <si>
    <t>リグレッション（定型確認）</t>
    <rPh sb="8" eb="10">
      <t>テイケイ</t>
    </rPh>
    <rPh sb="10" eb="12">
      <t>カクニン</t>
    </rPh>
    <phoneticPr fontId="3"/>
  </si>
  <si>
    <t>第１．７版　２０２４年９月１３日</t>
    <phoneticPr fontId="3"/>
  </si>
  <si>
    <t>富士通株式会社</t>
    <rPh sb="3" eb="7">
      <t>カブシキガイシャ</t>
    </rPh>
    <phoneticPr fontId="3"/>
  </si>
  <si>
    <t xml:space="preserve">  GCSBG　Retail事業本部　リテールチェーン事業部</t>
    <rPh sb="14" eb="16">
      <t>ジギョウ</t>
    </rPh>
    <rPh sb="16" eb="18">
      <t>ホンブ</t>
    </rPh>
    <rPh sb="27" eb="29">
      <t>ジギョウ</t>
    </rPh>
    <rPh sb="29" eb="30">
      <t>ブ</t>
    </rPh>
    <phoneticPr fontId="3"/>
  </si>
  <si>
    <t>TeamStore/M　POSシステム</t>
    <phoneticPr fontId="21"/>
  </si>
  <si>
    <t>システム名</t>
  </si>
  <si>
    <t>業務名</t>
  </si>
  <si>
    <t>リグレッションテスト</t>
    <phoneticPr fontId="21"/>
  </si>
  <si>
    <t>TeamStore/M</t>
    <phoneticPr fontId="21"/>
  </si>
  <si>
    <t>改版履歴</t>
    <rPh sb="0" eb="2">
      <t>カイハン</t>
    </rPh>
    <rPh sb="2" eb="4">
      <t>リレキ</t>
    </rPh>
    <phoneticPr fontId="21"/>
  </si>
  <si>
    <t>日付</t>
    <rPh sb="0" eb="2">
      <t>ヒヅケ</t>
    </rPh>
    <phoneticPr fontId="21"/>
  </si>
  <si>
    <t>版数</t>
    <rPh sb="0" eb="2">
      <t>ハンスウ</t>
    </rPh>
    <phoneticPr fontId="21"/>
  </si>
  <si>
    <t>章番号</t>
    <rPh sb="0" eb="3">
      <t>ショウバンゴウ</t>
    </rPh>
    <phoneticPr fontId="21"/>
  </si>
  <si>
    <t>修正内容</t>
    <rPh sb="0" eb="2">
      <t>シュウセイ</t>
    </rPh>
    <rPh sb="2" eb="4">
      <t>ナイヨウ</t>
    </rPh>
    <phoneticPr fontId="21"/>
  </si>
  <si>
    <t>担当</t>
    <rPh sb="0" eb="2">
      <t>タントウ</t>
    </rPh>
    <phoneticPr fontId="21"/>
  </si>
  <si>
    <t>新規作成</t>
    <rPh sb="0" eb="2">
      <t>シンキ</t>
    </rPh>
    <rPh sb="2" eb="4">
      <t>サクセイ</t>
    </rPh>
    <phoneticPr fontId="21"/>
  </si>
  <si>
    <t>富士通</t>
    <rPh sb="0" eb="3">
      <t>フジツウ</t>
    </rPh>
    <phoneticPr fontId="21"/>
  </si>
  <si>
    <t>レイアウト変更</t>
    <rPh sb="5" eb="7">
      <t>ヘンコウ</t>
    </rPh>
    <phoneticPr fontId="21"/>
  </si>
  <si>
    <t>標準PTFベースアップ項目追記</t>
    <rPh sb="0" eb="2">
      <t>ヒョウジュン</t>
    </rPh>
    <rPh sb="11" eb="13">
      <t>コウモク</t>
    </rPh>
    <rPh sb="13" eb="15">
      <t>ツイキ</t>
    </rPh>
    <phoneticPr fontId="21"/>
  </si>
  <si>
    <t>項目精査実施</t>
    <rPh sb="0" eb="2">
      <t>コウモク</t>
    </rPh>
    <rPh sb="2" eb="4">
      <t>セイサ</t>
    </rPh>
    <rPh sb="4" eb="6">
      <t>ジッシ</t>
    </rPh>
    <phoneticPr fontId="21"/>
  </si>
  <si>
    <t>とくし丸リグレッションシート作成</t>
    <rPh sb="3" eb="4">
      <t>マル</t>
    </rPh>
    <rPh sb="14" eb="16">
      <t>サクセイ</t>
    </rPh>
    <phoneticPr fontId="21"/>
  </si>
  <si>
    <t>Windows10対応シート作成</t>
    <rPh sb="9" eb="11">
      <t>タイオウ</t>
    </rPh>
    <rPh sb="14" eb="16">
      <t>サクセイ</t>
    </rPh>
    <phoneticPr fontId="21"/>
  </si>
  <si>
    <t>フルセルフシート作成</t>
    <rPh sb="8" eb="10">
      <t>サクセイ</t>
    </rPh>
    <phoneticPr fontId="21"/>
  </si>
  <si>
    <t>交通系電子マネー項目追加</t>
    <rPh sb="0" eb="3">
      <t>コウツウケイ</t>
    </rPh>
    <rPh sb="3" eb="5">
      <t>デンシ</t>
    </rPh>
    <rPh sb="8" eb="10">
      <t>コウモク</t>
    </rPh>
    <rPh sb="10" eb="12">
      <t>ツイカ</t>
    </rPh>
    <phoneticPr fontId="21"/>
  </si>
  <si>
    <t>いなげや様 パッケージ　リグレッションテスト仕様書　</t>
    <rPh sb="4" eb="5">
      <t>サマ</t>
    </rPh>
    <rPh sb="22" eb="25">
      <t>シヨウショ</t>
    </rPh>
    <phoneticPr fontId="23"/>
  </si>
  <si>
    <t>大分類</t>
    <rPh sb="0" eb="3">
      <t>ダイブンルイ</t>
    </rPh>
    <phoneticPr fontId="23"/>
  </si>
  <si>
    <t>中分類</t>
    <rPh sb="0" eb="1">
      <t>チュウ</t>
    </rPh>
    <rPh sb="1" eb="3">
      <t>ブンルイ</t>
    </rPh>
    <phoneticPr fontId="23"/>
  </si>
  <si>
    <t>小分類</t>
    <rPh sb="0" eb="3">
      <t>ショウブンルイ</t>
    </rPh>
    <phoneticPr fontId="23"/>
  </si>
  <si>
    <t>テスト項目</t>
    <rPh sb="3" eb="5">
      <t>コウモク</t>
    </rPh>
    <phoneticPr fontId="23"/>
  </si>
  <si>
    <t>POS</t>
    <phoneticPr fontId="23"/>
  </si>
  <si>
    <t>チェック日付</t>
    <phoneticPr fontId="23"/>
  </si>
  <si>
    <t>担当</t>
  </si>
  <si>
    <t>備考</t>
    <rPh sb="0" eb="2">
      <t>ビコウ</t>
    </rPh>
    <phoneticPr fontId="23"/>
  </si>
  <si>
    <t>No</t>
  </si>
  <si>
    <t>POS操作</t>
    <rPh sb="3" eb="5">
      <t>ソウサ</t>
    </rPh>
    <phoneticPr fontId="23"/>
  </si>
  <si>
    <t>結果</t>
  </si>
  <si>
    <t>動作</t>
    <rPh sb="0" eb="2">
      <t>ドウサ</t>
    </rPh>
    <phoneticPr fontId="24"/>
  </si>
  <si>
    <t>DB</t>
  </si>
  <si>
    <t>ｶｽﾀﾏ</t>
  </si>
  <si>
    <t>画面</t>
    <rPh sb="0" eb="2">
      <t>ガメン</t>
    </rPh>
    <phoneticPr fontId="23"/>
  </si>
  <si>
    <t>ﾚｼｰﾄ</t>
  </si>
  <si>
    <t>ｼﾞｬｰﾅﾙ</t>
  </si>
  <si>
    <t>音声</t>
    <rPh sb="0" eb="2">
      <t>オンセイ</t>
    </rPh>
    <phoneticPr fontId="23"/>
  </si>
  <si>
    <t>ﾛｸﾞ</t>
  </si>
  <si>
    <t>小型
LCD</t>
    <rPh sb="0" eb="2">
      <t>コガタ</t>
    </rPh>
    <phoneticPr fontId="25"/>
  </si>
  <si>
    <t>OK</t>
  </si>
  <si>
    <t>NG</t>
  </si>
  <si>
    <t>修正
OK</t>
    <phoneticPr fontId="23"/>
  </si>
  <si>
    <t>適用確認</t>
    <rPh sb="0" eb="2">
      <t>テキヨウ</t>
    </rPh>
    <rPh sb="2" eb="4">
      <t>カクニン</t>
    </rPh>
    <phoneticPr fontId="4"/>
  </si>
  <si>
    <t>リモメン</t>
  </si>
  <si>
    <t>PTFLOG</t>
  </si>
  <si>
    <t>ログ確認
対象POS　C:\GSFD直下</t>
    <rPh sb="2" eb="4">
      <t>カクニン</t>
    </rPh>
    <phoneticPr fontId="23"/>
  </si>
  <si>
    <t>PTFLOGを開き、エラーが出力されていないこと</t>
    <phoneticPr fontId="23"/>
  </si>
  <si>
    <t>ー</t>
  </si>
  <si>
    <t>□</t>
  </si>
  <si>
    <t>PTFLOG2</t>
  </si>
  <si>
    <t>PTFLOG2を開き、エラーが出力されていないこと</t>
    <rPh sb="8" eb="9">
      <t>ヒラ</t>
    </rPh>
    <phoneticPr fontId="17"/>
  </si>
  <si>
    <t>外付けPTF適用</t>
    <rPh sb="0" eb="1">
      <t>ソト</t>
    </rPh>
    <rPh sb="1" eb="2">
      <t>ヅ</t>
    </rPh>
    <rPh sb="6" eb="8">
      <t>テキヨウ</t>
    </rPh>
    <phoneticPr fontId="4"/>
  </si>
  <si>
    <t>CTKYLOG</t>
    <phoneticPr fontId="23"/>
  </si>
  <si>
    <t>ログ確認
対象POS　C:\CTKY直下</t>
    <rPh sb="2" eb="4">
      <t>カクニン</t>
    </rPh>
    <phoneticPr fontId="23"/>
  </si>
  <si>
    <t>CTKYLOGを開き、エラーが出力されていないこと</t>
    <rPh sb="8" eb="9">
      <t>ヒラ</t>
    </rPh>
    <rPh sb="15" eb="17">
      <t>シュツリョク</t>
    </rPh>
    <phoneticPr fontId="3"/>
  </si>
  <si>
    <t>SSVで確認</t>
    <rPh sb="4" eb="6">
      <t>カクニン</t>
    </rPh>
    <phoneticPr fontId="23"/>
  </si>
  <si>
    <t>CTKYLOG2</t>
    <phoneticPr fontId="23"/>
  </si>
  <si>
    <t>CTKYLOG2を開き、エラーが出力されていないこと</t>
    <rPh sb="9" eb="10">
      <t>ヒラ</t>
    </rPh>
    <phoneticPr fontId="17"/>
  </si>
  <si>
    <t>開局</t>
    <rPh sb="0" eb="2">
      <t>カイキョク</t>
    </rPh>
    <phoneticPr fontId="17"/>
  </si>
  <si>
    <t>正常開局</t>
    <rPh sb="0" eb="2">
      <t>セイジョウ</t>
    </rPh>
    <rPh sb="2" eb="4">
      <t>カイキョク</t>
    </rPh>
    <phoneticPr fontId="23"/>
  </si>
  <si>
    <t>正常に開局されること。決済端末が待機画面になること。</t>
    <rPh sb="11" eb="15">
      <t>ケッサイタンマツ</t>
    </rPh>
    <rPh sb="16" eb="18">
      <t>タイキ</t>
    </rPh>
    <rPh sb="18" eb="20">
      <t>ガメン</t>
    </rPh>
    <phoneticPr fontId="23"/>
  </si>
  <si>
    <t>キーレイアウト</t>
    <phoneticPr fontId="23"/>
  </si>
  <si>
    <t>キーレイアウト反映の確認
（サーバのテストで、機能キーとプリセットの変更を行い反映されることを確認する）</t>
    <rPh sb="7" eb="9">
      <t>ハンエイ</t>
    </rPh>
    <rPh sb="10" eb="12">
      <t>カクニン</t>
    </rPh>
    <rPh sb="23" eb="25">
      <t>キノウ</t>
    </rPh>
    <rPh sb="34" eb="36">
      <t>ヘンコウ</t>
    </rPh>
    <rPh sb="37" eb="38">
      <t>オコナ</t>
    </rPh>
    <rPh sb="39" eb="41">
      <t>ハンエイ</t>
    </rPh>
    <rPh sb="47" eb="49">
      <t>カクニン</t>
    </rPh>
    <phoneticPr fontId="3"/>
  </si>
  <si>
    <t>レシート</t>
    <phoneticPr fontId="23"/>
  </si>
  <si>
    <t>さんにち割引</t>
    <rPh sb="4" eb="6">
      <t>ワリビキ</t>
    </rPh>
    <phoneticPr fontId="23"/>
  </si>
  <si>
    <t>「さんにち割引」が表示されていること
対象日付が表示されていること</t>
    <rPh sb="5" eb="7">
      <t>ワリビキ</t>
    </rPh>
    <rPh sb="9" eb="11">
      <t>ヒョウジ</t>
    </rPh>
    <rPh sb="19" eb="21">
      <t>タイショウ</t>
    </rPh>
    <rPh sb="21" eb="23">
      <t>ヒヅケ</t>
    </rPh>
    <rPh sb="24" eb="26">
      <t>ヒョウジ</t>
    </rPh>
    <phoneticPr fontId="3"/>
  </si>
  <si>
    <t>OPキー</t>
  </si>
  <si>
    <t>売上</t>
    <phoneticPr fontId="23"/>
  </si>
  <si>
    <t>部門入力</t>
    <rPh sb="0" eb="2">
      <t>ブモン</t>
    </rPh>
    <rPh sb="2" eb="4">
      <t>ニュウリョク</t>
    </rPh>
    <phoneticPr fontId="17"/>
  </si>
  <si>
    <t>動作確認
部門コード　クラスボタン</t>
    <rPh sb="0" eb="2">
      <t>ドウサ</t>
    </rPh>
    <rPh sb="2" eb="4">
      <t>カクニン</t>
    </rPh>
    <phoneticPr fontId="23"/>
  </si>
  <si>
    <t>部門コードを手入力して登録し、正常に登録できることを確認</t>
    <rPh sb="0" eb="2">
      <t>ブモン</t>
    </rPh>
    <rPh sb="6" eb="7">
      <t>テ</t>
    </rPh>
    <rPh sb="7" eb="9">
      <t>ニュウリョク</t>
    </rPh>
    <rPh sb="11" eb="13">
      <t>トウロク</t>
    </rPh>
    <rPh sb="15" eb="17">
      <t>セイジョウ</t>
    </rPh>
    <rPh sb="18" eb="20">
      <t>トウロク</t>
    </rPh>
    <rPh sb="26" eb="28">
      <t>カクニン</t>
    </rPh>
    <phoneticPr fontId="17"/>
  </si>
  <si>
    <t>フル部門キー登録</t>
    <rPh sb="2" eb="4">
      <t>ブモン</t>
    </rPh>
    <rPh sb="6" eb="8">
      <t>トウロク</t>
    </rPh>
    <phoneticPr fontId="17"/>
  </si>
  <si>
    <t>プリセットは電子多項目で
登録されているボタン
・部門
フル部門キーはフルの部門キー</t>
    <rPh sb="6" eb="8">
      <t>デンシ</t>
    </rPh>
    <rPh sb="8" eb="11">
      <t>タコウモク</t>
    </rPh>
    <rPh sb="13" eb="15">
      <t>トウロク</t>
    </rPh>
    <rPh sb="25" eb="27">
      <t>ブモン</t>
    </rPh>
    <rPh sb="30" eb="32">
      <t>ブモン</t>
    </rPh>
    <rPh sb="38" eb="40">
      <t>ブモン</t>
    </rPh>
    <phoneticPr fontId="23"/>
  </si>
  <si>
    <t>プリセットで登録してあるフル部門キーを使用して登録し、
正常に登録できることを確認</t>
    <rPh sb="6" eb="8">
      <t>トウロク</t>
    </rPh>
    <rPh sb="14" eb="16">
      <t>ブモン</t>
    </rPh>
    <rPh sb="19" eb="21">
      <t>シヨウ</t>
    </rPh>
    <rPh sb="23" eb="25">
      <t>トウロク</t>
    </rPh>
    <rPh sb="28" eb="30">
      <t>セイジョウ</t>
    </rPh>
    <rPh sb="31" eb="33">
      <t>トウロク</t>
    </rPh>
    <rPh sb="39" eb="41">
      <t>カクニン</t>
    </rPh>
    <phoneticPr fontId="17"/>
  </si>
  <si>
    <t>特売</t>
    <rPh sb="0" eb="2">
      <t>トクバイ</t>
    </rPh>
    <phoneticPr fontId="17"/>
  </si>
  <si>
    <t>サーバで特売を登録し、正常にPOSに反映すること（リアルメンテ確認）</t>
    <rPh sb="4" eb="6">
      <t>トクバイ</t>
    </rPh>
    <rPh sb="7" eb="9">
      <t>トウロク</t>
    </rPh>
    <rPh sb="11" eb="13">
      <t>セイジョウ</t>
    </rPh>
    <rPh sb="18" eb="20">
      <t>ハンエイ</t>
    </rPh>
    <rPh sb="31" eb="33">
      <t>カクニン</t>
    </rPh>
    <phoneticPr fontId="17"/>
  </si>
  <si>
    <t>キーPLU</t>
  </si>
  <si>
    <t>商品JANコードを入力しPLUボタン</t>
    <rPh sb="0" eb="2">
      <t>ショウヒン</t>
    </rPh>
    <rPh sb="9" eb="11">
      <t>ニュウリョク</t>
    </rPh>
    <phoneticPr fontId="23"/>
  </si>
  <si>
    <t>正常に売上登録できること</t>
    <rPh sb="0" eb="2">
      <t>セイジョウ</t>
    </rPh>
    <rPh sb="3" eb="5">
      <t>ウリアゲ</t>
    </rPh>
    <rPh sb="5" eb="7">
      <t>トウロク</t>
    </rPh>
    <phoneticPr fontId="17"/>
  </si>
  <si>
    <t>ー</t>
    <phoneticPr fontId="17"/>
  </si>
  <si>
    <t>運用未使用</t>
    <rPh sb="0" eb="2">
      <t>ウンヨウ</t>
    </rPh>
    <rPh sb="2" eb="3">
      <t>ミ</t>
    </rPh>
    <rPh sb="3" eb="5">
      <t>シヨウ</t>
    </rPh>
    <phoneticPr fontId="17"/>
  </si>
  <si>
    <t>保留</t>
    <rPh sb="0" eb="2">
      <t>ホリュウ</t>
    </rPh>
    <phoneticPr fontId="17"/>
  </si>
  <si>
    <t>正常に取引を保留できること</t>
    <rPh sb="0" eb="2">
      <t>セイジョウ</t>
    </rPh>
    <rPh sb="3" eb="5">
      <t>トリヒキ</t>
    </rPh>
    <rPh sb="6" eb="8">
      <t>ホリュウ</t>
    </rPh>
    <phoneticPr fontId="17"/>
  </si>
  <si>
    <t>復元</t>
    <rPh sb="0" eb="2">
      <t>フクゲン</t>
    </rPh>
    <phoneticPr fontId="17"/>
  </si>
  <si>
    <t>保留した取引を復元でき、追加で商品登録できること</t>
    <rPh sb="0" eb="2">
      <t>ホリュウ</t>
    </rPh>
    <rPh sb="4" eb="6">
      <t>トリヒキ</t>
    </rPh>
    <rPh sb="7" eb="9">
      <t>フクゲン</t>
    </rPh>
    <rPh sb="12" eb="14">
      <t>ツイカ</t>
    </rPh>
    <rPh sb="15" eb="17">
      <t>ショウヒン</t>
    </rPh>
    <rPh sb="17" eb="19">
      <t>トウロク</t>
    </rPh>
    <phoneticPr fontId="17"/>
  </si>
  <si>
    <t>乗算登録</t>
    <rPh sb="0" eb="2">
      <t>ジョウザン</t>
    </rPh>
    <rPh sb="2" eb="4">
      <t>トウロク</t>
    </rPh>
    <phoneticPr fontId="17"/>
  </si>
  <si>
    <t>乗算登録が正しくできること（前・後が正しく動作すること）</t>
    <rPh sb="0" eb="2">
      <t>ジョウザン</t>
    </rPh>
    <rPh sb="2" eb="4">
      <t>トウロク</t>
    </rPh>
    <rPh sb="5" eb="6">
      <t>タダ</t>
    </rPh>
    <rPh sb="14" eb="15">
      <t>マエ</t>
    </rPh>
    <rPh sb="16" eb="17">
      <t>アト</t>
    </rPh>
    <rPh sb="18" eb="19">
      <t>タダ</t>
    </rPh>
    <rPh sb="21" eb="23">
      <t>ドウサ</t>
    </rPh>
    <phoneticPr fontId="17"/>
  </si>
  <si>
    <t>値引操作</t>
    <rPh sb="0" eb="2">
      <t>ネビキ</t>
    </rPh>
    <rPh sb="2" eb="4">
      <t>ソウサ</t>
    </rPh>
    <phoneticPr fontId="17"/>
  </si>
  <si>
    <t>マニュアル値引が正しく動作すること（前・後が正しく動作すること）</t>
    <rPh sb="5" eb="7">
      <t>ネビキ</t>
    </rPh>
    <rPh sb="8" eb="9">
      <t>タダ</t>
    </rPh>
    <rPh sb="11" eb="13">
      <t>ドウサ</t>
    </rPh>
    <rPh sb="18" eb="19">
      <t>マエ</t>
    </rPh>
    <rPh sb="20" eb="21">
      <t>アト</t>
    </rPh>
    <rPh sb="22" eb="23">
      <t>タダ</t>
    </rPh>
    <rPh sb="25" eb="27">
      <t>ドウサ</t>
    </rPh>
    <phoneticPr fontId="17"/>
  </si>
  <si>
    <t>2人制時、明細一覧画面にて、マニュアル値引が正しく動作すること</t>
    <rPh sb="1" eb="2">
      <t>ヒト</t>
    </rPh>
    <rPh sb="2" eb="3">
      <t>セイ</t>
    </rPh>
    <rPh sb="3" eb="4">
      <t>ジ</t>
    </rPh>
    <rPh sb="5" eb="7">
      <t>メイサイ</t>
    </rPh>
    <rPh sb="7" eb="9">
      <t>イチラン</t>
    </rPh>
    <rPh sb="9" eb="11">
      <t>ガメン</t>
    </rPh>
    <rPh sb="19" eb="21">
      <t>ネビキ</t>
    </rPh>
    <rPh sb="22" eb="23">
      <t>タダ</t>
    </rPh>
    <rPh sb="25" eb="27">
      <t>ドウサ</t>
    </rPh>
    <phoneticPr fontId="17"/>
  </si>
  <si>
    <t>電子多項目無し</t>
    <rPh sb="0" eb="2">
      <t>デンシ</t>
    </rPh>
    <rPh sb="2" eb="3">
      <t>オオ</t>
    </rPh>
    <rPh sb="3" eb="5">
      <t>コウモク</t>
    </rPh>
    <rPh sb="5" eb="6">
      <t>ナシ</t>
    </rPh>
    <phoneticPr fontId="17"/>
  </si>
  <si>
    <t>売価変更が正しくできること</t>
    <rPh sb="0" eb="2">
      <t>バイカ</t>
    </rPh>
    <rPh sb="2" eb="4">
      <t>ヘンコウ</t>
    </rPh>
    <rPh sb="5" eb="6">
      <t>タダ</t>
    </rPh>
    <phoneticPr fontId="17"/>
  </si>
  <si>
    <t>訂正</t>
    <rPh sb="0" eb="2">
      <t>テイセイ</t>
    </rPh>
    <phoneticPr fontId="17"/>
  </si>
  <si>
    <t>指定訂正／直前訂正が正しくできること</t>
    <rPh sb="0" eb="2">
      <t>シテイ</t>
    </rPh>
    <rPh sb="2" eb="4">
      <t>テイセイ</t>
    </rPh>
    <rPh sb="5" eb="7">
      <t>チョクゼン</t>
    </rPh>
    <rPh sb="7" eb="9">
      <t>テイセイ</t>
    </rPh>
    <rPh sb="10" eb="11">
      <t>タダ</t>
    </rPh>
    <phoneticPr fontId="17"/>
  </si>
  <si>
    <t>現外券</t>
    <rPh sb="0" eb="1">
      <t>ゲン</t>
    </rPh>
    <rPh sb="1" eb="2">
      <t>ガイ</t>
    </rPh>
    <rPh sb="2" eb="3">
      <t>ケン</t>
    </rPh>
    <phoneticPr fontId="17"/>
  </si>
  <si>
    <t>商品券（支払い一覧にて選択）</t>
    <rPh sb="0" eb="3">
      <t>ショウヒンケン</t>
    </rPh>
    <rPh sb="4" eb="6">
      <t>シハラ</t>
    </rPh>
    <rPh sb="7" eb="9">
      <t>イチラン</t>
    </rPh>
    <rPh sb="11" eb="13">
      <t>センタク</t>
    </rPh>
    <phoneticPr fontId="23"/>
  </si>
  <si>
    <t>現外券での支払い登録が正常にできること</t>
    <rPh sb="0" eb="1">
      <t>ゲン</t>
    </rPh>
    <rPh sb="1" eb="2">
      <t>ソト</t>
    </rPh>
    <rPh sb="2" eb="3">
      <t>ケン</t>
    </rPh>
    <rPh sb="5" eb="7">
      <t>シハラ</t>
    </rPh>
    <rPh sb="8" eb="10">
      <t>トウロク</t>
    </rPh>
    <rPh sb="11" eb="13">
      <t>セイジョウ</t>
    </rPh>
    <phoneticPr fontId="17"/>
  </si>
  <si>
    <t>再登録</t>
    <rPh sb="0" eb="3">
      <t>サイトウロク</t>
    </rPh>
    <phoneticPr fontId="17"/>
  </si>
  <si>
    <t>再登録後、再度商品登録できること</t>
    <rPh sb="0" eb="3">
      <t>サイトウロク</t>
    </rPh>
    <rPh sb="3" eb="4">
      <t>ゴ</t>
    </rPh>
    <rPh sb="5" eb="7">
      <t>サイド</t>
    </rPh>
    <rPh sb="7" eb="9">
      <t>ショウヒン</t>
    </rPh>
    <rPh sb="9" eb="11">
      <t>トウロク</t>
    </rPh>
    <phoneticPr fontId="17"/>
  </si>
  <si>
    <t>レシート印字</t>
    <rPh sb="4" eb="6">
      <t>インジ</t>
    </rPh>
    <phoneticPr fontId="17"/>
  </si>
  <si>
    <t>「今回ポイント　**p」が表示されること</t>
    <phoneticPr fontId="23"/>
  </si>
  <si>
    <t>「現在ポイント　**p」が表示されること</t>
    <phoneticPr fontId="23"/>
  </si>
  <si>
    <t>今回ポイント、現在ポイントのみ表示されること</t>
    <rPh sb="0" eb="2">
      <t>コンカイ</t>
    </rPh>
    <phoneticPr fontId="23"/>
  </si>
  <si>
    <t>レシート印字（クレジット）</t>
    <rPh sb="4" eb="6">
      <t>インジ</t>
    </rPh>
    <phoneticPr fontId="17"/>
  </si>
  <si>
    <t>クレジットレシートのクレジット会社名が正しく印字されること</t>
    <phoneticPr fontId="23"/>
  </si>
  <si>
    <t>デバイス</t>
    <phoneticPr fontId="23"/>
  </si>
  <si>
    <t>固定スキャナ</t>
    <rPh sb="0" eb="2">
      <t>コテイ</t>
    </rPh>
    <phoneticPr fontId="17"/>
  </si>
  <si>
    <t>商品登録できること</t>
    <rPh sb="0" eb="2">
      <t>ショウヒン</t>
    </rPh>
    <rPh sb="2" eb="4">
      <t>トウロク</t>
    </rPh>
    <phoneticPr fontId="17"/>
  </si>
  <si>
    <t>固定スキャナ無し</t>
    <rPh sb="0" eb="2">
      <t>コテイ</t>
    </rPh>
    <rPh sb="6" eb="7">
      <t>ナシ</t>
    </rPh>
    <phoneticPr fontId="17"/>
  </si>
  <si>
    <t>タッチスキャナ</t>
  </si>
  <si>
    <t>IC決済端末</t>
    <rPh sb="2" eb="4">
      <t>ケッサイ</t>
    </rPh>
    <rPh sb="4" eb="6">
      <t>タンマツ</t>
    </rPh>
    <phoneticPr fontId="17"/>
  </si>
  <si>
    <t>カードの読み込みができること（ＩＣあり・ＩＣなし）</t>
    <rPh sb="4" eb="5">
      <t>ヨ</t>
    </rPh>
    <rPh sb="6" eb="7">
      <t>コ</t>
    </rPh>
    <phoneticPr fontId="23"/>
  </si>
  <si>
    <t>Vカード会員宣言ができること</t>
    <rPh sb="4" eb="6">
      <t>カイイン</t>
    </rPh>
    <rPh sb="6" eb="8">
      <t>センゲン</t>
    </rPh>
    <phoneticPr fontId="23"/>
  </si>
  <si>
    <t>MSR（カードリーダ）</t>
    <phoneticPr fontId="23"/>
  </si>
  <si>
    <t>カードの読取できないこと</t>
    <rPh sb="4" eb="6">
      <t>ヨミトリ</t>
    </rPh>
    <phoneticPr fontId="23"/>
  </si>
  <si>
    <t>MSR部がハード的に埋め込まれている</t>
    <rPh sb="3" eb="4">
      <t>ブ</t>
    </rPh>
    <rPh sb="8" eb="9">
      <t>テキ</t>
    </rPh>
    <rPh sb="10" eb="11">
      <t>ウ</t>
    </rPh>
    <rPh sb="12" eb="13">
      <t>コ</t>
    </rPh>
    <phoneticPr fontId="17"/>
  </si>
  <si>
    <t>MSR2（カードリーダ）</t>
  </si>
  <si>
    <t>カードの読取できないこと（電子多項目横）</t>
    <rPh sb="4" eb="6">
      <t>ヨミトリ</t>
    </rPh>
    <rPh sb="13" eb="15">
      <t>デンシ</t>
    </rPh>
    <rPh sb="15" eb="16">
      <t>タ</t>
    </rPh>
    <rPh sb="16" eb="18">
      <t>コウモク</t>
    </rPh>
    <rPh sb="18" eb="19">
      <t>ヨコ</t>
    </rPh>
    <phoneticPr fontId="23"/>
  </si>
  <si>
    <t>メインキー</t>
  </si>
  <si>
    <t>動作すること</t>
    <rPh sb="0" eb="2">
      <t>ドウサ</t>
    </rPh>
    <phoneticPr fontId="17"/>
  </si>
  <si>
    <t>ファンクションキー</t>
  </si>
  <si>
    <t>電子多項目　物理キー</t>
    <rPh sb="0" eb="2">
      <t>デンシ</t>
    </rPh>
    <rPh sb="2" eb="3">
      <t>タ</t>
    </rPh>
    <rPh sb="3" eb="5">
      <t>コウモク</t>
    </rPh>
    <rPh sb="6" eb="8">
      <t>ブツリ</t>
    </rPh>
    <phoneticPr fontId="17"/>
  </si>
  <si>
    <t>電子多項目　電子キー</t>
    <rPh sb="0" eb="2">
      <t>デンシ</t>
    </rPh>
    <rPh sb="2" eb="3">
      <t>タ</t>
    </rPh>
    <rPh sb="3" eb="5">
      <t>コウモク</t>
    </rPh>
    <rPh sb="6" eb="8">
      <t>デンシ</t>
    </rPh>
    <phoneticPr fontId="17"/>
  </si>
  <si>
    <t>単品一覧</t>
    <rPh sb="0" eb="2">
      <t>タンピン</t>
    </rPh>
    <rPh sb="2" eb="4">
      <t>イチラン</t>
    </rPh>
    <phoneticPr fontId="17"/>
  </si>
  <si>
    <t>登録できること</t>
    <rPh sb="0" eb="2">
      <t>トウロク</t>
    </rPh>
    <phoneticPr fontId="17"/>
  </si>
  <si>
    <t>バーコード</t>
    <phoneticPr fontId="23"/>
  </si>
  <si>
    <t>JANコード　13桁/8桁</t>
    <rPh sb="9" eb="10">
      <t>ケタ</t>
    </rPh>
    <rPh sb="12" eb="13">
      <t>ケタ</t>
    </rPh>
    <phoneticPr fontId="17"/>
  </si>
  <si>
    <t>NON－PLUコード</t>
    <phoneticPr fontId="17"/>
  </si>
  <si>
    <t>02から始まるバーコード
肉魚量売りバーコード
バーコード後ろ下2桁から値段となる。</t>
    <rPh sb="4" eb="5">
      <t>ハジ</t>
    </rPh>
    <rPh sb="13" eb="14">
      <t>ニク</t>
    </rPh>
    <rPh sb="14" eb="15">
      <t>サカナ</t>
    </rPh>
    <rPh sb="15" eb="16">
      <t>リョウ</t>
    </rPh>
    <rPh sb="16" eb="17">
      <t>ウ</t>
    </rPh>
    <rPh sb="29" eb="30">
      <t>ウシ</t>
    </rPh>
    <rPh sb="31" eb="32">
      <t>シモ</t>
    </rPh>
    <rPh sb="33" eb="34">
      <t>ケタ</t>
    </rPh>
    <rPh sb="36" eb="38">
      <t>ネダン</t>
    </rPh>
    <phoneticPr fontId="23"/>
  </si>
  <si>
    <t>新雑誌コード（18桁）</t>
    <rPh sb="0" eb="1">
      <t>シン</t>
    </rPh>
    <rPh sb="1" eb="3">
      <t>ザッシ</t>
    </rPh>
    <rPh sb="9" eb="10">
      <t>ケタ</t>
    </rPh>
    <phoneticPr fontId="17"/>
  </si>
  <si>
    <t>登録できること（491021104117300314）</t>
    <rPh sb="0" eb="2">
      <t>トウロク</t>
    </rPh>
    <phoneticPr fontId="17"/>
  </si>
  <si>
    <t>書籍コード</t>
    <rPh sb="0" eb="2">
      <t>ショセキ</t>
    </rPh>
    <phoneticPr fontId="17"/>
  </si>
  <si>
    <t>1段値引バーコード（CODE128）</t>
    <rPh sb="1" eb="2">
      <t>ダン</t>
    </rPh>
    <rPh sb="2" eb="4">
      <t>ネビキ</t>
    </rPh>
    <phoneticPr fontId="17"/>
  </si>
  <si>
    <t>NONPLUで束になっているバーコードを使う</t>
    <rPh sb="7" eb="8">
      <t>タバ</t>
    </rPh>
    <rPh sb="20" eb="21">
      <t>ツカ</t>
    </rPh>
    <phoneticPr fontId="23"/>
  </si>
  <si>
    <t>バーコードなし</t>
    <phoneticPr fontId="17"/>
  </si>
  <si>
    <t>UPC　A/E</t>
    <phoneticPr fontId="23"/>
  </si>
  <si>
    <t>UPCは輸入されたワインのバーコード、タバコ（ケント）</t>
    <rPh sb="4" eb="6">
      <t>ユニュウ</t>
    </rPh>
    <phoneticPr fontId="23"/>
  </si>
  <si>
    <t>ITF（14桁）</t>
    <rPh sb="6" eb="7">
      <t>ケタ</t>
    </rPh>
    <phoneticPr fontId="17"/>
  </si>
  <si>
    <t>通番修正のバーコード</t>
    <rPh sb="0" eb="2">
      <t>ツウバン</t>
    </rPh>
    <rPh sb="2" eb="4">
      <t>シュウセイ</t>
    </rPh>
    <phoneticPr fontId="23"/>
  </si>
  <si>
    <t>ingfan会員バーコード</t>
    <rPh sb="6" eb="8">
      <t>カイイン</t>
    </rPh>
    <phoneticPr fontId="17"/>
  </si>
  <si>
    <t>ポイントカードに印字されているバーコード</t>
    <rPh sb="8" eb="10">
      <t>インジ</t>
    </rPh>
    <phoneticPr fontId="23"/>
  </si>
  <si>
    <t>Win10対応で実施</t>
    <rPh sb="5" eb="7">
      <t>タイオウ</t>
    </rPh>
    <rPh sb="8" eb="10">
      <t>ジッシ</t>
    </rPh>
    <phoneticPr fontId="17"/>
  </si>
  <si>
    <t>読取エラーを想定し、会員識別外のバーコード
2899999999994</t>
    <rPh sb="0" eb="2">
      <t>ヨミトリ</t>
    </rPh>
    <rPh sb="6" eb="8">
      <t>ソウテイ</t>
    </rPh>
    <rPh sb="10" eb="12">
      <t>カイイン</t>
    </rPh>
    <rPh sb="12" eb="14">
      <t>シキベツ</t>
    </rPh>
    <rPh sb="14" eb="15">
      <t>ガイ</t>
    </rPh>
    <phoneticPr fontId="23"/>
  </si>
  <si>
    <t>入力エラーとなること</t>
    <rPh sb="0" eb="2">
      <t>ニュウリョク</t>
    </rPh>
    <phoneticPr fontId="17"/>
  </si>
  <si>
    <t>読取エラーを想定し、
チェックデジット不一致のバーコード
2818208658799</t>
    <rPh sb="0" eb="2">
      <t>ヨミトリ</t>
    </rPh>
    <rPh sb="6" eb="8">
      <t>ソウテイ</t>
    </rPh>
    <rPh sb="19" eb="22">
      <t>フイッチ</t>
    </rPh>
    <phoneticPr fontId="23"/>
  </si>
  <si>
    <t>読取りできないこと</t>
    <rPh sb="0" eb="2">
      <t>ヨミトリ</t>
    </rPh>
    <phoneticPr fontId="17"/>
  </si>
  <si>
    <t>2人制</t>
  </si>
  <si>
    <t>1人2人制</t>
    <rPh sb="1" eb="2">
      <t>リ</t>
    </rPh>
    <rPh sb="3" eb="5">
      <t>ニンセイ</t>
    </rPh>
    <phoneticPr fontId="17"/>
  </si>
  <si>
    <t>正常に取引が行えることを確認</t>
    <rPh sb="0" eb="2">
      <t>セイジョウ</t>
    </rPh>
    <rPh sb="3" eb="5">
      <t>トリヒキ</t>
    </rPh>
    <rPh sb="6" eb="7">
      <t>オコナ</t>
    </rPh>
    <rPh sb="12" eb="14">
      <t>カクニン</t>
    </rPh>
    <phoneticPr fontId="17"/>
  </si>
  <si>
    <t>明細一覧画面にて、マニュアル値引が正しく動作すること</t>
    <rPh sb="0" eb="2">
      <t>メイサイ</t>
    </rPh>
    <rPh sb="2" eb="4">
      <t>イチラン</t>
    </rPh>
    <rPh sb="4" eb="6">
      <t>ガメン</t>
    </rPh>
    <rPh sb="14" eb="16">
      <t>ネビキ</t>
    </rPh>
    <rPh sb="17" eb="18">
      <t>タダ</t>
    </rPh>
    <rPh sb="20" eb="22">
      <t>ドウサ</t>
    </rPh>
    <phoneticPr fontId="17"/>
  </si>
  <si>
    <t>支払</t>
    <phoneticPr fontId="23"/>
  </si>
  <si>
    <t>釣銭機動作</t>
    <rPh sb="0" eb="1">
      <t>ツリ</t>
    </rPh>
    <rPh sb="1" eb="2">
      <t>セン</t>
    </rPh>
    <rPh sb="2" eb="3">
      <t>キ</t>
    </rPh>
    <rPh sb="3" eb="5">
      <t>ドウサ</t>
    </rPh>
    <phoneticPr fontId="17"/>
  </si>
  <si>
    <t>現金支払ができること</t>
    <rPh sb="0" eb="2">
      <t>ゲンキン</t>
    </rPh>
    <rPh sb="2" eb="4">
      <t>シハラ</t>
    </rPh>
    <phoneticPr fontId="17"/>
  </si>
  <si>
    <t>クレジット</t>
  </si>
  <si>
    <t>クレジット払いができること</t>
    <rPh sb="5" eb="6">
      <t>バラ</t>
    </rPh>
    <phoneticPr fontId="23"/>
  </si>
  <si>
    <t>Suica</t>
    <phoneticPr fontId="23"/>
  </si>
  <si>
    <t>Suica支払が行えること</t>
    <phoneticPr fontId="23"/>
  </si>
  <si>
    <t>Edy</t>
    <phoneticPr fontId="23"/>
  </si>
  <si>
    <t>Edy支払が行えること</t>
    <phoneticPr fontId="23"/>
  </si>
  <si>
    <t>Edyは検証環境で使用不可</t>
    <rPh sb="4" eb="6">
      <t>ケンショウ</t>
    </rPh>
    <rPh sb="6" eb="8">
      <t>カンキョウ</t>
    </rPh>
    <rPh sb="9" eb="11">
      <t>シヨウ</t>
    </rPh>
    <rPh sb="11" eb="13">
      <t>フカ</t>
    </rPh>
    <phoneticPr fontId="23"/>
  </si>
  <si>
    <t>その他</t>
    <phoneticPr fontId="23"/>
  </si>
  <si>
    <t>ジャーナル照会</t>
    <rPh sb="5" eb="7">
      <t>ショウカイ</t>
    </rPh>
    <phoneticPr fontId="17"/>
  </si>
  <si>
    <t>取引の照会ができること</t>
    <rPh sb="0" eb="2">
      <t>トリヒキ</t>
    </rPh>
    <rPh sb="3" eb="5">
      <t>ショウカイ</t>
    </rPh>
    <phoneticPr fontId="17"/>
  </si>
  <si>
    <t>クレジット</t>
    <phoneticPr fontId="23"/>
  </si>
  <si>
    <t>支払時にクレジット宣言後カードを挿入し、
POSのガイダンスが「小計を押してください」に
なる直前にクリア押下</t>
    <phoneticPr fontId="23"/>
  </si>
  <si>
    <r>
      <t xml:space="preserve">アプリケーションエラーが表示されPOSが落ちないこと
</t>
    </r>
    <r>
      <rPr>
        <sz val="8"/>
        <rFont val="游ゴシック"/>
        <family val="3"/>
        <charset val="128"/>
        <scheme val="minor"/>
      </rPr>
      <t>「決済端末がキャンセルできません」と表示され、そのまま操作を継続し「小計を押してください」が表示されること</t>
    </r>
    <rPh sb="28" eb="32">
      <t>ケッサイタンマツ</t>
    </rPh>
    <rPh sb="45" eb="47">
      <t>ヒョウジ</t>
    </rPh>
    <rPh sb="54" eb="56">
      <t>ソウサ</t>
    </rPh>
    <rPh sb="57" eb="59">
      <t>ケイゾク</t>
    </rPh>
    <rPh sb="61" eb="63">
      <t>ショウケイ</t>
    </rPh>
    <rPh sb="64" eb="65">
      <t>オ</t>
    </rPh>
    <rPh sb="73" eb="75">
      <t>ヒョウジ</t>
    </rPh>
    <phoneticPr fontId="23"/>
  </si>
  <si>
    <t>入／出金</t>
    <phoneticPr fontId="23"/>
  </si>
  <si>
    <t>入金</t>
    <rPh sb="0" eb="2">
      <t>ニュウキン</t>
    </rPh>
    <phoneticPr fontId="17"/>
  </si>
  <si>
    <t>入金処理が正常に終了すること（入金コード手入力・金種指定無し）</t>
    <rPh sb="0" eb="2">
      <t>ニュウキン</t>
    </rPh>
    <rPh sb="2" eb="4">
      <t>ショリ</t>
    </rPh>
    <rPh sb="5" eb="7">
      <t>セイジョウ</t>
    </rPh>
    <rPh sb="8" eb="10">
      <t>シュウリョウ</t>
    </rPh>
    <rPh sb="15" eb="17">
      <t>ニュウキン</t>
    </rPh>
    <rPh sb="20" eb="21">
      <t>テ</t>
    </rPh>
    <rPh sb="21" eb="23">
      <t>ニュウリョク</t>
    </rPh>
    <rPh sb="24" eb="26">
      <t>キンシュ</t>
    </rPh>
    <rPh sb="26" eb="28">
      <t>シテイ</t>
    </rPh>
    <rPh sb="28" eb="29">
      <t>ナ</t>
    </rPh>
    <phoneticPr fontId="17"/>
  </si>
  <si>
    <t>出金</t>
    <rPh sb="0" eb="2">
      <t>シュッキン</t>
    </rPh>
    <phoneticPr fontId="17"/>
  </si>
  <si>
    <t>出金処理が正常に終了すること（出金コード手入力・金種指定無し）</t>
    <rPh sb="0" eb="2">
      <t>シュッキン</t>
    </rPh>
    <rPh sb="2" eb="4">
      <t>ショリ</t>
    </rPh>
    <rPh sb="5" eb="7">
      <t>セイジョウ</t>
    </rPh>
    <rPh sb="8" eb="10">
      <t>シュウリョウ</t>
    </rPh>
    <rPh sb="15" eb="17">
      <t>シュッキン</t>
    </rPh>
    <rPh sb="20" eb="21">
      <t>テ</t>
    </rPh>
    <rPh sb="21" eb="23">
      <t>ニュウリョク</t>
    </rPh>
    <rPh sb="24" eb="26">
      <t>キンシュ</t>
    </rPh>
    <rPh sb="26" eb="28">
      <t>シテイ</t>
    </rPh>
    <rPh sb="28" eb="29">
      <t>ナ</t>
    </rPh>
    <phoneticPr fontId="17"/>
  </si>
  <si>
    <t>釣銭機出金</t>
    <rPh sb="0" eb="2">
      <t>ツリセン</t>
    </rPh>
    <rPh sb="2" eb="3">
      <t>キ</t>
    </rPh>
    <rPh sb="3" eb="5">
      <t>シュッキン</t>
    </rPh>
    <phoneticPr fontId="17"/>
  </si>
  <si>
    <t>釣銭機出金が正常に終了すること</t>
    <rPh sb="0" eb="2">
      <t>ツリセン</t>
    </rPh>
    <rPh sb="2" eb="3">
      <t>キ</t>
    </rPh>
    <rPh sb="3" eb="5">
      <t>シュッキン</t>
    </rPh>
    <rPh sb="6" eb="8">
      <t>セイジョウ</t>
    </rPh>
    <rPh sb="9" eb="11">
      <t>シュウリョウ</t>
    </rPh>
    <phoneticPr fontId="17"/>
  </si>
  <si>
    <t>回収ボタンで実施</t>
    <rPh sb="0" eb="2">
      <t>カイシュウ</t>
    </rPh>
    <rPh sb="6" eb="8">
      <t>ジッシ</t>
    </rPh>
    <phoneticPr fontId="17"/>
  </si>
  <si>
    <t>釣銭機両替</t>
    <rPh sb="0" eb="2">
      <t>ツリセン</t>
    </rPh>
    <rPh sb="2" eb="3">
      <t>キ</t>
    </rPh>
    <rPh sb="3" eb="5">
      <t>リョウガエ</t>
    </rPh>
    <phoneticPr fontId="17"/>
  </si>
  <si>
    <t>釣銭機両替が正常に終了すること</t>
    <rPh sb="0" eb="2">
      <t>ツリセン</t>
    </rPh>
    <rPh sb="2" eb="3">
      <t>キ</t>
    </rPh>
    <rPh sb="3" eb="5">
      <t>リョウガエ</t>
    </rPh>
    <rPh sb="6" eb="8">
      <t>セイジョウ</t>
    </rPh>
    <rPh sb="9" eb="11">
      <t>シュウリョウ</t>
    </rPh>
    <phoneticPr fontId="17"/>
  </si>
  <si>
    <t>釣銭補充</t>
    <rPh sb="0" eb="2">
      <t>ツリセン</t>
    </rPh>
    <rPh sb="2" eb="4">
      <t>ホジュウ</t>
    </rPh>
    <phoneticPr fontId="17"/>
  </si>
  <si>
    <t>正常動作すること</t>
    <rPh sb="0" eb="2">
      <t>セイジョウ</t>
    </rPh>
    <rPh sb="2" eb="4">
      <t>ドウサ</t>
    </rPh>
    <phoneticPr fontId="17"/>
  </si>
  <si>
    <t>釣銭追加</t>
    <rPh sb="0" eb="2">
      <t>ツリセン</t>
    </rPh>
    <rPh sb="2" eb="4">
      <t>ツイカ</t>
    </rPh>
    <phoneticPr fontId="17"/>
  </si>
  <si>
    <t>棒金ドロア追加</t>
    <rPh sb="0" eb="2">
      <t>ボウキン</t>
    </rPh>
    <rPh sb="5" eb="7">
      <t>ツイカ</t>
    </rPh>
    <phoneticPr fontId="17"/>
  </si>
  <si>
    <t>NONPLU</t>
  </si>
  <si>
    <t>バーコード価格
特売（売価設定）</t>
    <rPh sb="5" eb="7">
      <t>カカク</t>
    </rPh>
    <rPh sb="8" eb="10">
      <t>トクバイ</t>
    </rPh>
    <rPh sb="11" eb="13">
      <t>バイカ</t>
    </rPh>
    <rPh sb="13" eb="15">
      <t>セッテイ</t>
    </rPh>
    <phoneticPr fontId="17"/>
  </si>
  <si>
    <t>バーコード価格
特売（値引設定）</t>
    <rPh sb="5" eb="7">
      <t>カカク</t>
    </rPh>
    <rPh sb="8" eb="10">
      <t>トクバイ</t>
    </rPh>
    <rPh sb="11" eb="13">
      <t>ネビキ</t>
    </rPh>
    <rPh sb="13" eb="15">
      <t>セッテイ</t>
    </rPh>
    <phoneticPr fontId="17"/>
  </si>
  <si>
    <t>〃</t>
    <phoneticPr fontId="17"/>
  </si>
  <si>
    <t>バーコード価格
特売（割引設定）</t>
    <rPh sb="5" eb="7">
      <t>カカク</t>
    </rPh>
    <rPh sb="8" eb="10">
      <t>トクバイ</t>
    </rPh>
    <rPh sb="11" eb="13">
      <t>ワリビキ</t>
    </rPh>
    <rPh sb="13" eb="15">
      <t>セッテイ</t>
    </rPh>
    <phoneticPr fontId="17"/>
  </si>
  <si>
    <t>ポイント</t>
    <phoneticPr fontId="23"/>
  </si>
  <si>
    <t>ポイント計算
（レシート確認）</t>
    <rPh sb="4" eb="6">
      <t>ケイサン</t>
    </rPh>
    <rPh sb="12" eb="14">
      <t>カクニン</t>
    </rPh>
    <phoneticPr fontId="17"/>
  </si>
  <si>
    <t>今回ポイント、現在ポイントのみ表示されていること
計算が正しいこと</t>
    <rPh sb="0" eb="2">
      <t>コンカイ</t>
    </rPh>
    <rPh sb="7" eb="9">
      <t>ゲンザイ</t>
    </rPh>
    <rPh sb="15" eb="17">
      <t>ヒョウジ</t>
    </rPh>
    <rPh sb="25" eb="27">
      <t>ケイサン</t>
    </rPh>
    <rPh sb="28" eb="29">
      <t>タダ</t>
    </rPh>
    <phoneticPr fontId="17"/>
  </si>
  <si>
    <t>ポイント更新
（レシート確認）</t>
    <rPh sb="4" eb="6">
      <t>コウシン</t>
    </rPh>
    <phoneticPr fontId="17"/>
  </si>
  <si>
    <t>同一ポイントカードで、2回続けて、売上登録を行い、正常にポイントが更新されていることを確認する</t>
    <rPh sb="0" eb="2">
      <t>ドウイツ</t>
    </rPh>
    <rPh sb="12" eb="13">
      <t>カイ</t>
    </rPh>
    <rPh sb="13" eb="14">
      <t>ツヅ</t>
    </rPh>
    <rPh sb="17" eb="19">
      <t>ウリアゲ</t>
    </rPh>
    <rPh sb="19" eb="21">
      <t>トウロク</t>
    </rPh>
    <rPh sb="22" eb="23">
      <t>オコナ</t>
    </rPh>
    <rPh sb="25" eb="27">
      <t>セイジョウ</t>
    </rPh>
    <rPh sb="33" eb="35">
      <t>コウシン</t>
    </rPh>
    <rPh sb="43" eb="45">
      <t>カクニン</t>
    </rPh>
    <phoneticPr fontId="17"/>
  </si>
  <si>
    <t>ポイント計算
（判定）</t>
    <rPh sb="4" eb="6">
      <t>ケイサン</t>
    </rPh>
    <rPh sb="8" eb="10">
      <t>ハンテイ</t>
    </rPh>
    <phoneticPr fontId="17"/>
  </si>
  <si>
    <t>ポイント計算の自クレ判定（顧客コードの先頭）が正しく行えること
Vカード支払い時、200円で２ポイントの付与</t>
    <rPh sb="36" eb="38">
      <t>シハラ</t>
    </rPh>
    <rPh sb="39" eb="40">
      <t>ジ</t>
    </rPh>
    <rPh sb="44" eb="45">
      <t>エン</t>
    </rPh>
    <rPh sb="52" eb="54">
      <t>フヨ</t>
    </rPh>
    <phoneticPr fontId="23"/>
  </si>
  <si>
    <t>オフライン</t>
  </si>
  <si>
    <t>オンラインからオフラインになった直後に、顧客登録を行い、正常に登録されること。レシートに今回ポイントが印字されること</t>
    <rPh sb="16" eb="18">
      <t>チョクゴ</t>
    </rPh>
    <rPh sb="20" eb="22">
      <t>コキャク</t>
    </rPh>
    <rPh sb="22" eb="24">
      <t>トウロク</t>
    </rPh>
    <rPh sb="25" eb="26">
      <t>オコナ</t>
    </rPh>
    <rPh sb="28" eb="30">
      <t>セイジョウ</t>
    </rPh>
    <rPh sb="31" eb="33">
      <t>トウロク</t>
    </rPh>
    <rPh sb="44" eb="46">
      <t>コンカイ</t>
    </rPh>
    <rPh sb="51" eb="53">
      <t>インジ</t>
    </rPh>
    <phoneticPr fontId="17"/>
  </si>
  <si>
    <t>オフラインポイントデータ</t>
  </si>
  <si>
    <t>ネットワークトラブルでsatisfaと連携されない場合、POSにて記録しsatisfaと連携された後のち、ポイント付与をする機能</t>
    <rPh sb="19" eb="21">
      <t>レンケイ</t>
    </rPh>
    <rPh sb="25" eb="27">
      <t>バアイ</t>
    </rPh>
    <rPh sb="33" eb="35">
      <t>キロク</t>
    </rPh>
    <rPh sb="44" eb="46">
      <t>レンケイ</t>
    </rPh>
    <rPh sb="49" eb="50">
      <t>ノチ</t>
    </rPh>
    <rPh sb="57" eb="59">
      <t>フヨ</t>
    </rPh>
    <rPh sb="62" eb="64">
      <t>キノウ</t>
    </rPh>
    <phoneticPr fontId="23"/>
  </si>
  <si>
    <t>オフラインポイントデータが、閉店でHPSに送信されること。翌日、オフラインポイント分が更新されていること</t>
    <rPh sb="14" eb="16">
      <t>ヘイテン</t>
    </rPh>
    <rPh sb="21" eb="23">
      <t>ソウシン</t>
    </rPh>
    <rPh sb="29" eb="31">
      <t>ヨクジツ</t>
    </rPh>
    <rPh sb="41" eb="42">
      <t>ブン</t>
    </rPh>
    <rPh sb="43" eb="45">
      <t>コウシン</t>
    </rPh>
    <phoneticPr fontId="17"/>
  </si>
  <si>
    <t>Xモード</t>
  </si>
  <si>
    <t>練習モード</t>
    <rPh sb="0" eb="2">
      <t>レンシュウ</t>
    </rPh>
    <phoneticPr fontId="17"/>
  </si>
  <si>
    <t>通常売上</t>
    <rPh sb="0" eb="2">
      <t>ツウジョウ</t>
    </rPh>
    <rPh sb="2" eb="4">
      <t>ウリアゲ</t>
    </rPh>
    <phoneticPr fontId="17"/>
  </si>
  <si>
    <t>現金支払い</t>
    <rPh sb="0" eb="2">
      <t>ゲンキン</t>
    </rPh>
    <rPh sb="2" eb="4">
      <t>シハラ</t>
    </rPh>
    <phoneticPr fontId="17"/>
  </si>
  <si>
    <t>正常に動作すること（印字は？マーク。集計されない）</t>
    <rPh sb="0" eb="2">
      <t>セイジョウ</t>
    </rPh>
    <rPh sb="3" eb="5">
      <t>ドウサ</t>
    </rPh>
    <rPh sb="10" eb="12">
      <t>インジ</t>
    </rPh>
    <rPh sb="18" eb="20">
      <t>シュウケイ</t>
    </rPh>
    <phoneticPr fontId="17"/>
  </si>
  <si>
    <t>レポート/オンライン</t>
    <phoneticPr fontId="23"/>
  </si>
  <si>
    <t>取引別</t>
    <rPh sb="0" eb="2">
      <t>トリヒキ</t>
    </rPh>
    <rPh sb="2" eb="3">
      <t>ベツ</t>
    </rPh>
    <phoneticPr fontId="17"/>
  </si>
  <si>
    <t>上記テストでの売上登録が集計されていること</t>
    <rPh sb="0" eb="2">
      <t>ジョウキ</t>
    </rPh>
    <rPh sb="7" eb="9">
      <t>ウリアゲ</t>
    </rPh>
    <rPh sb="9" eb="11">
      <t>トウロク</t>
    </rPh>
    <rPh sb="12" eb="14">
      <t>シュウケイ</t>
    </rPh>
    <phoneticPr fontId="17"/>
  </si>
  <si>
    <t>商品階層別</t>
    <rPh sb="0" eb="2">
      <t>ショウヒン</t>
    </rPh>
    <rPh sb="2" eb="5">
      <t>カイソウベツ</t>
    </rPh>
    <phoneticPr fontId="17"/>
  </si>
  <si>
    <t>Xモード　商品階層別</t>
    <rPh sb="5" eb="7">
      <t>ショウヒン</t>
    </rPh>
    <rPh sb="7" eb="9">
      <t>カイソウ</t>
    </rPh>
    <rPh sb="9" eb="10">
      <t>ベツ</t>
    </rPh>
    <phoneticPr fontId="23"/>
  </si>
  <si>
    <t>担当者別</t>
    <rPh sb="0" eb="3">
      <t>タントウシャ</t>
    </rPh>
    <rPh sb="3" eb="4">
      <t>ベツ</t>
    </rPh>
    <phoneticPr fontId="17"/>
  </si>
  <si>
    <t>Xモード　担当者別</t>
  </si>
  <si>
    <t>客層別</t>
    <rPh sb="0" eb="2">
      <t>キャクソウ</t>
    </rPh>
    <rPh sb="2" eb="3">
      <t>ベツ</t>
    </rPh>
    <phoneticPr fontId="17"/>
  </si>
  <si>
    <t>Xモード　客層別</t>
  </si>
  <si>
    <t>正常に動作することを確認</t>
    <rPh sb="0" eb="2">
      <t>セイジョウ</t>
    </rPh>
    <rPh sb="3" eb="5">
      <t>ドウサ</t>
    </rPh>
    <rPh sb="10" eb="12">
      <t>カクニン</t>
    </rPh>
    <phoneticPr fontId="17"/>
  </si>
  <si>
    <t>商品階層別時間帯</t>
    <rPh sb="0" eb="2">
      <t>ショウヒン</t>
    </rPh>
    <rPh sb="2" eb="5">
      <t>カイソウベツ</t>
    </rPh>
    <rPh sb="5" eb="8">
      <t>ジカンタイ</t>
    </rPh>
    <phoneticPr fontId="17"/>
  </si>
  <si>
    <t>Xモード　商品階層別時間帯</t>
  </si>
  <si>
    <t>全点検レシート</t>
    <rPh sb="0" eb="1">
      <t>ゼン</t>
    </rPh>
    <rPh sb="1" eb="3">
      <t>テンケン</t>
    </rPh>
    <phoneticPr fontId="17"/>
  </si>
  <si>
    <t>Xモード　全点検レシート</t>
  </si>
  <si>
    <t>在高点検レシート</t>
    <rPh sb="0" eb="1">
      <t>ア</t>
    </rPh>
    <rPh sb="1" eb="2">
      <t>ダカ</t>
    </rPh>
    <rPh sb="2" eb="4">
      <t>テンケン</t>
    </rPh>
    <phoneticPr fontId="17"/>
  </si>
  <si>
    <t>Xモード　在高点検レシート</t>
  </si>
  <si>
    <t>レポート/オフライン</t>
    <phoneticPr fontId="23"/>
  </si>
  <si>
    <t>Xモード　取引別</t>
  </si>
  <si>
    <t>担当者別時間帯</t>
    <rPh sb="0" eb="3">
      <t>タントウシャ</t>
    </rPh>
    <rPh sb="3" eb="4">
      <t>ベツ</t>
    </rPh>
    <rPh sb="4" eb="7">
      <t>ジカンタイ</t>
    </rPh>
    <phoneticPr fontId="17"/>
  </si>
  <si>
    <t>Xモード　担当者別時間帯</t>
  </si>
  <si>
    <t>全点検</t>
    <rPh sb="0" eb="1">
      <t>ゼン</t>
    </rPh>
    <rPh sb="1" eb="3">
      <t>テンケン</t>
    </rPh>
    <phoneticPr fontId="17"/>
  </si>
  <si>
    <t>Xモード　全点検</t>
  </si>
  <si>
    <t>在高点検</t>
    <rPh sb="0" eb="1">
      <t>ア</t>
    </rPh>
    <rPh sb="1" eb="2">
      <t>ダカ</t>
    </rPh>
    <rPh sb="2" eb="4">
      <t>テンケン</t>
    </rPh>
    <phoneticPr fontId="17"/>
  </si>
  <si>
    <t>Xモード　在高点検</t>
  </si>
  <si>
    <t>電子ジャーナル</t>
    <rPh sb="0" eb="2">
      <t>デンシ</t>
    </rPh>
    <phoneticPr fontId="17"/>
  </si>
  <si>
    <t>正常動作確認</t>
    <rPh sb="0" eb="2">
      <t>セイジョウ</t>
    </rPh>
    <rPh sb="2" eb="4">
      <t>ドウサ</t>
    </rPh>
    <rPh sb="4" eb="6">
      <t>カクニン</t>
    </rPh>
    <phoneticPr fontId="23"/>
  </si>
  <si>
    <t>Xモード　</t>
  </si>
  <si>
    <t>正常に動作することを確認</t>
  </si>
  <si>
    <t>Xモード　レシート印字</t>
  </si>
  <si>
    <t>テストスキャン</t>
  </si>
  <si>
    <t>Xモード　テストスキャン</t>
  </si>
  <si>
    <t>正常に動作することを確認する</t>
    <rPh sb="0" eb="2">
      <t>セイジョウ</t>
    </rPh>
    <rPh sb="3" eb="5">
      <t>ドウサ</t>
    </rPh>
    <rPh sb="10" eb="12">
      <t>カクニン</t>
    </rPh>
    <phoneticPr fontId="17"/>
  </si>
  <si>
    <t>印字開始</t>
    <rPh sb="0" eb="2">
      <t>インジ</t>
    </rPh>
    <rPh sb="2" eb="4">
      <t>カイシ</t>
    </rPh>
    <phoneticPr fontId="17"/>
  </si>
  <si>
    <t>Xモード　印字開始</t>
  </si>
  <si>
    <t>Zモード</t>
  </si>
  <si>
    <t>精算</t>
    <rPh sb="0" eb="2">
      <t>セイサン</t>
    </rPh>
    <phoneticPr fontId="17"/>
  </si>
  <si>
    <t>精算業務</t>
    <rPh sb="0" eb="2">
      <t>セイサン</t>
    </rPh>
    <rPh sb="2" eb="4">
      <t>ギョウム</t>
    </rPh>
    <phoneticPr fontId="17"/>
  </si>
  <si>
    <t>棒金ドロア</t>
    <rPh sb="0" eb="2">
      <t>ボウキン</t>
    </rPh>
    <phoneticPr fontId="17"/>
  </si>
  <si>
    <r>
      <t xml:space="preserve">ドロアがオープンすること
※RT-200→自動オープン
※RT-500→手動オープン
</t>
    </r>
    <r>
      <rPr>
        <sz val="8"/>
        <color rgb="FFFF0000"/>
        <rFont val="游ゴシック"/>
        <family val="3"/>
        <charset val="128"/>
        <scheme val="minor"/>
      </rPr>
      <t>※RT-300→「棒金ドロア追加ボタン」押下でオープン</t>
    </r>
    <rPh sb="21" eb="23">
      <t>ジドウ</t>
    </rPh>
    <rPh sb="36" eb="38">
      <t>シュドウ</t>
    </rPh>
    <rPh sb="52" eb="54">
      <t>ボウキン</t>
    </rPh>
    <rPh sb="57" eb="59">
      <t>ツイカ</t>
    </rPh>
    <rPh sb="63" eb="65">
      <t>オウカ</t>
    </rPh>
    <phoneticPr fontId="17"/>
  </si>
  <si>
    <t>RT-500でBOX回収ボタンを押しても回収できない。
RT-200用にBOX回収ボタンがある。
BOX回収するには全回収か紙幣途中回収でBOX回収ができる。
BOXにはその日の売上金が入っている。そのまま釣銭機にいれる。</t>
    <rPh sb="10" eb="12">
      <t>カイシュウ</t>
    </rPh>
    <rPh sb="16" eb="17">
      <t>オ</t>
    </rPh>
    <rPh sb="20" eb="22">
      <t>カイシュウ</t>
    </rPh>
    <rPh sb="34" eb="35">
      <t>ヨウ</t>
    </rPh>
    <rPh sb="39" eb="41">
      <t>カイシュウ</t>
    </rPh>
    <rPh sb="52" eb="54">
      <t>カイシュウ</t>
    </rPh>
    <rPh sb="58" eb="59">
      <t>ゼン</t>
    </rPh>
    <rPh sb="59" eb="61">
      <t>カイシュウ</t>
    </rPh>
    <rPh sb="62" eb="64">
      <t>シヘイ</t>
    </rPh>
    <rPh sb="64" eb="66">
      <t>トチュウ</t>
    </rPh>
    <rPh sb="66" eb="68">
      <t>カイシュウ</t>
    </rPh>
    <rPh sb="72" eb="74">
      <t>カイシュウ</t>
    </rPh>
    <rPh sb="87" eb="88">
      <t>ヒ</t>
    </rPh>
    <rPh sb="89" eb="91">
      <t>ウリアゲ</t>
    </rPh>
    <rPh sb="91" eb="92">
      <t>キン</t>
    </rPh>
    <rPh sb="93" eb="94">
      <t>ハイ</t>
    </rPh>
    <rPh sb="103" eb="106">
      <t>ツリセンキ</t>
    </rPh>
    <phoneticPr fontId="23"/>
  </si>
  <si>
    <t>マイナス</t>
  </si>
  <si>
    <t>正常に動作すること（ﾏｲﾅｽ集計する/しないはシステム設定）</t>
    <rPh sb="0" eb="2">
      <t>セイジョウ</t>
    </rPh>
    <rPh sb="3" eb="5">
      <t>ドウサ</t>
    </rPh>
    <rPh sb="14" eb="16">
      <t>シュウケイ</t>
    </rPh>
    <rPh sb="27" eb="29">
      <t>セッテイ</t>
    </rPh>
    <phoneticPr fontId="17"/>
  </si>
  <si>
    <t>通番修正</t>
    <rPh sb="0" eb="1">
      <t>ツウ</t>
    </rPh>
    <rPh sb="1" eb="2">
      <t>バン</t>
    </rPh>
    <rPh sb="2" eb="4">
      <t>シュウセイ</t>
    </rPh>
    <phoneticPr fontId="17"/>
  </si>
  <si>
    <t>通番取消</t>
    <rPh sb="0" eb="4">
      <t>ツウバントリケシ</t>
    </rPh>
    <phoneticPr fontId="17"/>
  </si>
  <si>
    <t>ポイント修正</t>
    <rPh sb="4" eb="6">
      <t>シュウセイ</t>
    </rPh>
    <phoneticPr fontId="17"/>
  </si>
  <si>
    <t>ポイント修正</t>
    <rPh sb="4" eb="6">
      <t>シュウセイ</t>
    </rPh>
    <phoneticPr fontId="23"/>
  </si>
  <si>
    <t>ポイント修正を実施して正常にポイントの加算・減算ができること。</t>
    <rPh sb="4" eb="6">
      <t>シュウセイ</t>
    </rPh>
    <rPh sb="7" eb="9">
      <t>ジッシ</t>
    </rPh>
    <rPh sb="11" eb="13">
      <t>セイジョウ</t>
    </rPh>
    <rPh sb="19" eb="21">
      <t>カサン</t>
    </rPh>
    <rPh sb="22" eb="24">
      <t>ゲンサン</t>
    </rPh>
    <phoneticPr fontId="17"/>
  </si>
  <si>
    <t>ポイント修正で顧客登録後に中止できること。</t>
    <rPh sb="4" eb="6">
      <t>シュウセイ</t>
    </rPh>
    <rPh sb="7" eb="9">
      <t>コキャク</t>
    </rPh>
    <rPh sb="9" eb="11">
      <t>トウロク</t>
    </rPh>
    <rPh sb="11" eb="12">
      <t>ゴ</t>
    </rPh>
    <rPh sb="13" eb="15">
      <t>チュウシ</t>
    </rPh>
    <phoneticPr fontId="23"/>
  </si>
  <si>
    <t>ポイント修正でingfanクラブカードをスキャンした時、
決済端末に対しカード読み込みのキャンセルを依頼した後に、
スキャナのデバイス停止を行い連続スキャンが抑止されていること。
また、キャンセル結果の応答を受信後、スキャナのデバイスが再開されること。</t>
    <rPh sb="118" eb="120">
      <t>サイカイ</t>
    </rPh>
    <phoneticPr fontId="23"/>
  </si>
  <si>
    <t>ポイント修正でingfanクラブカードをスキャンした時、
決済端末に対しカード読み込みのキャンセルを依頼した後に、
登録キーが入力された場合無効音を鳴動し、入力無効となること。</t>
    <phoneticPr fontId="23"/>
  </si>
  <si>
    <t>全回収</t>
    <rPh sb="0" eb="1">
      <t>ゼン</t>
    </rPh>
    <rPh sb="1" eb="3">
      <t>カイシュウ</t>
    </rPh>
    <phoneticPr fontId="17"/>
  </si>
  <si>
    <t>全回収（Zモード）</t>
    <rPh sb="0" eb="1">
      <t>ゼン</t>
    </rPh>
    <rPh sb="1" eb="3">
      <t>カイシュウ</t>
    </rPh>
    <phoneticPr fontId="23"/>
  </si>
  <si>
    <t>正しく動作することを確認</t>
    <rPh sb="0" eb="1">
      <t>タダ</t>
    </rPh>
    <rPh sb="3" eb="5">
      <t>ドウサ</t>
    </rPh>
    <rPh sb="10" eb="12">
      <t>カクニン</t>
    </rPh>
    <phoneticPr fontId="17"/>
  </si>
  <si>
    <t>紙幣途中回収（移動）</t>
    <rPh sb="0" eb="2">
      <t>シヘイ</t>
    </rPh>
    <rPh sb="2" eb="4">
      <t>トチュウ</t>
    </rPh>
    <rPh sb="4" eb="6">
      <t>カイシュウ</t>
    </rPh>
    <rPh sb="7" eb="9">
      <t>イドウ</t>
    </rPh>
    <phoneticPr fontId="17"/>
  </si>
  <si>
    <t>紙幣途中回収（移動）（Zモード）</t>
    <rPh sb="0" eb="2">
      <t>シヘイ</t>
    </rPh>
    <rPh sb="2" eb="4">
      <t>トチュウ</t>
    </rPh>
    <rPh sb="4" eb="6">
      <t>カイシュウ</t>
    </rPh>
    <rPh sb="7" eb="9">
      <t>イドウ</t>
    </rPh>
    <phoneticPr fontId="23"/>
  </si>
  <si>
    <t>硬貨途中回収</t>
    <rPh sb="0" eb="2">
      <t>コウカ</t>
    </rPh>
    <rPh sb="2" eb="4">
      <t>トチュウ</t>
    </rPh>
    <rPh sb="4" eb="6">
      <t>カイシュウ</t>
    </rPh>
    <phoneticPr fontId="17"/>
  </si>
  <si>
    <t>硬貨途中回収（Zモード）</t>
    <rPh sb="0" eb="2">
      <t>コウカ</t>
    </rPh>
    <rPh sb="2" eb="4">
      <t>トチュウ</t>
    </rPh>
    <rPh sb="4" eb="6">
      <t>カイシュウ</t>
    </rPh>
    <phoneticPr fontId="23"/>
  </si>
  <si>
    <t>ボックス回収</t>
    <rPh sb="4" eb="6">
      <t>カイシュウ</t>
    </rPh>
    <phoneticPr fontId="17"/>
  </si>
  <si>
    <t>ボックス回収（Zモード）</t>
    <rPh sb="4" eb="6">
      <t>カイシュウ</t>
    </rPh>
    <phoneticPr fontId="23"/>
  </si>
  <si>
    <t>RT-300でBOX回収ボタンを押しても回収できない。
RT-200用にBOX回収ボタンがある。
BOX回収するには全回収か紙幣途中回収でBOX回収ができる。
BOXにはその日の売上金が入っている。そのまま釣銭機にいれる。</t>
    <rPh sb="10" eb="12">
      <t>カイシュウ</t>
    </rPh>
    <rPh sb="16" eb="17">
      <t>オ</t>
    </rPh>
    <rPh sb="20" eb="22">
      <t>カイシュウ</t>
    </rPh>
    <rPh sb="34" eb="35">
      <t>ヨウ</t>
    </rPh>
    <rPh sb="39" eb="41">
      <t>カイシュウ</t>
    </rPh>
    <rPh sb="52" eb="54">
      <t>カイシュウ</t>
    </rPh>
    <rPh sb="58" eb="59">
      <t>ゼン</t>
    </rPh>
    <rPh sb="59" eb="61">
      <t>カイシュウ</t>
    </rPh>
    <rPh sb="62" eb="64">
      <t>シヘイ</t>
    </rPh>
    <rPh sb="64" eb="66">
      <t>トチュウ</t>
    </rPh>
    <rPh sb="66" eb="68">
      <t>カイシュウ</t>
    </rPh>
    <rPh sb="72" eb="74">
      <t>カイシュウ</t>
    </rPh>
    <rPh sb="87" eb="88">
      <t>ヒ</t>
    </rPh>
    <rPh sb="89" eb="91">
      <t>ウリアゲ</t>
    </rPh>
    <rPh sb="91" eb="92">
      <t>キン</t>
    </rPh>
    <rPh sb="93" eb="94">
      <t>ハイ</t>
    </rPh>
    <rPh sb="103" eb="106">
      <t>ツリセンキ</t>
    </rPh>
    <phoneticPr fontId="23"/>
  </si>
  <si>
    <t>あふれ金収納庫移動</t>
    <rPh sb="3" eb="4">
      <t>キン</t>
    </rPh>
    <rPh sb="4" eb="6">
      <t>シュウノウ</t>
    </rPh>
    <rPh sb="6" eb="7">
      <t>コ</t>
    </rPh>
    <rPh sb="7" eb="9">
      <t>イドウ</t>
    </rPh>
    <phoneticPr fontId="17"/>
  </si>
  <si>
    <t>正しく動作することを確認
※RT-500のみ</t>
    <rPh sb="0" eb="1">
      <t>タダ</t>
    </rPh>
    <rPh sb="3" eb="5">
      <t>ドウサ</t>
    </rPh>
    <rPh sb="10" eb="12">
      <t>カクニン</t>
    </rPh>
    <phoneticPr fontId="17"/>
  </si>
  <si>
    <t>リアルメンテ</t>
    <phoneticPr fontId="23"/>
  </si>
  <si>
    <t>コマーシャルメッセージ</t>
    <phoneticPr fontId="23"/>
  </si>
  <si>
    <t>設定がPOSにリアルタイムで反映することを確認</t>
    <phoneticPr fontId="23"/>
  </si>
  <si>
    <t>ログ</t>
  </si>
  <si>
    <t>イベントログ</t>
  </si>
  <si>
    <t>エラー出力確認</t>
    <rPh sb="3" eb="5">
      <t>シュツリョク</t>
    </rPh>
    <rPh sb="5" eb="7">
      <t>カクニン</t>
    </rPh>
    <phoneticPr fontId="23"/>
  </si>
  <si>
    <t>Esc+Ctrlボタン押下後、イベントビューアを開き、
「システム」のイベントログを開く。</t>
    <rPh sb="11" eb="13">
      <t>オウカ</t>
    </rPh>
    <rPh sb="13" eb="14">
      <t>ゴ</t>
    </rPh>
    <rPh sb="24" eb="25">
      <t>ヒラ</t>
    </rPh>
    <rPh sb="42" eb="43">
      <t>ヒラ</t>
    </rPh>
    <phoneticPr fontId="17"/>
  </si>
  <si>
    <t>イベントログ（アプリケーション、セキュリティ、システム）にエラーが「一切」出力されていないこと</t>
    <rPh sb="34" eb="36">
      <t>イッサイ</t>
    </rPh>
    <rPh sb="37" eb="39">
      <t>シュツリョク</t>
    </rPh>
    <phoneticPr fontId="17"/>
  </si>
  <si>
    <t>エラー内容要確認</t>
    <rPh sb="3" eb="5">
      <t>ナイヨウ</t>
    </rPh>
    <rPh sb="5" eb="8">
      <t>ヨウカクニン</t>
    </rPh>
    <phoneticPr fontId="17"/>
  </si>
  <si>
    <t>Runlog</t>
  </si>
  <si>
    <t>対象POS　C:\GSTR\RAFT\log直下</t>
    <phoneticPr fontId="17"/>
  </si>
  <si>
    <t>Runlogにエラーが出力されていないこと</t>
    <rPh sb="11" eb="13">
      <t>シュツリョク</t>
    </rPh>
    <phoneticPr fontId="17"/>
  </si>
  <si>
    <t>消化ﾃｽﾄ項目数：</t>
  </si>
  <si>
    <t>OK数：</t>
    <phoneticPr fontId="23"/>
  </si>
  <si>
    <t>合計</t>
  </si>
  <si>
    <t>NG数：</t>
    <phoneticPr fontId="23"/>
  </si>
  <si>
    <t>全ﾃｽﾄ項目数：</t>
  </si>
  <si>
    <t>消化項目数：</t>
  </si>
  <si>
    <t>全項目数：</t>
  </si>
  <si>
    <t>目標：246</t>
    <rPh sb="0" eb="2">
      <t>モクヒョウ</t>
    </rPh>
    <phoneticPr fontId="17"/>
  </si>
  <si>
    <t>SS</t>
    <phoneticPr fontId="23"/>
  </si>
  <si>
    <t>正常に開局されること</t>
    <rPh sb="0" eb="2">
      <t>セイジョウ</t>
    </rPh>
    <rPh sb="3" eb="5">
      <t>カイキョク</t>
    </rPh>
    <phoneticPr fontId="17"/>
  </si>
  <si>
    <t>■</t>
    <phoneticPr fontId="23"/>
  </si>
  <si>
    <t>#0362</t>
    <phoneticPr fontId="23"/>
  </si>
  <si>
    <t>#0405</t>
    <phoneticPr fontId="23"/>
  </si>
  <si>
    <t>2人制運用なし</t>
    <rPh sb="0" eb="3">
      <t>ニニンセイ</t>
    </rPh>
    <rPh sb="3" eb="5">
      <t>ウンヨウ</t>
    </rPh>
    <phoneticPr fontId="23"/>
  </si>
  <si>
    <t>#0375</t>
    <phoneticPr fontId="23"/>
  </si>
  <si>
    <t>決済端末未接続</t>
    <rPh sb="0" eb="4">
      <t>ケッサイタンマツ</t>
    </rPh>
    <rPh sb="4" eb="7">
      <t>ミセツゾク</t>
    </rPh>
    <phoneticPr fontId="23"/>
  </si>
  <si>
    <t>カードの読取できないこと</t>
    <rPh sb="4" eb="6">
      <t>ヨミトリ</t>
    </rPh>
    <phoneticPr fontId="17"/>
  </si>
  <si>
    <t>MSR設置なし</t>
    <rPh sb="3" eb="5">
      <t>セッチ</t>
    </rPh>
    <phoneticPr fontId="23"/>
  </si>
  <si>
    <t>カードの読取できないこと（電子多項目横）</t>
    <rPh sb="4" eb="6">
      <t>ヨミトリ</t>
    </rPh>
    <rPh sb="13" eb="15">
      <t>デンシ</t>
    </rPh>
    <rPh sb="15" eb="16">
      <t>タ</t>
    </rPh>
    <rPh sb="16" eb="18">
      <t>コウモク</t>
    </rPh>
    <rPh sb="18" eb="19">
      <t>ヨコ</t>
    </rPh>
    <phoneticPr fontId="17"/>
  </si>
  <si>
    <t>バーコードなし</t>
    <phoneticPr fontId="23"/>
  </si>
  <si>
    <t>タッチスキャナのみ読取可</t>
    <rPh sb="9" eb="11">
      <t>ヨミトリ</t>
    </rPh>
    <rPh sb="11" eb="12">
      <t>カ</t>
    </rPh>
    <phoneticPr fontId="23"/>
  </si>
  <si>
    <t>Win10対応_SSで実施</t>
    <rPh sb="5" eb="7">
      <t>タイオウ</t>
    </rPh>
    <rPh sb="11" eb="13">
      <t>ジッシ</t>
    </rPh>
    <phoneticPr fontId="23"/>
  </si>
  <si>
    <t>支払ができること</t>
    <rPh sb="0" eb="2">
      <t>シハラ</t>
    </rPh>
    <phoneticPr fontId="17"/>
  </si>
  <si>
    <t>釣銭機接続なし</t>
    <rPh sb="0" eb="3">
      <t>ツリセンキ</t>
    </rPh>
    <rPh sb="3" eb="5">
      <t>セツゾク</t>
    </rPh>
    <phoneticPr fontId="23"/>
  </si>
  <si>
    <t>決済端末未接続</t>
    <rPh sb="0" eb="2">
      <t>ケッサイ</t>
    </rPh>
    <rPh sb="2" eb="4">
      <t>タンマツ</t>
    </rPh>
    <rPh sb="4" eb="7">
      <t>ミセツゾク</t>
    </rPh>
    <phoneticPr fontId="23"/>
  </si>
  <si>
    <t>入／出金</t>
    <rPh sb="0" eb="2">
      <t>ニュウキン</t>
    </rPh>
    <rPh sb="2" eb="3">
      <t>ドコロ</t>
    </rPh>
    <rPh sb="3" eb="4">
      <t>リセイジョウシュウリョウニュウキンテニュウリョクキンシュシテイナ</t>
    </rPh>
    <phoneticPr fontId="17"/>
  </si>
  <si>
    <t>釣銭機接続なし</t>
    <rPh sb="0" eb="5">
      <t>ツリセンキセツゾク</t>
    </rPh>
    <phoneticPr fontId="23"/>
  </si>
  <si>
    <t>〃</t>
    <phoneticPr fontId="23"/>
  </si>
  <si>
    <t>#0377 #0378</t>
    <phoneticPr fontId="23"/>
  </si>
  <si>
    <t>決済端末未接続のため、Vカード支払不可</t>
    <rPh sb="0" eb="4">
      <t>ケッサイタンマツ</t>
    </rPh>
    <rPh sb="4" eb="7">
      <t>ミセツゾク</t>
    </rPh>
    <rPh sb="15" eb="17">
      <t>シハライ</t>
    </rPh>
    <rPh sb="17" eb="19">
      <t>フカ</t>
    </rPh>
    <phoneticPr fontId="23"/>
  </si>
  <si>
    <t>#0408</t>
    <phoneticPr fontId="23"/>
  </si>
  <si>
    <t>#0383</t>
    <phoneticPr fontId="23"/>
  </si>
  <si>
    <t>#0396</t>
    <phoneticPr fontId="23"/>
  </si>
  <si>
    <r>
      <t>オフライン警告印字あり</t>
    </r>
    <r>
      <rPr>
        <sz val="8"/>
        <color theme="1"/>
        <rFont val="游ゴシック"/>
        <family val="3"/>
        <charset val="128"/>
        <scheme val="minor"/>
      </rPr>
      <t>#0409</t>
    </r>
    <rPh sb="5" eb="7">
      <t>ケイコク</t>
    </rPh>
    <rPh sb="7" eb="9">
      <t>インジ</t>
    </rPh>
    <phoneticPr fontId="23"/>
  </si>
  <si>
    <t>#0389を印刷</t>
    <rPh sb="6" eb="8">
      <t>インサツ</t>
    </rPh>
    <phoneticPr fontId="23"/>
  </si>
  <si>
    <t>#0361</t>
    <phoneticPr fontId="23"/>
  </si>
  <si>
    <t>ドロアがオープンすること
※RT-200→自動オープン
※RT-500→手動オープン</t>
    <rPh sb="21" eb="23">
      <t>ジドウ</t>
    </rPh>
    <rPh sb="36" eb="38">
      <t>シュドウ</t>
    </rPh>
    <phoneticPr fontId="17"/>
  </si>
  <si>
    <t>RT-500で+K142:X142BOX回収ボタンを押しても回収できない。
RT-200用にBOX回収ボタンがある。
BOX回収するには全回収か紙幣途中回収でBOX回収ができる。
BOXにはその日の売上金が入っている。そのまま釣銭機にいれる。</t>
    <rPh sb="20" eb="22">
      <t>カイシュウ</t>
    </rPh>
    <rPh sb="26" eb="27">
      <t>オ</t>
    </rPh>
    <rPh sb="30" eb="32">
      <t>カイシュウ</t>
    </rPh>
    <rPh sb="44" eb="45">
      <t>ヨウ</t>
    </rPh>
    <rPh sb="49" eb="51">
      <t>カイシュウ</t>
    </rPh>
    <rPh sb="62" eb="64">
      <t>カイシュウ</t>
    </rPh>
    <rPh sb="68" eb="69">
      <t>ゼン</t>
    </rPh>
    <rPh sb="69" eb="71">
      <t>カイシュウ</t>
    </rPh>
    <rPh sb="72" eb="74">
      <t>シヘイ</t>
    </rPh>
    <rPh sb="74" eb="76">
      <t>トチュウ</t>
    </rPh>
    <rPh sb="76" eb="78">
      <t>カイシュウ</t>
    </rPh>
    <rPh sb="82" eb="84">
      <t>カイシュウ</t>
    </rPh>
    <rPh sb="97" eb="98">
      <t>ヒ</t>
    </rPh>
    <rPh sb="99" eb="101">
      <t>ウリアゲ</t>
    </rPh>
    <rPh sb="101" eb="102">
      <t>キン</t>
    </rPh>
    <rPh sb="103" eb="104">
      <t>ハイ</t>
    </rPh>
    <rPh sb="113" eb="116">
      <t>ツリセンキ</t>
    </rPh>
    <phoneticPr fontId="23"/>
  </si>
  <si>
    <t>#0388</t>
    <phoneticPr fontId="23"/>
  </si>
  <si>
    <t>#0391←#0390(元#0389)</t>
    <rPh sb="12" eb="13">
      <t>モト</t>
    </rPh>
    <phoneticPr fontId="23"/>
  </si>
  <si>
    <t>#0393(元#0392)</t>
    <rPh sb="6" eb="7">
      <t>モト</t>
    </rPh>
    <phoneticPr fontId="23"/>
  </si>
  <si>
    <t>SSでポイント修正の運用なし</t>
    <rPh sb="7" eb="9">
      <t>シュウセイ</t>
    </rPh>
    <rPh sb="10" eb="12">
      <t>ウンヨウ</t>
    </rPh>
    <phoneticPr fontId="23"/>
  </si>
  <si>
    <t>RT-500の場合、BOXがでてくるので鍵で開けてとる</t>
    <rPh sb="7" eb="9">
      <t>バアイ</t>
    </rPh>
    <rPh sb="20" eb="21">
      <t>カギ</t>
    </rPh>
    <rPh sb="22" eb="23">
      <t>ア</t>
    </rPh>
    <phoneticPr fontId="23"/>
  </si>
  <si>
    <t>#0403</t>
    <phoneticPr fontId="23"/>
  </si>
  <si>
    <r>
      <t xml:space="preserve">エラー内容確認要 </t>
    </r>
    <r>
      <rPr>
        <sz val="8"/>
        <color rgb="FFFF0000"/>
        <rFont val="游ゴシック"/>
        <family val="3"/>
        <charset val="128"/>
        <scheme val="minor"/>
      </rPr>
      <t>エラーあるが運用上問題なし</t>
    </r>
    <rPh sb="3" eb="5">
      <t>ナイヨウ</t>
    </rPh>
    <rPh sb="5" eb="7">
      <t>カクニン</t>
    </rPh>
    <rPh sb="7" eb="8">
      <t>ヨウ</t>
    </rPh>
    <rPh sb="15" eb="18">
      <t>ウンヨウジョウ</t>
    </rPh>
    <rPh sb="18" eb="20">
      <t>モンダイ</t>
    </rPh>
    <phoneticPr fontId="17"/>
  </si>
  <si>
    <t>エラー内容確認要</t>
    <rPh sb="3" eb="5">
      <t>ナイヨウ</t>
    </rPh>
    <rPh sb="5" eb="7">
      <t>カクニン</t>
    </rPh>
    <rPh sb="7" eb="8">
      <t>ヨウ</t>
    </rPh>
    <phoneticPr fontId="17"/>
  </si>
  <si>
    <t>現在</t>
    <rPh sb="0" eb="2">
      <t>ゲンザイ</t>
    </rPh>
    <phoneticPr fontId="23"/>
  </si>
  <si>
    <t>目標</t>
    <rPh sb="0" eb="2">
      <t>モクヒョウ</t>
    </rPh>
    <phoneticPr fontId="23"/>
  </si>
  <si>
    <t>PS</t>
    <phoneticPr fontId="23"/>
  </si>
  <si>
    <t>正常に開局されること。決済端末が待機画面になること。</t>
    <rPh sb="0" eb="2">
      <t>セイジョウ</t>
    </rPh>
    <rPh sb="3" eb="5">
      <t>カイキョク</t>
    </rPh>
    <phoneticPr fontId="17"/>
  </si>
  <si>
    <t>ー</t>
    <phoneticPr fontId="23"/>
  </si>
  <si>
    <t>#6122</t>
    <phoneticPr fontId="23"/>
  </si>
  <si>
    <t>運用で未使用</t>
    <rPh sb="0" eb="2">
      <t>ウンヨウ</t>
    </rPh>
    <rPh sb="3" eb="4">
      <t>ミ</t>
    </rPh>
    <rPh sb="4" eb="6">
      <t>シヨウ</t>
    </rPh>
    <phoneticPr fontId="17"/>
  </si>
  <si>
    <t>保留・復元キーなし</t>
    <rPh sb="0" eb="2">
      <t>ホリュウ</t>
    </rPh>
    <rPh sb="3" eb="5">
      <t>フクゲン</t>
    </rPh>
    <phoneticPr fontId="23"/>
  </si>
  <si>
    <t>保留取引が復元できない（保留取引がある場合、OPモード「クローズ」、Zモード「精算」「保守」「閉局」操作不可）</t>
    <rPh sb="0" eb="2">
      <t>ホリュウ</t>
    </rPh>
    <rPh sb="2" eb="4">
      <t>トリヒキ</t>
    </rPh>
    <rPh sb="5" eb="7">
      <t>フクゲン</t>
    </rPh>
    <rPh sb="12" eb="14">
      <t>ホリュウ</t>
    </rPh>
    <rPh sb="14" eb="16">
      <t>トリヒキ</t>
    </rPh>
    <rPh sb="19" eb="21">
      <t>バアイ</t>
    </rPh>
    <rPh sb="39" eb="41">
      <t>セイサン</t>
    </rPh>
    <rPh sb="43" eb="45">
      <t>ホシュ</t>
    </rPh>
    <rPh sb="47" eb="49">
      <t>ヘイキョク</t>
    </rPh>
    <rPh sb="50" eb="52">
      <t>ソウサ</t>
    </rPh>
    <rPh sb="52" eb="54">
      <t>フカ</t>
    </rPh>
    <phoneticPr fontId="23"/>
  </si>
  <si>
    <t>マニュアル値引ボタンなし</t>
    <rPh sb="5" eb="7">
      <t>ネビキ</t>
    </rPh>
    <phoneticPr fontId="23"/>
  </si>
  <si>
    <t>#6116</t>
    <phoneticPr fontId="23"/>
  </si>
  <si>
    <t>クレジットレシートのクレジット会社名印字が正しく印字されること</t>
    <phoneticPr fontId="23"/>
  </si>
  <si>
    <t>#6117</t>
    <phoneticPr fontId="23"/>
  </si>
  <si>
    <t>PSタッチスキャナ接続なし</t>
    <rPh sb="9" eb="11">
      <t>セツゾク</t>
    </rPh>
    <phoneticPr fontId="23"/>
  </si>
  <si>
    <t>カメラスキャナでは不可</t>
    <rPh sb="9" eb="11">
      <t>フカ</t>
    </rPh>
    <phoneticPr fontId="23"/>
  </si>
  <si>
    <t>#6118</t>
    <phoneticPr fontId="23"/>
  </si>
  <si>
    <t>#6119</t>
    <phoneticPr fontId="23"/>
  </si>
  <si>
    <t>アプリケーションエラーが表示されPOSが落ちないこと。</t>
    <phoneticPr fontId="23"/>
  </si>
  <si>
    <t>#6126</t>
    <phoneticPr fontId="23"/>
  </si>
  <si>
    <t>#6127</t>
    <phoneticPr fontId="23"/>
  </si>
  <si>
    <t>#6153</t>
    <phoneticPr fontId="23"/>
  </si>
  <si>
    <t>#6151</t>
    <phoneticPr fontId="23"/>
  </si>
  <si>
    <t>#6152</t>
    <phoneticPr fontId="23"/>
  </si>
  <si>
    <t>#6128</t>
    <phoneticPr fontId="23"/>
  </si>
  <si>
    <t>#6129(元#6128)</t>
    <rPh sb="6" eb="7">
      <t>モト</t>
    </rPh>
    <phoneticPr fontId="23"/>
  </si>
  <si>
    <t>#6130</t>
    <phoneticPr fontId="23"/>
  </si>
  <si>
    <t>#6143</t>
    <phoneticPr fontId="23"/>
  </si>
  <si>
    <t>#6132</t>
    <phoneticPr fontId="23"/>
  </si>
  <si>
    <t>#6136</t>
    <phoneticPr fontId="23"/>
  </si>
  <si>
    <t>#6130を印刷</t>
    <rPh sb="6" eb="8">
      <t>インサツ</t>
    </rPh>
    <phoneticPr fontId="23"/>
  </si>
  <si>
    <t>#6082</t>
    <phoneticPr fontId="23"/>
  </si>
  <si>
    <t>ドロアは自動オープンしない</t>
    <rPh sb="4" eb="6">
      <t>ジドウ</t>
    </rPh>
    <phoneticPr fontId="23"/>
  </si>
  <si>
    <t>#6138</t>
    <phoneticPr fontId="23"/>
  </si>
  <si>
    <t>Win10対応(PS)で実施</t>
    <rPh sb="5" eb="7">
      <t>タイオウ</t>
    </rPh>
    <rPh sb="12" eb="14">
      <t>ジッシ</t>
    </rPh>
    <phoneticPr fontId="23"/>
  </si>
  <si>
    <t>通番バーコードがスキャナで読めないため実施不可</t>
    <rPh sb="0" eb="2">
      <t>ツウバン</t>
    </rPh>
    <rPh sb="13" eb="14">
      <t>ヨ</t>
    </rPh>
    <rPh sb="19" eb="21">
      <t>ジッシ</t>
    </rPh>
    <rPh sb="21" eb="23">
      <t>フカ</t>
    </rPh>
    <phoneticPr fontId="23"/>
  </si>
  <si>
    <t>レシートは出ない仕様（ジャーナルは表示あり）</t>
    <rPh sb="5" eb="6">
      <t>デ</t>
    </rPh>
    <rPh sb="8" eb="10">
      <t>シヨウ</t>
    </rPh>
    <rPh sb="17" eb="19">
      <t>ヒョウジ</t>
    </rPh>
    <phoneticPr fontId="23"/>
  </si>
  <si>
    <t>#6148</t>
    <phoneticPr fontId="23"/>
  </si>
  <si>
    <t>#6149</t>
    <phoneticPr fontId="23"/>
  </si>
  <si>
    <t>'ー</t>
    <phoneticPr fontId="23"/>
  </si>
  <si>
    <r>
      <t xml:space="preserve">エラー内容要確認 </t>
    </r>
    <r>
      <rPr>
        <sz val="8"/>
        <color rgb="FFFF0000"/>
        <rFont val="游ゴシック"/>
        <family val="3"/>
        <charset val="128"/>
        <scheme val="minor"/>
      </rPr>
      <t>エラーあるが運用上問題なし</t>
    </r>
    <rPh sb="3" eb="5">
      <t>ナイヨウ</t>
    </rPh>
    <rPh sb="5" eb="8">
      <t>ヨウカクニン</t>
    </rPh>
    <phoneticPr fontId="23"/>
  </si>
  <si>
    <t>エラー内容要確認</t>
    <rPh sb="3" eb="5">
      <t>ナイヨウ</t>
    </rPh>
    <rPh sb="5" eb="8">
      <t>ヨウカクニン</t>
    </rPh>
    <phoneticPr fontId="23"/>
  </si>
  <si>
    <t>新旧で391
パッケージ系×2+
Win10対応で400</t>
    <rPh sb="0" eb="2">
      <t>シンキュウ</t>
    </rPh>
    <rPh sb="12" eb="13">
      <t>ケイ</t>
    </rPh>
    <rPh sb="22" eb="24">
      <t>タイオウ</t>
    </rPh>
    <phoneticPr fontId="23"/>
  </si>
  <si>
    <t>いなげや様 サーバ　リグレッションテスト仕様書</t>
    <phoneticPr fontId="4"/>
  </si>
  <si>
    <t>　</t>
    <phoneticPr fontId="4"/>
  </si>
  <si>
    <t>　</t>
  </si>
  <si>
    <t>更新日：</t>
    <phoneticPr fontId="4"/>
  </si>
  <si>
    <t>NO</t>
  </si>
  <si>
    <t>大分類</t>
    <rPh sb="1" eb="3">
      <t>ブンルイ</t>
    </rPh>
    <phoneticPr fontId="4"/>
  </si>
  <si>
    <t>中分類</t>
    <rPh sb="1" eb="3">
      <t>ブンルイ</t>
    </rPh>
    <phoneticPr fontId="4"/>
  </si>
  <si>
    <t>小分類</t>
    <rPh sb="1" eb="3">
      <t>ブンルイ</t>
    </rPh>
    <phoneticPr fontId="4"/>
  </si>
  <si>
    <t>テスト項目</t>
    <phoneticPr fontId="4"/>
  </si>
  <si>
    <t>確認項目</t>
  </si>
  <si>
    <t>確認日</t>
  </si>
  <si>
    <t>担当者</t>
    <rPh sb="0" eb="2">
      <t>タントウ</t>
    </rPh>
    <rPh sb="2" eb="3">
      <t>シャ</t>
    </rPh>
    <phoneticPr fontId="4"/>
  </si>
  <si>
    <t>結果</t>
    <rPh sb="0" eb="2">
      <t>ケッカ</t>
    </rPh>
    <phoneticPr fontId="4"/>
  </si>
  <si>
    <t>備考</t>
  </si>
  <si>
    <t>画面</t>
    <rPh sb="0" eb="2">
      <t>ガメン</t>
    </rPh>
    <phoneticPr fontId="4"/>
  </si>
  <si>
    <t>ｶｽﾀﾏ
ﾃﾞｨｽ
ﾌﾟﾚｲ</t>
    <phoneticPr fontId="4"/>
  </si>
  <si>
    <t>多項目
ｵﾍﾟﾚｰﾀ</t>
    <phoneticPr fontId="4"/>
  </si>
  <si>
    <t>多項目
ｶｽﾀﾏ</t>
    <phoneticPr fontId="4"/>
  </si>
  <si>
    <t>ﾚｼｰﾄ</t>
    <phoneticPr fontId="4"/>
  </si>
  <si>
    <t>ｼﾞｬｰﾅﾙ</t>
    <phoneticPr fontId="4"/>
  </si>
  <si>
    <t>ﾄﾞﾛｱ</t>
    <phoneticPr fontId="4"/>
  </si>
  <si>
    <t>ﾚﾎﾟｰﾄ</t>
    <phoneticPr fontId="4"/>
  </si>
  <si>
    <t>KB操作</t>
    <phoneticPr fontId="4"/>
  </si>
  <si>
    <t>ﾌｧﾝｸｼｮﾝ
操作</t>
    <phoneticPr fontId="4"/>
  </si>
  <si>
    <t>集計</t>
    <rPh sb="0" eb="2">
      <t>シュウケイ</t>
    </rPh>
    <phoneticPr fontId="4"/>
  </si>
  <si>
    <t>ﾌｧｲﾙ
ﾚｲｱｳﾄ</t>
    <phoneticPr fontId="4"/>
  </si>
  <si>
    <t>帳票</t>
    <rPh sb="0" eb="2">
      <t>チョウヒョウ</t>
    </rPh>
    <phoneticPr fontId="4"/>
  </si>
  <si>
    <t>ﾛｸﾞ</t>
    <phoneticPr fontId="4"/>
  </si>
  <si>
    <t>リモメン</t>
    <phoneticPr fontId="4"/>
  </si>
  <si>
    <t>PTFLOG</t>
    <phoneticPr fontId="4"/>
  </si>
  <si>
    <t>PTFLOGを開き、エラーが出力されていないこと</t>
    <rPh sb="7" eb="8">
      <t>ヒラ</t>
    </rPh>
    <rPh sb="14" eb="16">
      <t>シュツリョク</t>
    </rPh>
    <phoneticPr fontId="4"/>
  </si>
  <si>
    <t>○</t>
  </si>
  <si>
    <t>エラーという文言がでているとは限らない。
リモメン適用した個所だけ確認しおかしい文言がないか確認する。</t>
    <rPh sb="6" eb="8">
      <t>モンゴン</t>
    </rPh>
    <rPh sb="15" eb="16">
      <t>カギ</t>
    </rPh>
    <rPh sb="25" eb="27">
      <t>テキヨウ</t>
    </rPh>
    <rPh sb="29" eb="31">
      <t>カショ</t>
    </rPh>
    <rPh sb="33" eb="35">
      <t>カクニン</t>
    </rPh>
    <rPh sb="40" eb="42">
      <t>モンゴン</t>
    </rPh>
    <rPh sb="46" eb="48">
      <t>カクニン</t>
    </rPh>
    <phoneticPr fontId="4"/>
  </si>
  <si>
    <t>PTFLOG2</t>
    <phoneticPr fontId="4"/>
  </si>
  <si>
    <t>PTFLOG2を開き、エラーが出力されていないこと</t>
    <phoneticPr fontId="4"/>
  </si>
  <si>
    <t>外付け適用</t>
    <rPh sb="0" eb="1">
      <t>ソト</t>
    </rPh>
    <rPh sb="1" eb="2">
      <t>ヅ</t>
    </rPh>
    <rPh sb="3" eb="5">
      <t>テキヨウ</t>
    </rPh>
    <phoneticPr fontId="4"/>
  </si>
  <si>
    <t>CTKYLOG</t>
    <phoneticPr fontId="4"/>
  </si>
  <si>
    <t>CTKYLOGを開き、エラーが出力されていないこと</t>
    <rPh sb="8" eb="9">
      <t>ヒラ</t>
    </rPh>
    <rPh sb="15" eb="17">
      <t>シュツリョク</t>
    </rPh>
    <phoneticPr fontId="4"/>
  </si>
  <si>
    <t>●</t>
    <phoneticPr fontId="4"/>
  </si>
  <si>
    <t>下田</t>
    <rPh sb="0" eb="2">
      <t>シモダ</t>
    </rPh>
    <phoneticPr fontId="4"/>
  </si>
  <si>
    <t>○</t>
    <phoneticPr fontId="4"/>
  </si>
  <si>
    <t>エラーという文言がでているとは限らない。
外付け適用した個所だけ確認しおかしい文言がないか確認する。</t>
    <rPh sb="6" eb="8">
      <t>モンゴン</t>
    </rPh>
    <rPh sb="15" eb="16">
      <t>カギ</t>
    </rPh>
    <rPh sb="21" eb="22">
      <t>ソト</t>
    </rPh>
    <rPh sb="22" eb="23">
      <t>ヅ</t>
    </rPh>
    <rPh sb="24" eb="26">
      <t>テキヨウ</t>
    </rPh>
    <rPh sb="28" eb="30">
      <t>カショ</t>
    </rPh>
    <rPh sb="32" eb="34">
      <t>カクニン</t>
    </rPh>
    <rPh sb="39" eb="41">
      <t>モンゴン</t>
    </rPh>
    <rPh sb="45" eb="47">
      <t>カクニン</t>
    </rPh>
    <phoneticPr fontId="4"/>
  </si>
  <si>
    <t>CTKYLOG2</t>
    <phoneticPr fontId="4"/>
  </si>
  <si>
    <t>CTKYLOG2を開き、エラーが出力されていないこと</t>
    <phoneticPr fontId="4"/>
  </si>
  <si>
    <t>PTF戻し</t>
    <rPh sb="3" eb="4">
      <t>モド</t>
    </rPh>
    <phoneticPr fontId="4"/>
  </si>
  <si>
    <t>Restore</t>
    <phoneticPr fontId="4"/>
  </si>
  <si>
    <t>PTF戻しを行えること</t>
    <rPh sb="3" eb="4">
      <t>モド</t>
    </rPh>
    <rPh sb="6" eb="7">
      <t>オコナ</t>
    </rPh>
    <phoneticPr fontId="4"/>
  </si>
  <si>
    <t>開店</t>
    <rPh sb="0" eb="2">
      <t>カイテン</t>
    </rPh>
    <phoneticPr fontId="4"/>
  </si>
  <si>
    <t>開局処理</t>
    <rPh sb="0" eb="2">
      <t>カイキョク</t>
    </rPh>
    <rPh sb="2" eb="4">
      <t>ショリ</t>
    </rPh>
    <phoneticPr fontId="4"/>
  </si>
  <si>
    <t>開局処理が正常に行われること</t>
    <rPh sb="0" eb="2">
      <t>カイキョク</t>
    </rPh>
    <rPh sb="2" eb="4">
      <t>ショリ</t>
    </rPh>
    <rPh sb="5" eb="7">
      <t>セイジョウ</t>
    </rPh>
    <rPh sb="8" eb="9">
      <t>オコナ</t>
    </rPh>
    <phoneticPr fontId="4"/>
  </si>
  <si>
    <t>閉店</t>
    <phoneticPr fontId="4"/>
  </si>
  <si>
    <t>閉局処理</t>
    <rPh sb="0" eb="2">
      <t>ヘイキョク</t>
    </rPh>
    <rPh sb="2" eb="4">
      <t>ショリ</t>
    </rPh>
    <phoneticPr fontId="4"/>
  </si>
  <si>
    <t>閉局処理が正常に行われること</t>
    <rPh sb="0" eb="2">
      <t>ヘイキョク</t>
    </rPh>
    <rPh sb="2" eb="4">
      <t>ショリ</t>
    </rPh>
    <rPh sb="5" eb="7">
      <t>セイジョウ</t>
    </rPh>
    <rPh sb="8" eb="9">
      <t>オコナ</t>
    </rPh>
    <phoneticPr fontId="4"/>
  </si>
  <si>
    <t>運用</t>
    <rPh sb="0" eb="2">
      <t>ウンヨウ</t>
    </rPh>
    <phoneticPr fontId="4"/>
  </si>
  <si>
    <t>店舗状態管理</t>
    <rPh sb="0" eb="2">
      <t>テンポ</t>
    </rPh>
    <rPh sb="2" eb="4">
      <t>ジョウタイ</t>
    </rPh>
    <rPh sb="4" eb="6">
      <t>カンリ</t>
    </rPh>
    <phoneticPr fontId="4"/>
  </si>
  <si>
    <t>POS稼動状況確認</t>
    <rPh sb="3" eb="5">
      <t>カドウ</t>
    </rPh>
    <rPh sb="5" eb="7">
      <t>ジョウキョウ</t>
    </rPh>
    <rPh sb="7" eb="9">
      <t>カクニン</t>
    </rPh>
    <phoneticPr fontId="4"/>
  </si>
  <si>
    <t>POSの現在の稼動状況が正しく表示されていること（稼働中／精算済等）</t>
    <rPh sb="4" eb="6">
      <t>ゲンザイ</t>
    </rPh>
    <rPh sb="7" eb="9">
      <t>カドウ</t>
    </rPh>
    <rPh sb="9" eb="11">
      <t>ジョウキョウ</t>
    </rPh>
    <rPh sb="12" eb="13">
      <t>タダ</t>
    </rPh>
    <rPh sb="15" eb="17">
      <t>ヒョウジ</t>
    </rPh>
    <rPh sb="25" eb="28">
      <t>カドウチュウ</t>
    </rPh>
    <rPh sb="29" eb="31">
      <t>セイサン</t>
    </rPh>
    <rPh sb="31" eb="32">
      <t>ス</t>
    </rPh>
    <rPh sb="32" eb="33">
      <t>トウ</t>
    </rPh>
    <phoneticPr fontId="4"/>
  </si>
  <si>
    <t>店舗</t>
    <rPh sb="0" eb="2">
      <t>テンポ</t>
    </rPh>
    <phoneticPr fontId="4"/>
  </si>
  <si>
    <t>設定・照会</t>
    <rPh sb="0" eb="2">
      <t>セッテイ</t>
    </rPh>
    <rPh sb="3" eb="5">
      <t>ショウカイ</t>
    </rPh>
    <phoneticPr fontId="4"/>
  </si>
  <si>
    <t>担当者マスタ設定</t>
    <rPh sb="0" eb="3">
      <t>タントウシャ</t>
    </rPh>
    <rPh sb="6" eb="8">
      <t>セッテイ</t>
    </rPh>
    <phoneticPr fontId="4"/>
  </si>
  <si>
    <t>担当者の新規登録ができ、POSに反映すること</t>
    <rPh sb="0" eb="3">
      <t>タントウシャ</t>
    </rPh>
    <rPh sb="4" eb="6">
      <t>シンキ</t>
    </rPh>
    <rPh sb="6" eb="8">
      <t>トウロク</t>
    </rPh>
    <rPh sb="16" eb="18">
      <t>ハンエイ</t>
    </rPh>
    <phoneticPr fontId="4"/>
  </si>
  <si>
    <t>店舗⇒設定・照会⇒担当者マスタ設定
⇒従業員コードポップアップをキャンセル
⇒追加⇒担当者情報を入力※従業員コードは適当（番号を入力）</t>
    <rPh sb="0" eb="2">
      <t>テンポ</t>
    </rPh>
    <rPh sb="3" eb="5">
      <t>セッテイ</t>
    </rPh>
    <rPh sb="6" eb="8">
      <t>ショウカイ</t>
    </rPh>
    <rPh sb="9" eb="12">
      <t>タントウシャ</t>
    </rPh>
    <rPh sb="15" eb="17">
      <t>セッテイ</t>
    </rPh>
    <rPh sb="19" eb="22">
      <t>ジュウギョウイン</t>
    </rPh>
    <rPh sb="39" eb="41">
      <t>ツイカ</t>
    </rPh>
    <rPh sb="42" eb="45">
      <t>タントウシャ</t>
    </rPh>
    <rPh sb="45" eb="47">
      <t>ジョウホウ</t>
    </rPh>
    <rPh sb="48" eb="50">
      <t>ニュウリョク</t>
    </rPh>
    <rPh sb="51" eb="54">
      <t>ジュウギョウイン</t>
    </rPh>
    <rPh sb="58" eb="60">
      <t>テキトウ</t>
    </rPh>
    <rPh sb="61" eb="63">
      <t>バンゴウ</t>
    </rPh>
    <rPh sb="64" eb="66">
      <t>ニュウリョク</t>
    </rPh>
    <phoneticPr fontId="4"/>
  </si>
  <si>
    <t>各種リスト出力</t>
    <rPh sb="0" eb="2">
      <t>カクシュ</t>
    </rPh>
    <rPh sb="5" eb="7">
      <t>シュツリョク</t>
    </rPh>
    <phoneticPr fontId="4"/>
  </si>
  <si>
    <t>担当者マスタ出力</t>
    <rPh sb="0" eb="3">
      <t>タントウシャ</t>
    </rPh>
    <rPh sb="6" eb="8">
      <t>シュツリョク</t>
    </rPh>
    <phoneticPr fontId="4"/>
  </si>
  <si>
    <t>画面が正しく表示されること
（プリンタがある環境の場合、正しく印刷できることを確認する）</t>
    <rPh sb="0" eb="2">
      <t>ガメン</t>
    </rPh>
    <rPh sb="3" eb="4">
      <t>タダ</t>
    </rPh>
    <rPh sb="6" eb="8">
      <t>ヒョウジ</t>
    </rPh>
    <rPh sb="22" eb="24">
      <t>カンキョウ</t>
    </rPh>
    <rPh sb="25" eb="27">
      <t>バアイ</t>
    </rPh>
    <rPh sb="28" eb="29">
      <t>タダ</t>
    </rPh>
    <rPh sb="31" eb="33">
      <t>インサツ</t>
    </rPh>
    <rPh sb="39" eb="41">
      <t>カクニン</t>
    </rPh>
    <phoneticPr fontId="4"/>
  </si>
  <si>
    <t>■</t>
    <phoneticPr fontId="4"/>
  </si>
  <si>
    <t>担当者マスタ設定が出力されればOK</t>
    <rPh sb="0" eb="3">
      <t>タントウシャ</t>
    </rPh>
    <rPh sb="6" eb="8">
      <t>セッテイ</t>
    </rPh>
    <rPh sb="9" eb="11">
      <t>シュツリョク</t>
    </rPh>
    <phoneticPr fontId="4"/>
  </si>
  <si>
    <t>売変</t>
    <rPh sb="0" eb="2">
      <t>バイヘン</t>
    </rPh>
    <phoneticPr fontId="4"/>
  </si>
  <si>
    <t>山積・企画設定
特売単品</t>
    <rPh sb="0" eb="2">
      <t>ヤマヅ</t>
    </rPh>
    <rPh sb="3" eb="5">
      <t>キカク</t>
    </rPh>
    <rPh sb="5" eb="7">
      <t>セッテイ</t>
    </rPh>
    <rPh sb="8" eb="10">
      <t>トクバイ</t>
    </rPh>
    <rPh sb="10" eb="12">
      <t>タンピン</t>
    </rPh>
    <phoneticPr fontId="4"/>
  </si>
  <si>
    <t>特売の設定ができ、POSに反映すること</t>
    <rPh sb="0" eb="2">
      <t>トクバイ</t>
    </rPh>
    <rPh sb="3" eb="5">
      <t>セッテイ</t>
    </rPh>
    <rPh sb="13" eb="15">
      <t>ハンエイ</t>
    </rPh>
    <phoneticPr fontId="4"/>
  </si>
  <si>
    <t>企画を適当に登録。
特売単品で商品を登録。</t>
    <rPh sb="0" eb="2">
      <t>キカク</t>
    </rPh>
    <rPh sb="3" eb="5">
      <t>テキトウ</t>
    </rPh>
    <rPh sb="6" eb="8">
      <t>トウロク</t>
    </rPh>
    <rPh sb="10" eb="12">
      <t>トクバイ</t>
    </rPh>
    <rPh sb="12" eb="14">
      <t>タンピン</t>
    </rPh>
    <rPh sb="15" eb="17">
      <t>ショウヒン</t>
    </rPh>
    <rPh sb="18" eb="20">
      <t>トウロク</t>
    </rPh>
    <phoneticPr fontId="4"/>
  </si>
  <si>
    <t>山積・企画設定
組合せグループ</t>
    <rPh sb="0" eb="2">
      <t>ヤマヅ</t>
    </rPh>
    <rPh sb="3" eb="5">
      <t>キカク</t>
    </rPh>
    <rPh sb="5" eb="7">
      <t>セッテイ</t>
    </rPh>
    <rPh sb="8" eb="9">
      <t>ク</t>
    </rPh>
    <rPh sb="9" eb="10">
      <t>ア</t>
    </rPh>
    <phoneticPr fontId="4"/>
  </si>
  <si>
    <t>バンドル設定ができ、POSに反映すること</t>
    <rPh sb="4" eb="6">
      <t>セッテイ</t>
    </rPh>
    <rPh sb="14" eb="16">
      <t>ハンエイ</t>
    </rPh>
    <phoneticPr fontId="4"/>
  </si>
  <si>
    <t>同一商品複数個で値引</t>
    <rPh sb="0" eb="2">
      <t>ドウイツ</t>
    </rPh>
    <rPh sb="2" eb="4">
      <t>ショウヒン</t>
    </rPh>
    <rPh sb="4" eb="7">
      <t>フクスウコ</t>
    </rPh>
    <rPh sb="8" eb="10">
      <t>ネビキ</t>
    </rPh>
    <phoneticPr fontId="4"/>
  </si>
  <si>
    <t>ミックス販売設定ができ、POSに反映すること</t>
    <rPh sb="4" eb="6">
      <t>ハンバイ</t>
    </rPh>
    <rPh sb="6" eb="8">
      <t>セッテイ</t>
    </rPh>
    <rPh sb="16" eb="18">
      <t>ハンエイ</t>
    </rPh>
    <phoneticPr fontId="4"/>
  </si>
  <si>
    <t>不同商品複数個で値引</t>
    <rPh sb="0" eb="2">
      <t>フドウ</t>
    </rPh>
    <rPh sb="2" eb="4">
      <t>ショウヒン</t>
    </rPh>
    <rPh sb="4" eb="6">
      <t>フクスウ</t>
    </rPh>
    <rPh sb="8" eb="10">
      <t>ネビキ</t>
    </rPh>
    <phoneticPr fontId="4"/>
  </si>
  <si>
    <t>自動値引設定</t>
    <rPh sb="0" eb="2">
      <t>ジドウ</t>
    </rPh>
    <rPh sb="2" eb="4">
      <t>ネビ</t>
    </rPh>
    <rPh sb="4" eb="6">
      <t>セッテイ</t>
    </rPh>
    <phoneticPr fontId="4"/>
  </si>
  <si>
    <t>部門階層自動値引の設定ができ、POSに反映すること</t>
    <rPh sb="0" eb="2">
      <t>ブモン</t>
    </rPh>
    <rPh sb="2" eb="4">
      <t>カイソウ</t>
    </rPh>
    <rPh sb="4" eb="6">
      <t>ジドウ</t>
    </rPh>
    <rPh sb="6" eb="8">
      <t>ネビキ</t>
    </rPh>
    <rPh sb="9" eb="11">
      <t>セッテイ</t>
    </rPh>
    <rPh sb="19" eb="21">
      <t>ハンエイ</t>
    </rPh>
    <phoneticPr fontId="4"/>
  </si>
  <si>
    <t>自動値引きする商品を選ぶ⇒店舗⇒売変⇒自動値引き設定
分類No. 開始日　終了日　大分類　中分類　値引き情報⇒更新</t>
    <rPh sb="13" eb="15">
      <t>テンポ</t>
    </rPh>
    <rPh sb="16" eb="18">
      <t>バイヘン</t>
    </rPh>
    <rPh sb="19" eb="21">
      <t>ジドウ</t>
    </rPh>
    <rPh sb="21" eb="23">
      <t>ネビ</t>
    </rPh>
    <rPh sb="24" eb="26">
      <t>セッテイ</t>
    </rPh>
    <rPh sb="27" eb="29">
      <t>ブンルイ</t>
    </rPh>
    <rPh sb="33" eb="36">
      <t>カイシビ</t>
    </rPh>
    <rPh sb="37" eb="40">
      <t>シュウリョウビ</t>
    </rPh>
    <rPh sb="41" eb="44">
      <t>ダイブンルイ</t>
    </rPh>
    <rPh sb="45" eb="48">
      <t>チュウブンルイ</t>
    </rPh>
    <rPh sb="49" eb="51">
      <t>ネビ</t>
    </rPh>
    <rPh sb="52" eb="54">
      <t>ジョウホウ</t>
    </rPh>
    <rPh sb="55" eb="57">
      <t>コウシン</t>
    </rPh>
    <phoneticPr fontId="4"/>
  </si>
  <si>
    <t>青果・単品グループ設定</t>
    <rPh sb="0" eb="2">
      <t>セイカ</t>
    </rPh>
    <rPh sb="3" eb="5">
      <t>タンピン</t>
    </rPh>
    <rPh sb="9" eb="11">
      <t>セッテイ</t>
    </rPh>
    <phoneticPr fontId="4"/>
  </si>
  <si>
    <t>単品グループを新規登録でき、単品グループ単品の登録ができること</t>
    <rPh sb="0" eb="2">
      <t>タンピン</t>
    </rPh>
    <rPh sb="7" eb="9">
      <t>シンキ</t>
    </rPh>
    <rPh sb="9" eb="11">
      <t>トウロク</t>
    </rPh>
    <rPh sb="14" eb="16">
      <t>タンピン</t>
    </rPh>
    <rPh sb="20" eb="22">
      <t>タンピン</t>
    </rPh>
    <rPh sb="23" eb="25">
      <t>トウロク</t>
    </rPh>
    <phoneticPr fontId="4"/>
  </si>
  <si>
    <t>野菜等、グループ設定し帳票出力に使っていた。
単品グループへの登録後は、「システム管理」→「設定・照会」→「商品管理」→「設定情報出力」→「単品グループ」→「印刷」</t>
    <rPh sb="0" eb="2">
      <t>ヤサイ</t>
    </rPh>
    <rPh sb="2" eb="3">
      <t>ナド</t>
    </rPh>
    <rPh sb="8" eb="10">
      <t>セッテイ</t>
    </rPh>
    <rPh sb="11" eb="13">
      <t>チョウヒョウ</t>
    </rPh>
    <rPh sb="13" eb="15">
      <t>シュツリョク</t>
    </rPh>
    <rPh sb="16" eb="17">
      <t>ツカ</t>
    </rPh>
    <rPh sb="23" eb="25">
      <t>タンピン</t>
    </rPh>
    <rPh sb="31" eb="33">
      <t>トウロク</t>
    </rPh>
    <rPh sb="33" eb="34">
      <t>ゴ</t>
    </rPh>
    <rPh sb="41" eb="43">
      <t>カンリ</t>
    </rPh>
    <rPh sb="46" eb="48">
      <t>セッテイ</t>
    </rPh>
    <rPh sb="49" eb="51">
      <t>ショウカイ</t>
    </rPh>
    <rPh sb="54" eb="56">
      <t>ショウヒン</t>
    </rPh>
    <rPh sb="56" eb="58">
      <t>カンリ</t>
    </rPh>
    <rPh sb="61" eb="63">
      <t>セッテイ</t>
    </rPh>
    <rPh sb="63" eb="65">
      <t>ジョウホウ</t>
    </rPh>
    <rPh sb="65" eb="67">
      <t>シュツリョク</t>
    </rPh>
    <rPh sb="70" eb="72">
      <t>タンピン</t>
    </rPh>
    <rPh sb="79" eb="81">
      <t>インサツ</t>
    </rPh>
    <phoneticPr fontId="4"/>
  </si>
  <si>
    <t>電子多項目設定</t>
    <rPh sb="0" eb="2">
      <t>デンシ</t>
    </rPh>
    <rPh sb="2" eb="3">
      <t>タ</t>
    </rPh>
    <rPh sb="3" eb="5">
      <t>コウモク</t>
    </rPh>
    <rPh sb="5" eb="7">
      <t>セッテイ</t>
    </rPh>
    <phoneticPr fontId="4"/>
  </si>
  <si>
    <t>電子多項目の設定ができ、POSに反映すること</t>
    <rPh sb="0" eb="2">
      <t>デンシ</t>
    </rPh>
    <rPh sb="2" eb="3">
      <t>タ</t>
    </rPh>
    <rPh sb="3" eb="5">
      <t>コウモク</t>
    </rPh>
    <rPh sb="6" eb="8">
      <t>セッテイ</t>
    </rPh>
    <rPh sb="16" eb="18">
      <t>ハンエイ</t>
    </rPh>
    <phoneticPr fontId="4"/>
  </si>
  <si>
    <t>スキャンコードを先に入力しないと画像割り付けができない
何回か取引すると割り付けられる</t>
    <rPh sb="8" eb="9">
      <t>サキ</t>
    </rPh>
    <rPh sb="10" eb="12">
      <t>ニュウリョク</t>
    </rPh>
    <rPh sb="16" eb="18">
      <t>ガゾウ</t>
    </rPh>
    <rPh sb="18" eb="19">
      <t>ワ</t>
    </rPh>
    <rPh sb="20" eb="21">
      <t>ツ</t>
    </rPh>
    <rPh sb="28" eb="30">
      <t>ナンカイ</t>
    </rPh>
    <rPh sb="31" eb="33">
      <t>トリヒキ</t>
    </rPh>
    <rPh sb="36" eb="37">
      <t>ワ</t>
    </rPh>
    <rPh sb="38" eb="39">
      <t>ツ</t>
    </rPh>
    <phoneticPr fontId="4"/>
  </si>
  <si>
    <t>営業中メンテナンス</t>
    <rPh sb="0" eb="3">
      <t>エイギョウチュウ</t>
    </rPh>
    <phoneticPr fontId="4"/>
  </si>
  <si>
    <t>但し書の設定変更ができ、POSに反映すること
（ｺﾏｰｼｬﾙﾒｯｾｰｼﾞについては、POS系テスト項目で確認）</t>
    <rPh sb="0" eb="1">
      <t>タダ</t>
    </rPh>
    <rPh sb="2" eb="3">
      <t>ガキ</t>
    </rPh>
    <rPh sb="4" eb="6">
      <t>セッテイ</t>
    </rPh>
    <rPh sb="6" eb="8">
      <t>ヘンコウ</t>
    </rPh>
    <rPh sb="16" eb="18">
      <t>ハンエイ</t>
    </rPh>
    <phoneticPr fontId="4"/>
  </si>
  <si>
    <t>お知らせメッセージメンテナンス</t>
    <rPh sb="1" eb="2">
      <t>シ</t>
    </rPh>
    <phoneticPr fontId="4"/>
  </si>
  <si>
    <t>お知らせメッセージの設定変更ができ、POSに反映すること</t>
    <rPh sb="1" eb="2">
      <t>シ</t>
    </rPh>
    <rPh sb="10" eb="12">
      <t>セッテイ</t>
    </rPh>
    <rPh sb="12" eb="14">
      <t>ヘンコウ</t>
    </rPh>
    <rPh sb="22" eb="24">
      <t>ハンエイ</t>
    </rPh>
    <phoneticPr fontId="4"/>
  </si>
  <si>
    <t>電子ジャーナル照会</t>
    <rPh sb="7" eb="9">
      <t>ショウカイ</t>
    </rPh>
    <phoneticPr fontId="4"/>
  </si>
  <si>
    <t>画面が表示されること／設定操作が可能であること</t>
    <rPh sb="0" eb="2">
      <t>ガメン</t>
    </rPh>
    <rPh sb="3" eb="5">
      <t>ヒョウジ</t>
    </rPh>
    <rPh sb="11" eb="13">
      <t>セッテイ</t>
    </rPh>
    <rPh sb="13" eb="15">
      <t>ソウサ</t>
    </rPh>
    <rPh sb="16" eb="18">
      <t>カノウ</t>
    </rPh>
    <phoneticPr fontId="4"/>
  </si>
  <si>
    <t>電子ジャーナル照会
(F3)詳細</t>
    <rPh sb="7" eb="9">
      <t>ショウカイ</t>
    </rPh>
    <rPh sb="14" eb="16">
      <t>ショウサイ</t>
    </rPh>
    <phoneticPr fontId="4"/>
  </si>
  <si>
    <t>詳細検索条件を入力して、検索ができること</t>
    <rPh sb="0" eb="2">
      <t>ショウサイ</t>
    </rPh>
    <rPh sb="2" eb="4">
      <t>ケンサク</t>
    </rPh>
    <rPh sb="4" eb="6">
      <t>ジョウケン</t>
    </rPh>
    <rPh sb="7" eb="9">
      <t>ニュウリョク</t>
    </rPh>
    <rPh sb="12" eb="14">
      <t>ケンサク</t>
    </rPh>
    <phoneticPr fontId="4"/>
  </si>
  <si>
    <t>電子ジャーナル照会
(F11)ﾃｷｽﾄ</t>
    <rPh sb="7" eb="9">
      <t>ショウカイ</t>
    </rPh>
    <phoneticPr fontId="4"/>
  </si>
  <si>
    <t>テキスト出力ができること</t>
    <rPh sb="4" eb="6">
      <t>シュツリョク</t>
    </rPh>
    <phoneticPr fontId="4"/>
  </si>
  <si>
    <t>売上速報</t>
    <rPh sb="0" eb="2">
      <t>ウリアゲ</t>
    </rPh>
    <rPh sb="2" eb="4">
      <t>ソクホウ</t>
    </rPh>
    <phoneticPr fontId="4"/>
  </si>
  <si>
    <t>部門実績フラッシュ(速報)</t>
    <rPh sb="0" eb="2">
      <t>ブモン</t>
    </rPh>
    <rPh sb="2" eb="4">
      <t>ジッセキ</t>
    </rPh>
    <rPh sb="10" eb="12">
      <t>ソクホウ</t>
    </rPh>
    <phoneticPr fontId="4"/>
  </si>
  <si>
    <t>売上登録した内容が正しく集計されていること</t>
    <rPh sb="0" eb="2">
      <t>ウリアゲ</t>
    </rPh>
    <rPh sb="2" eb="4">
      <t>トウロク</t>
    </rPh>
    <rPh sb="6" eb="8">
      <t>ナイヨウ</t>
    </rPh>
    <rPh sb="9" eb="10">
      <t>タダ</t>
    </rPh>
    <rPh sb="12" eb="14">
      <t>シュウケイ</t>
    </rPh>
    <phoneticPr fontId="4"/>
  </si>
  <si>
    <t>▲</t>
    <phoneticPr fontId="4"/>
  </si>
  <si>
    <t>データ活用</t>
    <rPh sb="3" eb="5">
      <t>カツヨウ</t>
    </rPh>
    <phoneticPr fontId="4"/>
  </si>
  <si>
    <t>商品階層別
商品階層別速報</t>
    <rPh sb="6" eb="8">
      <t>ショウヒン</t>
    </rPh>
    <rPh sb="8" eb="10">
      <t>カイソウ</t>
    </rPh>
    <rPh sb="10" eb="11">
      <t>ベツ</t>
    </rPh>
    <rPh sb="11" eb="13">
      <t>ソクホウ</t>
    </rPh>
    <phoneticPr fontId="4"/>
  </si>
  <si>
    <t>担当者別
担当者別速報</t>
    <rPh sb="5" eb="8">
      <t>タントウシャ</t>
    </rPh>
    <rPh sb="8" eb="9">
      <t>ベツ</t>
    </rPh>
    <rPh sb="9" eb="11">
      <t>ソクホウ</t>
    </rPh>
    <phoneticPr fontId="4"/>
  </si>
  <si>
    <t>取引別
取引別速報</t>
    <rPh sb="4" eb="6">
      <t>トリヒキ</t>
    </rPh>
    <rPh sb="6" eb="7">
      <t>ベツ</t>
    </rPh>
    <rPh sb="7" eb="9">
      <t>ソクホウ</t>
    </rPh>
    <phoneticPr fontId="4"/>
  </si>
  <si>
    <t>単品別
単品別速報</t>
    <rPh sb="4" eb="6">
      <t>タンピン</t>
    </rPh>
    <rPh sb="6" eb="7">
      <t>ベツ</t>
    </rPh>
    <rPh sb="7" eb="9">
      <t>ソクホウ</t>
    </rPh>
    <phoneticPr fontId="4"/>
  </si>
  <si>
    <t>商品階層別
商品階層別時間帯別速報</t>
    <rPh sb="0" eb="2">
      <t>ショウヒン</t>
    </rPh>
    <rPh sb="2" eb="4">
      <t>カイソウ</t>
    </rPh>
    <rPh sb="4" eb="5">
      <t>ベツ</t>
    </rPh>
    <rPh sb="6" eb="8">
      <t>ショウヒン</t>
    </rPh>
    <rPh sb="8" eb="10">
      <t>カイソウ</t>
    </rPh>
    <rPh sb="10" eb="11">
      <t>ベツ</t>
    </rPh>
    <rPh sb="11" eb="14">
      <t>ジカンタイ</t>
    </rPh>
    <rPh sb="14" eb="15">
      <t>ベツ</t>
    </rPh>
    <rPh sb="15" eb="17">
      <t>ソクホウ</t>
    </rPh>
    <phoneticPr fontId="4"/>
  </si>
  <si>
    <t>データ活用</t>
    <phoneticPr fontId="4"/>
  </si>
  <si>
    <t>商品階層別
商品階層別日報</t>
    <rPh sb="6" eb="8">
      <t>ショウヒン</t>
    </rPh>
    <rPh sb="8" eb="10">
      <t>カイソウ</t>
    </rPh>
    <rPh sb="10" eb="11">
      <t>ベツ</t>
    </rPh>
    <rPh sb="11" eb="13">
      <t>ニッポウ</t>
    </rPh>
    <phoneticPr fontId="4"/>
  </si>
  <si>
    <t>前日売上登録した内容が正しく集計されていること</t>
    <rPh sb="0" eb="2">
      <t>ゼンジツ</t>
    </rPh>
    <rPh sb="2" eb="4">
      <t>ウリアゲ</t>
    </rPh>
    <rPh sb="4" eb="6">
      <t>トウロク</t>
    </rPh>
    <rPh sb="8" eb="10">
      <t>ナイヨウ</t>
    </rPh>
    <rPh sb="11" eb="12">
      <t>タダ</t>
    </rPh>
    <rPh sb="14" eb="16">
      <t>シュウケイ</t>
    </rPh>
    <phoneticPr fontId="4"/>
  </si>
  <si>
    <t>担当者別
担当者別日報</t>
    <rPh sb="5" eb="8">
      <t>タントウシャ</t>
    </rPh>
    <rPh sb="8" eb="9">
      <t>ベツ</t>
    </rPh>
    <rPh sb="9" eb="11">
      <t>ニッポウ</t>
    </rPh>
    <phoneticPr fontId="4"/>
  </si>
  <si>
    <t>取引別
取引別日報</t>
    <rPh sb="4" eb="7">
      <t>トリヒキベツ</t>
    </rPh>
    <rPh sb="7" eb="9">
      <t>ニッポウ</t>
    </rPh>
    <phoneticPr fontId="4"/>
  </si>
  <si>
    <t>単品別
単品別日報</t>
    <rPh sb="4" eb="6">
      <t>タンピン</t>
    </rPh>
    <rPh sb="6" eb="7">
      <t>ベツ</t>
    </rPh>
    <rPh sb="7" eb="9">
      <t>ニッポウ</t>
    </rPh>
    <phoneticPr fontId="4"/>
  </si>
  <si>
    <t>単品別日別レポートなし
単品別日別日報ならあったので
それで前日売上登録を確認した</t>
    <rPh sb="0" eb="2">
      <t>タンピン</t>
    </rPh>
    <rPh sb="2" eb="3">
      <t>ベツ</t>
    </rPh>
    <rPh sb="3" eb="4">
      <t>ヒ</t>
    </rPh>
    <rPh sb="4" eb="5">
      <t>ベツ</t>
    </rPh>
    <rPh sb="12" eb="14">
      <t>タンピン</t>
    </rPh>
    <rPh sb="14" eb="15">
      <t>ベツ</t>
    </rPh>
    <rPh sb="15" eb="16">
      <t>ヒ</t>
    </rPh>
    <rPh sb="16" eb="17">
      <t>ベツ</t>
    </rPh>
    <rPh sb="17" eb="19">
      <t>ニッポウ</t>
    </rPh>
    <rPh sb="30" eb="32">
      <t>ゼンジツ</t>
    </rPh>
    <rPh sb="32" eb="34">
      <t>ウリアゲ</t>
    </rPh>
    <rPh sb="34" eb="36">
      <t>トウロク</t>
    </rPh>
    <rPh sb="37" eb="39">
      <t>カクニン</t>
    </rPh>
    <phoneticPr fontId="4"/>
  </si>
  <si>
    <t>商品階層別
商品階層別時間帯別日報</t>
    <rPh sb="0" eb="2">
      <t>ショウヒン</t>
    </rPh>
    <rPh sb="2" eb="4">
      <t>カイソウ</t>
    </rPh>
    <rPh sb="4" eb="5">
      <t>ベツ</t>
    </rPh>
    <rPh sb="6" eb="8">
      <t>ショウヒン</t>
    </rPh>
    <rPh sb="8" eb="10">
      <t>カイソウ</t>
    </rPh>
    <rPh sb="10" eb="11">
      <t>ベツ</t>
    </rPh>
    <rPh sb="11" eb="13">
      <t>ジカン</t>
    </rPh>
    <rPh sb="13" eb="14">
      <t>タイ</t>
    </rPh>
    <rPh sb="14" eb="15">
      <t>ベツ</t>
    </rPh>
    <rPh sb="15" eb="17">
      <t>ニッポウ</t>
    </rPh>
    <phoneticPr fontId="4"/>
  </si>
  <si>
    <t>商品階層別
商品階層別月報</t>
    <rPh sb="6" eb="8">
      <t>ショウヒン</t>
    </rPh>
    <rPh sb="8" eb="10">
      <t>カイソウ</t>
    </rPh>
    <rPh sb="10" eb="11">
      <t>ベツ</t>
    </rPh>
    <rPh sb="11" eb="13">
      <t>ゲッポウ</t>
    </rPh>
    <phoneticPr fontId="4"/>
  </si>
  <si>
    <t>商品階層別
商品階層別日別月報</t>
    <rPh sb="6" eb="8">
      <t>ショウヒン</t>
    </rPh>
    <rPh sb="8" eb="10">
      <t>カイソウ</t>
    </rPh>
    <rPh sb="10" eb="11">
      <t>ベツ</t>
    </rPh>
    <rPh sb="11" eb="12">
      <t>ヒ</t>
    </rPh>
    <rPh sb="12" eb="13">
      <t>ベツ</t>
    </rPh>
    <rPh sb="13" eb="15">
      <t>ゲッポウ</t>
    </rPh>
    <phoneticPr fontId="4"/>
  </si>
  <si>
    <t>単品別
単品別月報</t>
    <rPh sb="4" eb="6">
      <t>タンピン</t>
    </rPh>
    <rPh sb="6" eb="7">
      <t>ベツ</t>
    </rPh>
    <rPh sb="7" eb="9">
      <t>ゲッポウ</t>
    </rPh>
    <phoneticPr fontId="4"/>
  </si>
  <si>
    <t>釣銭機レポート</t>
    <rPh sb="0" eb="3">
      <t>ツリセンキ</t>
    </rPh>
    <phoneticPr fontId="4"/>
  </si>
  <si>
    <t>釣銭機在高レポート</t>
    <rPh sb="0" eb="3">
      <t>ツリセンキ</t>
    </rPh>
    <rPh sb="3" eb="4">
      <t>ア</t>
    </rPh>
    <rPh sb="4" eb="5">
      <t>タカ</t>
    </rPh>
    <phoneticPr fontId="4"/>
  </si>
  <si>
    <t>釣銭機在高内容が表示されること</t>
    <rPh sb="0" eb="3">
      <t>ツリセンキ</t>
    </rPh>
    <rPh sb="3" eb="4">
      <t>ア</t>
    </rPh>
    <rPh sb="4" eb="5">
      <t>ダカ</t>
    </rPh>
    <rPh sb="5" eb="7">
      <t>ナイヨウ</t>
    </rPh>
    <rPh sb="8" eb="10">
      <t>ヒョウジ</t>
    </rPh>
    <phoneticPr fontId="4"/>
  </si>
  <si>
    <t>店舗⇒釣銭機レポート</t>
    <rPh sb="0" eb="2">
      <t>テンポ</t>
    </rPh>
    <rPh sb="3" eb="6">
      <t>ツリセンキ</t>
    </rPh>
    <phoneticPr fontId="4"/>
  </si>
  <si>
    <t>「あふれ」列が存在すること（最右列）</t>
    <rPh sb="5" eb="6">
      <t>レツ</t>
    </rPh>
    <rPh sb="7" eb="9">
      <t>ソンザイ</t>
    </rPh>
    <rPh sb="14" eb="15">
      <t>モット</t>
    </rPh>
    <rPh sb="15" eb="16">
      <t>ミギ</t>
    </rPh>
    <rPh sb="16" eb="17">
      <t>レツ</t>
    </rPh>
    <phoneticPr fontId="4"/>
  </si>
  <si>
    <t>システム管理</t>
    <rPh sb="4" eb="6">
      <t>カンリ</t>
    </rPh>
    <phoneticPr fontId="4"/>
  </si>
  <si>
    <t>速報（当日分）
POS別速報</t>
    <rPh sb="0" eb="2">
      <t>ソクホウ</t>
    </rPh>
    <rPh sb="3" eb="5">
      <t>トウジツ</t>
    </rPh>
    <rPh sb="5" eb="6">
      <t>ブン</t>
    </rPh>
    <rPh sb="11" eb="12">
      <t>ベツ</t>
    </rPh>
    <rPh sb="12" eb="14">
      <t>ソクホウ</t>
    </rPh>
    <phoneticPr fontId="4"/>
  </si>
  <si>
    <t>時間帯別速報（当日分）
単品別時間帯別速報</t>
    <rPh sb="0" eb="3">
      <t>ジカンタイ</t>
    </rPh>
    <rPh sb="3" eb="4">
      <t>ベツ</t>
    </rPh>
    <rPh sb="4" eb="6">
      <t>ソクホウ</t>
    </rPh>
    <rPh sb="7" eb="9">
      <t>トウジツ</t>
    </rPh>
    <rPh sb="9" eb="10">
      <t>ブン</t>
    </rPh>
    <rPh sb="12" eb="14">
      <t>タンピン</t>
    </rPh>
    <rPh sb="14" eb="15">
      <t>ベツ</t>
    </rPh>
    <rPh sb="15" eb="17">
      <t>ジカン</t>
    </rPh>
    <rPh sb="17" eb="18">
      <t>タイ</t>
    </rPh>
    <rPh sb="18" eb="19">
      <t>ベツ</t>
    </rPh>
    <rPh sb="19" eb="21">
      <t>ソクホウ</t>
    </rPh>
    <phoneticPr fontId="4"/>
  </si>
  <si>
    <t>単品グループ設定した単品を売上登録し、正しく集計されていること</t>
    <rPh sb="0" eb="2">
      <t>タンピン</t>
    </rPh>
    <rPh sb="6" eb="8">
      <t>セッテイ</t>
    </rPh>
    <rPh sb="10" eb="12">
      <t>タンピン</t>
    </rPh>
    <rPh sb="13" eb="15">
      <t>ウリアゲ</t>
    </rPh>
    <rPh sb="15" eb="17">
      <t>トウロク</t>
    </rPh>
    <rPh sb="19" eb="20">
      <t>タダ</t>
    </rPh>
    <rPh sb="22" eb="24">
      <t>シュウケイ</t>
    </rPh>
    <phoneticPr fontId="4"/>
  </si>
  <si>
    <t>時間帯別速報（当日分）
POS別時間帯別速報</t>
    <rPh sb="15" eb="16">
      <t>ベツ</t>
    </rPh>
    <rPh sb="16" eb="18">
      <t>ジカン</t>
    </rPh>
    <rPh sb="18" eb="19">
      <t>タイ</t>
    </rPh>
    <rPh sb="19" eb="20">
      <t>ベツ</t>
    </rPh>
    <rPh sb="20" eb="22">
      <t>ソクホウ</t>
    </rPh>
    <phoneticPr fontId="4"/>
  </si>
  <si>
    <t>時間帯別速報（当日分）
担当者別時間帯別速報</t>
    <rPh sb="12" eb="15">
      <t>タントウシャ</t>
    </rPh>
    <rPh sb="15" eb="16">
      <t>ベツ</t>
    </rPh>
    <rPh sb="16" eb="18">
      <t>ジカン</t>
    </rPh>
    <rPh sb="18" eb="19">
      <t>タイ</t>
    </rPh>
    <rPh sb="19" eb="20">
      <t>ベツ</t>
    </rPh>
    <rPh sb="20" eb="22">
      <t>ソクホウ</t>
    </rPh>
    <phoneticPr fontId="4"/>
  </si>
  <si>
    <t>日報（前日営業日）
担当者別管理表</t>
    <rPh sb="0" eb="1">
      <t>ニチ</t>
    </rPh>
    <rPh sb="3" eb="5">
      <t>ゼンジツ</t>
    </rPh>
    <rPh sb="5" eb="8">
      <t>エイギョウビ</t>
    </rPh>
    <rPh sb="10" eb="14">
      <t>タントウシャベツ</t>
    </rPh>
    <rPh sb="14" eb="17">
      <t>カンリヒョウ</t>
    </rPh>
    <phoneticPr fontId="4"/>
  </si>
  <si>
    <t>日報（前日営業日）
POS別日報</t>
    <rPh sb="0" eb="1">
      <t>ニチ</t>
    </rPh>
    <rPh sb="3" eb="5">
      <t>ゼンジツ</t>
    </rPh>
    <rPh sb="5" eb="8">
      <t>エイギョウビ</t>
    </rPh>
    <rPh sb="13" eb="14">
      <t>ベツ</t>
    </rPh>
    <rPh sb="14" eb="16">
      <t>ニッポウ</t>
    </rPh>
    <phoneticPr fontId="4"/>
  </si>
  <si>
    <t>日報（前日営業日）
企画単品別日報</t>
    <rPh sb="0" eb="1">
      <t>ニチ</t>
    </rPh>
    <rPh sb="3" eb="5">
      <t>ゼンジツ</t>
    </rPh>
    <rPh sb="5" eb="8">
      <t>エイギョウビ</t>
    </rPh>
    <rPh sb="10" eb="12">
      <t>キカク</t>
    </rPh>
    <rPh sb="12" eb="14">
      <t>タンピン</t>
    </rPh>
    <rPh sb="14" eb="15">
      <t>ベツ</t>
    </rPh>
    <rPh sb="15" eb="17">
      <t>ニッポウ</t>
    </rPh>
    <phoneticPr fontId="4"/>
  </si>
  <si>
    <t>時間帯別日報（前日営業日）
担当者別時間帯別日報</t>
    <rPh sb="4" eb="5">
      <t>ニチ</t>
    </rPh>
    <rPh sb="7" eb="9">
      <t>ゼンジツ</t>
    </rPh>
    <rPh sb="9" eb="12">
      <t>エイギョウビ</t>
    </rPh>
    <rPh sb="14" eb="17">
      <t>タントウシャ</t>
    </rPh>
    <rPh sb="17" eb="18">
      <t>ベツ</t>
    </rPh>
    <rPh sb="18" eb="20">
      <t>ジカン</t>
    </rPh>
    <rPh sb="20" eb="21">
      <t>タイ</t>
    </rPh>
    <rPh sb="21" eb="22">
      <t>ベツ</t>
    </rPh>
    <rPh sb="22" eb="24">
      <t>ニッポウ</t>
    </rPh>
    <phoneticPr fontId="4"/>
  </si>
  <si>
    <t>時間帯別日報（前日営業日）
POS別時間帯別日報</t>
    <rPh sb="4" eb="5">
      <t>ニチ</t>
    </rPh>
    <rPh sb="7" eb="9">
      <t>ゼンジツ</t>
    </rPh>
    <rPh sb="9" eb="12">
      <t>エイギョウビ</t>
    </rPh>
    <rPh sb="17" eb="18">
      <t>ベツ</t>
    </rPh>
    <rPh sb="18" eb="20">
      <t>ジカン</t>
    </rPh>
    <rPh sb="20" eb="21">
      <t>タイ</t>
    </rPh>
    <rPh sb="21" eb="22">
      <t>ベツ</t>
    </rPh>
    <rPh sb="22" eb="24">
      <t>ニッポウ</t>
    </rPh>
    <phoneticPr fontId="4"/>
  </si>
  <si>
    <t>時間帯別日報（前日営業日）
単品別時間帯別日報</t>
    <rPh sb="4" eb="5">
      <t>ニチ</t>
    </rPh>
    <rPh sb="7" eb="9">
      <t>ゼンジツ</t>
    </rPh>
    <rPh sb="9" eb="12">
      <t>エイギョウビ</t>
    </rPh>
    <rPh sb="14" eb="16">
      <t>タンピン</t>
    </rPh>
    <rPh sb="16" eb="17">
      <t>ベツ</t>
    </rPh>
    <rPh sb="17" eb="19">
      <t>ジカン</t>
    </rPh>
    <rPh sb="19" eb="20">
      <t>タイ</t>
    </rPh>
    <rPh sb="20" eb="21">
      <t>ベツ</t>
    </rPh>
    <rPh sb="21" eb="23">
      <t>ニッポウ</t>
    </rPh>
    <phoneticPr fontId="4"/>
  </si>
  <si>
    <t>月報
担当者別月報</t>
    <rPh sb="0" eb="2">
      <t>ゲッポウ</t>
    </rPh>
    <rPh sb="3" eb="6">
      <t>タントウシャ</t>
    </rPh>
    <rPh sb="6" eb="7">
      <t>ベツ</t>
    </rPh>
    <rPh sb="7" eb="9">
      <t>ゲッポウ</t>
    </rPh>
    <phoneticPr fontId="4"/>
  </si>
  <si>
    <t>月報
取引別月報</t>
    <rPh sb="0" eb="2">
      <t>ゲッポウ</t>
    </rPh>
    <rPh sb="3" eb="5">
      <t>トリヒキ</t>
    </rPh>
    <rPh sb="5" eb="6">
      <t>ベツ</t>
    </rPh>
    <rPh sb="6" eb="8">
      <t>ゲッポウ</t>
    </rPh>
    <phoneticPr fontId="4"/>
  </si>
  <si>
    <t>月報
取引別日別月報</t>
    <rPh sb="0" eb="2">
      <t>ゲッポウ</t>
    </rPh>
    <rPh sb="3" eb="5">
      <t>トリヒキ</t>
    </rPh>
    <rPh sb="5" eb="6">
      <t>ベツ</t>
    </rPh>
    <rPh sb="6" eb="8">
      <t>ヒベツ</t>
    </rPh>
    <rPh sb="8" eb="10">
      <t>ゲッポウ</t>
    </rPh>
    <phoneticPr fontId="4"/>
  </si>
  <si>
    <t>月報
POS別月報</t>
    <rPh sb="0" eb="2">
      <t>ゲッポウ</t>
    </rPh>
    <rPh sb="6" eb="7">
      <t>ベツ</t>
    </rPh>
    <rPh sb="7" eb="9">
      <t>ゲッポウ</t>
    </rPh>
    <phoneticPr fontId="4"/>
  </si>
  <si>
    <t xml:space="preserve"> システム管理</t>
    <phoneticPr fontId="4"/>
  </si>
  <si>
    <t>カレンダ情報マスタ設定</t>
    <rPh sb="4" eb="6">
      <t>ジョウホウ</t>
    </rPh>
    <rPh sb="9" eb="11">
      <t>セッテイ</t>
    </rPh>
    <phoneticPr fontId="4"/>
  </si>
  <si>
    <t>定休日の設定ができること</t>
    <rPh sb="0" eb="3">
      <t>テイキュウビ</t>
    </rPh>
    <rPh sb="4" eb="6">
      <t>セッテイ</t>
    </rPh>
    <phoneticPr fontId="4"/>
  </si>
  <si>
    <t>システム管理⇒設定・照会⇒店舗管理（設定）</t>
    <rPh sb="4" eb="6">
      <t>カンリ</t>
    </rPh>
    <rPh sb="7" eb="9">
      <t>セッテイ</t>
    </rPh>
    <rPh sb="10" eb="12">
      <t>ショウカイ</t>
    </rPh>
    <rPh sb="13" eb="15">
      <t>テンポ</t>
    </rPh>
    <rPh sb="15" eb="17">
      <t>カンリ</t>
    </rPh>
    <rPh sb="18" eb="20">
      <t>セッテイ</t>
    </rPh>
    <phoneticPr fontId="4"/>
  </si>
  <si>
    <t>商品管理
単品設定</t>
    <rPh sb="0" eb="2">
      <t>ショウヒン</t>
    </rPh>
    <rPh sb="2" eb="4">
      <t>カンリ</t>
    </rPh>
    <rPh sb="5" eb="7">
      <t>タンピン</t>
    </rPh>
    <rPh sb="7" eb="9">
      <t>セッテイ</t>
    </rPh>
    <phoneticPr fontId="4"/>
  </si>
  <si>
    <t>新規で単品の登録ができ、POSに反映すること</t>
    <rPh sb="0" eb="2">
      <t>シンキ</t>
    </rPh>
    <rPh sb="3" eb="5">
      <t>タンピン</t>
    </rPh>
    <rPh sb="6" eb="8">
      <t>トウロク</t>
    </rPh>
    <rPh sb="16" eb="18">
      <t>ハンエイ</t>
    </rPh>
    <phoneticPr fontId="4"/>
  </si>
  <si>
    <t>02XXXXXX0000Z（Zはチェックデジット）で適当に商品を登録
バーコードを作成し（0000は価格を入れる）POSで読み取り。</t>
    <rPh sb="26" eb="28">
      <t>テキトウ</t>
    </rPh>
    <rPh sb="29" eb="31">
      <t>ショウヒン</t>
    </rPh>
    <rPh sb="32" eb="34">
      <t>トウロク</t>
    </rPh>
    <rPh sb="41" eb="43">
      <t>サクセイ</t>
    </rPh>
    <rPh sb="50" eb="52">
      <t>カカク</t>
    </rPh>
    <rPh sb="53" eb="54">
      <t>イ</t>
    </rPh>
    <rPh sb="61" eb="62">
      <t>ヨ</t>
    </rPh>
    <rPh sb="63" eb="64">
      <t>ト</t>
    </rPh>
    <phoneticPr fontId="4"/>
  </si>
  <si>
    <t>商品管理
単品設定
マークダウン</t>
    <rPh sb="0" eb="2">
      <t>ショウヒン</t>
    </rPh>
    <rPh sb="2" eb="4">
      <t>カンリ</t>
    </rPh>
    <rPh sb="5" eb="7">
      <t>タンピン</t>
    </rPh>
    <rPh sb="7" eb="9">
      <t>セッテイ</t>
    </rPh>
    <phoneticPr fontId="4"/>
  </si>
  <si>
    <t>マークダウンの設定操作が可能であり、POSに反映すること</t>
    <rPh sb="7" eb="9">
      <t>セッテイ</t>
    </rPh>
    <rPh sb="9" eb="11">
      <t>ソウサ</t>
    </rPh>
    <rPh sb="12" eb="14">
      <t>カノウ</t>
    </rPh>
    <rPh sb="22" eb="24">
      <t>ハンエイ</t>
    </rPh>
    <phoneticPr fontId="4"/>
  </si>
  <si>
    <t>在庫数を調節してPOSへ反映させる。
最初の値入れで決定した売価を値引きすること。</t>
    <rPh sb="0" eb="2">
      <t>ザイコ</t>
    </rPh>
    <rPh sb="2" eb="3">
      <t>スウ</t>
    </rPh>
    <rPh sb="4" eb="6">
      <t>チョウセツ</t>
    </rPh>
    <rPh sb="12" eb="14">
      <t>ハンエイ</t>
    </rPh>
    <phoneticPr fontId="4"/>
  </si>
  <si>
    <t>システム設定</t>
    <rPh sb="4" eb="6">
      <t>セッテイ</t>
    </rPh>
    <phoneticPr fontId="4"/>
  </si>
  <si>
    <t>キーレイアウト設定</t>
    <phoneticPr fontId="4"/>
  </si>
  <si>
    <t>割り付ける機能キーの変更ができること</t>
    <rPh sb="0" eb="1">
      <t>ワ</t>
    </rPh>
    <rPh sb="2" eb="3">
      <t>ツ</t>
    </rPh>
    <rPh sb="5" eb="7">
      <t>キノウ</t>
    </rPh>
    <rPh sb="10" eb="12">
      <t>ヘンコウ</t>
    </rPh>
    <phoneticPr fontId="4"/>
  </si>
  <si>
    <t>プリセット／値引項目の設定変更ができること</t>
    <rPh sb="6" eb="8">
      <t>ネビキ</t>
    </rPh>
    <rPh sb="8" eb="10">
      <t>コウモク</t>
    </rPh>
    <rPh sb="11" eb="13">
      <t>セッテイ</t>
    </rPh>
    <rPh sb="13" eb="15">
      <t>ヘンコウ</t>
    </rPh>
    <phoneticPr fontId="4"/>
  </si>
  <si>
    <t>システム設定検索</t>
    <rPh sb="4" eb="6">
      <t>セッテイ</t>
    </rPh>
    <rPh sb="6" eb="8">
      <t>ケンサク</t>
    </rPh>
    <phoneticPr fontId="4"/>
  </si>
  <si>
    <t>任意のキーワードで、システム設定の検索ができること</t>
    <rPh sb="0" eb="2">
      <t>ニンイ</t>
    </rPh>
    <rPh sb="14" eb="16">
      <t>セッテイ</t>
    </rPh>
    <rPh sb="17" eb="19">
      <t>ケンサク</t>
    </rPh>
    <phoneticPr fontId="4"/>
  </si>
  <si>
    <t>設定変更でき、POSに送信できること。
POSを再起動し、設定が反映すること。</t>
    <rPh sb="0" eb="2">
      <t>セッテイ</t>
    </rPh>
    <rPh sb="2" eb="4">
      <t>ヘンコウ</t>
    </rPh>
    <rPh sb="11" eb="13">
      <t>ソウシン</t>
    </rPh>
    <rPh sb="24" eb="27">
      <t>サイキドウ</t>
    </rPh>
    <rPh sb="29" eb="31">
      <t>セッテイ</t>
    </rPh>
    <rPh sb="32" eb="34">
      <t>ハンエイ</t>
    </rPh>
    <phoneticPr fontId="4"/>
  </si>
  <si>
    <t>保守</t>
    <rPh sb="0" eb="2">
      <t>ホシュ</t>
    </rPh>
    <phoneticPr fontId="4"/>
  </si>
  <si>
    <t>閉店保守
強制精算</t>
    <rPh sb="5" eb="7">
      <t>キョウセイ</t>
    </rPh>
    <rPh sb="7" eb="9">
      <t>セイサン</t>
    </rPh>
    <phoneticPr fontId="4"/>
  </si>
  <si>
    <t>一覧に接続しているPOSの状況（稼働中やオンライン等）が、
正しく表示されること</t>
    <rPh sb="0" eb="2">
      <t>イチラン</t>
    </rPh>
    <rPh sb="3" eb="5">
      <t>セツゾク</t>
    </rPh>
    <rPh sb="13" eb="15">
      <t>ジョウキョウ</t>
    </rPh>
    <rPh sb="16" eb="19">
      <t>カドウチュウ</t>
    </rPh>
    <rPh sb="25" eb="26">
      <t>トウ</t>
    </rPh>
    <rPh sb="30" eb="31">
      <t>タダ</t>
    </rPh>
    <rPh sb="33" eb="35">
      <t>ヒョウジ</t>
    </rPh>
    <phoneticPr fontId="4"/>
  </si>
  <si>
    <t>ログ確認</t>
    <rPh sb="2" eb="4">
      <t>カクニン</t>
    </rPh>
    <phoneticPr fontId="4"/>
  </si>
  <si>
    <t>イベントログ</t>
    <phoneticPr fontId="4"/>
  </si>
  <si>
    <r>
      <t>イベントログ（アプリケーション、セキュリティ、システム）に
エラーが</t>
    </r>
    <r>
      <rPr>
        <sz val="8"/>
        <rFont val="游ゴシック"/>
        <family val="3"/>
        <charset val="128"/>
      </rPr>
      <t>出力されていないこと</t>
    </r>
    <rPh sb="34" eb="36">
      <t>シュツリョク</t>
    </rPh>
    <phoneticPr fontId="4"/>
  </si>
  <si>
    <r>
      <t xml:space="preserve">Windowsログ
TSM最小化し、イベントビューアを開く
ESL関連のイベントは除く
</t>
    </r>
    <r>
      <rPr>
        <sz val="8"/>
        <rFont val="游ゴシック"/>
        <family val="3"/>
        <charset val="128"/>
        <scheme val="minor"/>
      </rPr>
      <t>エラー内容確認</t>
    </r>
    <rPh sb="13" eb="16">
      <t>サイショウカ</t>
    </rPh>
    <rPh sb="27" eb="28">
      <t>ヒラ</t>
    </rPh>
    <rPh sb="33" eb="35">
      <t>カンレン</t>
    </rPh>
    <rPh sb="41" eb="42">
      <t>ノゾ</t>
    </rPh>
    <rPh sb="47" eb="49">
      <t>ナイヨウ</t>
    </rPh>
    <rPh sb="49" eb="51">
      <t>カクニン</t>
    </rPh>
    <phoneticPr fontId="4"/>
  </si>
  <si>
    <t>Runlog</t>
    <phoneticPr fontId="4"/>
  </si>
  <si>
    <t>Runlogにエラーが出力されていないこと</t>
    <rPh sb="11" eb="13">
      <t>シュツリョク</t>
    </rPh>
    <phoneticPr fontId="4"/>
  </si>
  <si>
    <r>
      <t xml:space="preserve">出力先：C:\GSTR\RAFT\log
</t>
    </r>
    <r>
      <rPr>
        <sz val="8"/>
        <rFont val="游ゴシック"/>
        <family val="3"/>
        <charset val="128"/>
        <scheme val="minor"/>
      </rPr>
      <t>エラー内容確認</t>
    </r>
    <rPh sb="0" eb="2">
      <t>シュツリョク</t>
    </rPh>
    <rPh sb="2" eb="3">
      <t>サキ</t>
    </rPh>
    <rPh sb="24" eb="26">
      <t>ナイヨウ</t>
    </rPh>
    <rPh sb="26" eb="28">
      <t>カクニン</t>
    </rPh>
    <phoneticPr fontId="4"/>
  </si>
  <si>
    <t>ESL</t>
    <phoneticPr fontId="4"/>
  </si>
  <si>
    <t>ESLログ</t>
    <phoneticPr fontId="4"/>
  </si>
  <si>
    <t>商品階層自動値引実行中商品にて、
ESL連携ファイル出力コードが"000005"となっていること</t>
    <rPh sb="8" eb="11">
      <t>ジッコウチュウ</t>
    </rPh>
    <rPh sb="11" eb="13">
      <t>ショウヒン</t>
    </rPh>
    <phoneticPr fontId="4"/>
  </si>
  <si>
    <t>出力先：C:\ESL\1\DATA\xxx000yyyymmddhhmmssESLDATA.txt</t>
    <rPh sb="0" eb="2">
      <t>シュツリョク</t>
    </rPh>
    <rPh sb="2" eb="3">
      <t>サキ</t>
    </rPh>
    <phoneticPr fontId="4"/>
  </si>
  <si>
    <t>バンドル実行中商品にて、
ESL連携ファイルにバンドル情報が出力されること。
末尾（バンドル金額（税抜き（8桁）・税込み(8桁)）
/成立個数(5桁)/特売終了日(8桁)）</t>
    <rPh sb="4" eb="7">
      <t>ジッコウチュウ</t>
    </rPh>
    <rPh sb="7" eb="9">
      <t>ショウヒン</t>
    </rPh>
    <rPh sb="39" eb="41">
      <t>マツビ</t>
    </rPh>
    <rPh sb="54" eb="55">
      <t>ケタ</t>
    </rPh>
    <rPh sb="62" eb="63">
      <t>ケタ</t>
    </rPh>
    <rPh sb="73" eb="74">
      <t>ケタ</t>
    </rPh>
    <rPh sb="83" eb="84">
      <t>ケタ</t>
    </rPh>
    <phoneticPr fontId="4"/>
  </si>
  <si>
    <t>売り切り商品のESL連携ファイルを確認すること
　⇒催しコード：005xxxxxx、データ種別：000004</t>
    <rPh sb="0" eb="1">
      <t>ウ</t>
    </rPh>
    <rPh sb="2" eb="3">
      <t>キ</t>
    </rPh>
    <rPh sb="4" eb="6">
      <t>ショウヒン</t>
    </rPh>
    <rPh sb="17" eb="19">
      <t>カクニン</t>
    </rPh>
    <rPh sb="26" eb="27">
      <t>モヨオ</t>
    </rPh>
    <rPh sb="45" eb="47">
      <t>シュベツ</t>
    </rPh>
    <phoneticPr fontId="4"/>
  </si>
  <si>
    <t>ドキップライスが設定された商品のESL連携ファイルを確認すること
　⇒催しコード：106xxxxxx、データ種別：000006</t>
    <rPh sb="8" eb="10">
      <t>セッテイ</t>
    </rPh>
    <rPh sb="13" eb="15">
      <t>ショウヒン</t>
    </rPh>
    <phoneticPr fontId="4"/>
  </si>
  <si>
    <t>翌日の開店処理</t>
    <rPh sb="0" eb="2">
      <t>ヨクジツ</t>
    </rPh>
    <rPh sb="3" eb="5">
      <t>カイテン</t>
    </rPh>
    <rPh sb="5" eb="7">
      <t>ショリ</t>
    </rPh>
    <phoneticPr fontId="4"/>
  </si>
  <si>
    <t>出力先：C:\GSHI\n\DB
システム管理⇒会閉店状況⇒開閉店状況照会
エラー項目を記載する。テストしているためエラーがでる。</t>
    <rPh sb="0" eb="2">
      <t>シュツリョク</t>
    </rPh>
    <rPh sb="2" eb="3">
      <t>サキ</t>
    </rPh>
    <rPh sb="21" eb="23">
      <t>カンリ</t>
    </rPh>
    <rPh sb="24" eb="25">
      <t>カイ</t>
    </rPh>
    <rPh sb="25" eb="27">
      <t>ヘイテン</t>
    </rPh>
    <rPh sb="27" eb="29">
      <t>ジョウキョウ</t>
    </rPh>
    <rPh sb="30" eb="31">
      <t>カイ</t>
    </rPh>
    <rPh sb="31" eb="33">
      <t>ヘイテン</t>
    </rPh>
    <rPh sb="33" eb="35">
      <t>ジョウキョウ</t>
    </rPh>
    <rPh sb="35" eb="37">
      <t>ショウカイ</t>
    </rPh>
    <rPh sb="41" eb="43">
      <t>コウモク</t>
    </rPh>
    <rPh sb="44" eb="46">
      <t>キサイ</t>
    </rPh>
    <phoneticPr fontId="4"/>
  </si>
  <si>
    <t>フル版　確認件数（○＋△＋□）</t>
    <rPh sb="2" eb="3">
      <t>バン</t>
    </rPh>
    <rPh sb="4" eb="6">
      <t>カクニン</t>
    </rPh>
    <rPh sb="6" eb="8">
      <t>ケンスウ</t>
    </rPh>
    <phoneticPr fontId="4"/>
  </si>
  <si>
    <t>結果
件数</t>
    <rPh sb="0" eb="2">
      <t>ケッカ</t>
    </rPh>
    <rPh sb="3" eb="5">
      <t>ケンスウ</t>
    </rPh>
    <phoneticPr fontId="4"/>
  </si>
  <si>
    <t>〇</t>
    <phoneticPr fontId="4"/>
  </si>
  <si>
    <t>超簡易版　確認件数（○＋△）</t>
    <rPh sb="0" eb="1">
      <t>チョウ</t>
    </rPh>
    <rPh sb="1" eb="3">
      <t>カンイ</t>
    </rPh>
    <rPh sb="3" eb="4">
      <t>バン</t>
    </rPh>
    <rPh sb="5" eb="7">
      <t>カクニン</t>
    </rPh>
    <rPh sb="7" eb="9">
      <t>ケンスウ</t>
    </rPh>
    <phoneticPr fontId="4"/>
  </si>
  <si>
    <t>超超簡易版　確認件数（○）</t>
    <rPh sb="0" eb="1">
      <t>チョウ</t>
    </rPh>
    <rPh sb="1" eb="2">
      <t>チョウ</t>
    </rPh>
    <rPh sb="2" eb="4">
      <t>カンイ</t>
    </rPh>
    <rPh sb="4" eb="5">
      <t>バン</t>
    </rPh>
    <rPh sb="6" eb="8">
      <t>カクニン</t>
    </rPh>
    <rPh sb="8" eb="10">
      <t>ケンスウ</t>
    </rPh>
    <phoneticPr fontId="4"/>
  </si>
  <si>
    <t>×</t>
    <phoneticPr fontId="4"/>
  </si>
  <si>
    <t>消化件数（○＋△＋□）</t>
    <rPh sb="0" eb="2">
      <t>ショウカ</t>
    </rPh>
    <rPh sb="2" eb="4">
      <t>ケンスウ</t>
    </rPh>
    <phoneticPr fontId="4"/>
  </si>
  <si>
    <t>いなげや様 Win10対応（POS/SS/PS/CS）　リグレッションテスト仕様書　</t>
    <rPh sb="4" eb="5">
      <t>サマ</t>
    </rPh>
    <rPh sb="11" eb="13">
      <t>タイオウ</t>
    </rPh>
    <rPh sb="38" eb="41">
      <t>シヨウショ</t>
    </rPh>
    <phoneticPr fontId="23"/>
  </si>
  <si>
    <t>決済端末</t>
    <rPh sb="0" eb="2">
      <t>ケッサイ</t>
    </rPh>
    <rPh sb="2" eb="4">
      <t>タンマツ</t>
    </rPh>
    <phoneticPr fontId="4"/>
  </si>
  <si>
    <t>開局</t>
    <rPh sb="0" eb="2">
      <t>カイキョク</t>
    </rPh>
    <phoneticPr fontId="23"/>
  </si>
  <si>
    <t>開局処理</t>
    <rPh sb="0" eb="2">
      <t>カイキョク</t>
    </rPh>
    <rPh sb="2" eb="4">
      <t>ショリ</t>
    </rPh>
    <phoneticPr fontId="23"/>
  </si>
  <si>
    <t>パッケージ系にて実施</t>
    <rPh sb="5" eb="6">
      <t>ケイ</t>
    </rPh>
    <rPh sb="8" eb="10">
      <t>ジッシ</t>
    </rPh>
    <phoneticPr fontId="23"/>
  </si>
  <si>
    <t>（通常操作）</t>
    <rPh sb="1" eb="3">
      <t>ツウジョウ</t>
    </rPh>
    <rPh sb="3" eb="5">
      <t>ソウサ</t>
    </rPh>
    <phoneticPr fontId="23"/>
  </si>
  <si>
    <t>会員番号登録</t>
    <rPh sb="0" eb="2">
      <t>カイイン</t>
    </rPh>
    <rPh sb="2" eb="4">
      <t>バンゴウ</t>
    </rPh>
    <rPh sb="4" eb="6">
      <t>トウロク</t>
    </rPh>
    <phoneticPr fontId="23"/>
  </si>
  <si>
    <t>Vカード</t>
    <phoneticPr fontId="17"/>
  </si>
  <si>
    <t>Vカードで会員登録</t>
    <rPh sb="5" eb="7">
      <t>カイイン</t>
    </rPh>
    <rPh sb="7" eb="9">
      <t>トウロク</t>
    </rPh>
    <phoneticPr fontId="23"/>
  </si>
  <si>
    <t>正常に会員登録できること</t>
    <rPh sb="3" eb="5">
      <t>カイイン</t>
    </rPh>
    <phoneticPr fontId="17"/>
  </si>
  <si>
    <t>支払い操作</t>
    <rPh sb="0" eb="2">
      <t>シハラ</t>
    </rPh>
    <rPh sb="3" eb="5">
      <t>ソウサ</t>
    </rPh>
    <phoneticPr fontId="23"/>
  </si>
  <si>
    <t>会員宣言：なし
Vカード支払い（IC）</t>
    <rPh sb="0" eb="2">
      <t>カイイン</t>
    </rPh>
    <rPh sb="2" eb="4">
      <t>センゲン</t>
    </rPh>
    <rPh sb="12" eb="14">
      <t>シハラ</t>
    </rPh>
    <phoneticPr fontId="17"/>
  </si>
  <si>
    <t>VカードをICで読み込み</t>
    <rPh sb="8" eb="9">
      <t>ヨ</t>
    </rPh>
    <rPh sb="10" eb="11">
      <t>コ</t>
    </rPh>
    <phoneticPr fontId="23"/>
  </si>
  <si>
    <t>正常に支払いが完了し売上登録できること</t>
    <rPh sb="3" eb="5">
      <t>シハラ</t>
    </rPh>
    <rPh sb="7" eb="9">
      <t>カンリョウ</t>
    </rPh>
    <phoneticPr fontId="17"/>
  </si>
  <si>
    <t>売上登録できないこと</t>
    <rPh sb="0" eb="2">
      <t>ウリアゲ</t>
    </rPh>
    <rPh sb="2" eb="4">
      <t>トウロク</t>
    </rPh>
    <phoneticPr fontId="23"/>
  </si>
  <si>
    <t>会員宣言：なし
他クレ支払い（IC）</t>
    <rPh sb="0" eb="2">
      <t>カイイン</t>
    </rPh>
    <rPh sb="2" eb="4">
      <t>センゲン</t>
    </rPh>
    <rPh sb="8" eb="9">
      <t>ホカ</t>
    </rPh>
    <rPh sb="11" eb="13">
      <t>シハラ</t>
    </rPh>
    <phoneticPr fontId="17"/>
  </si>
  <si>
    <t>他クレカードをICで読み込み</t>
    <rPh sb="0" eb="1">
      <t>ホカ</t>
    </rPh>
    <rPh sb="10" eb="11">
      <t>ヨ</t>
    </rPh>
    <rPh sb="12" eb="13">
      <t>コ</t>
    </rPh>
    <phoneticPr fontId="23"/>
  </si>
  <si>
    <t>会員宣言：なし
他クレ支払い（MSR）</t>
    <rPh sb="0" eb="2">
      <t>カイイン</t>
    </rPh>
    <rPh sb="2" eb="4">
      <t>センゲン</t>
    </rPh>
    <rPh sb="8" eb="9">
      <t>ホカ</t>
    </rPh>
    <rPh sb="11" eb="13">
      <t>シハラ</t>
    </rPh>
    <phoneticPr fontId="17"/>
  </si>
  <si>
    <t>他クレカードをMSRで読み込み</t>
    <rPh sb="0" eb="1">
      <t>ホカ</t>
    </rPh>
    <rPh sb="11" eb="12">
      <t>ヨ</t>
    </rPh>
    <rPh sb="13" eb="14">
      <t>コ</t>
    </rPh>
    <phoneticPr fontId="23"/>
  </si>
  <si>
    <t>会員宣言：ingカード（ﾀｯﾁｽｷｬﾅ）
Vカード支払い（IC）</t>
    <rPh sb="0" eb="2">
      <t>カイイン</t>
    </rPh>
    <rPh sb="2" eb="4">
      <t>センゲン</t>
    </rPh>
    <rPh sb="25" eb="27">
      <t>シハラ</t>
    </rPh>
    <phoneticPr fontId="17"/>
  </si>
  <si>
    <t>会員宣言：ingカード（手入力）
他クレ支払い（IC）</t>
    <rPh sb="0" eb="2">
      <t>カイイン</t>
    </rPh>
    <rPh sb="2" eb="4">
      <t>センゲン</t>
    </rPh>
    <rPh sb="12" eb="15">
      <t>テニュウリョク</t>
    </rPh>
    <rPh sb="17" eb="18">
      <t>ホカ</t>
    </rPh>
    <rPh sb="20" eb="22">
      <t>シハラ</t>
    </rPh>
    <phoneticPr fontId="17"/>
  </si>
  <si>
    <t>会員宣言：ingカード（ﾀｯﾁｽｷｬﾅ）
他クレ支払い（MSR）</t>
    <rPh sb="0" eb="2">
      <t>カイイン</t>
    </rPh>
    <rPh sb="2" eb="4">
      <t>センゲン</t>
    </rPh>
    <rPh sb="21" eb="22">
      <t>ホカ</t>
    </rPh>
    <rPh sb="24" eb="26">
      <t>シハラ</t>
    </rPh>
    <phoneticPr fontId="17"/>
  </si>
  <si>
    <t>会員宣言：Vカード
Vカード支払い（IC）</t>
    <rPh sb="0" eb="2">
      <t>カイイン</t>
    </rPh>
    <rPh sb="2" eb="4">
      <t>センゲン</t>
    </rPh>
    <rPh sb="14" eb="16">
      <t>シハラ</t>
    </rPh>
    <rPh sb="15" eb="16">
      <t>バラ</t>
    </rPh>
    <phoneticPr fontId="17"/>
  </si>
  <si>
    <t>会員宣言：Vカード
他クレ支払い（IC）</t>
    <rPh sb="0" eb="2">
      <t>カイイン</t>
    </rPh>
    <rPh sb="2" eb="4">
      <t>センゲン</t>
    </rPh>
    <rPh sb="10" eb="11">
      <t>ホカ</t>
    </rPh>
    <rPh sb="13" eb="15">
      <t>シハラ</t>
    </rPh>
    <phoneticPr fontId="17"/>
  </si>
  <si>
    <t>会員宣言：Vカード
他クレ支払い（MSR）</t>
    <rPh sb="0" eb="2">
      <t>カイイン</t>
    </rPh>
    <rPh sb="2" eb="4">
      <t>センゲン</t>
    </rPh>
    <rPh sb="10" eb="11">
      <t>ホカ</t>
    </rPh>
    <rPh sb="13" eb="15">
      <t>シハラ</t>
    </rPh>
    <phoneticPr fontId="17"/>
  </si>
  <si>
    <t>通番取消</t>
    <rPh sb="0" eb="2">
      <t>ツウバン</t>
    </rPh>
    <rPh sb="2" eb="4">
      <t>トリケシ</t>
    </rPh>
    <phoneticPr fontId="23"/>
  </si>
  <si>
    <t>元取引：会員宣言なし
Vカード支払い</t>
    <rPh sb="0" eb="1">
      <t>モト</t>
    </rPh>
    <rPh sb="1" eb="3">
      <t>トリヒキ</t>
    </rPh>
    <rPh sb="4" eb="8">
      <t>カイインセンゲン</t>
    </rPh>
    <rPh sb="15" eb="17">
      <t>シハラ</t>
    </rPh>
    <phoneticPr fontId="17"/>
  </si>
  <si>
    <t>元取引と同じVカードをICで読み込み</t>
    <rPh sb="0" eb="1">
      <t>モト</t>
    </rPh>
    <rPh sb="1" eb="3">
      <t>トリヒキ</t>
    </rPh>
    <rPh sb="4" eb="5">
      <t>オナ</t>
    </rPh>
    <rPh sb="14" eb="15">
      <t>ヨ</t>
    </rPh>
    <rPh sb="16" eb="17">
      <t>コ</t>
    </rPh>
    <phoneticPr fontId="23"/>
  </si>
  <si>
    <t>正常に取消処理が完了すること</t>
    <rPh sb="3" eb="5">
      <t>トリケシ</t>
    </rPh>
    <rPh sb="5" eb="7">
      <t>ショリ</t>
    </rPh>
    <rPh sb="8" eb="10">
      <t>カンリョウ</t>
    </rPh>
    <phoneticPr fontId="17"/>
  </si>
  <si>
    <t>売上登録不可</t>
    <rPh sb="0" eb="4">
      <t>ウリアゲトウロク</t>
    </rPh>
    <rPh sb="4" eb="6">
      <t>フカ</t>
    </rPh>
    <phoneticPr fontId="23"/>
  </si>
  <si>
    <t>元取引：ingカードで会員宣言
Vカード支払い</t>
    <rPh sb="0" eb="1">
      <t>モト</t>
    </rPh>
    <rPh sb="1" eb="3">
      <t>トリヒキ</t>
    </rPh>
    <rPh sb="11" eb="15">
      <t>カイインセンゲン</t>
    </rPh>
    <rPh sb="20" eb="22">
      <t>シハラ</t>
    </rPh>
    <phoneticPr fontId="17"/>
  </si>
  <si>
    <t>元取引と同じVカードをMSRで読み込み</t>
    <rPh sb="0" eb="1">
      <t>モト</t>
    </rPh>
    <rPh sb="1" eb="3">
      <t>トリヒキ</t>
    </rPh>
    <rPh sb="4" eb="5">
      <t>オナ</t>
    </rPh>
    <rPh sb="15" eb="16">
      <t>ヨ</t>
    </rPh>
    <rPh sb="17" eb="18">
      <t>コ</t>
    </rPh>
    <phoneticPr fontId="23"/>
  </si>
  <si>
    <t>元取引：Vカードで会員宣言
Vカード支払い</t>
    <rPh sb="0" eb="1">
      <t>モト</t>
    </rPh>
    <rPh sb="1" eb="3">
      <t>トリヒキ</t>
    </rPh>
    <rPh sb="9" eb="13">
      <t>カイインセンゲン</t>
    </rPh>
    <rPh sb="18" eb="20">
      <t>シハラ</t>
    </rPh>
    <phoneticPr fontId="17"/>
  </si>
  <si>
    <t>元取引：会員宣言なし
他クレ支払い</t>
    <rPh sb="0" eb="1">
      <t>モト</t>
    </rPh>
    <rPh sb="1" eb="3">
      <t>トリヒキ</t>
    </rPh>
    <rPh sb="4" eb="8">
      <t>カイインセンゲン</t>
    </rPh>
    <rPh sb="11" eb="12">
      <t>ホカ</t>
    </rPh>
    <rPh sb="14" eb="16">
      <t>シハラ</t>
    </rPh>
    <phoneticPr fontId="17"/>
  </si>
  <si>
    <t>元取引と同じ他クレカードをMSRで読み込み</t>
    <rPh sb="0" eb="1">
      <t>モト</t>
    </rPh>
    <rPh sb="1" eb="3">
      <t>トリヒキ</t>
    </rPh>
    <rPh sb="4" eb="5">
      <t>オナ</t>
    </rPh>
    <rPh sb="6" eb="7">
      <t>ホカ</t>
    </rPh>
    <rPh sb="17" eb="18">
      <t>ヨ</t>
    </rPh>
    <rPh sb="19" eb="20">
      <t>コ</t>
    </rPh>
    <phoneticPr fontId="23"/>
  </si>
  <si>
    <t>元取引がingカードで会員宣言
他クレ支払い</t>
    <rPh sb="0" eb="1">
      <t>モト</t>
    </rPh>
    <rPh sb="1" eb="3">
      <t>トリヒキ</t>
    </rPh>
    <rPh sb="11" eb="15">
      <t>カイインセンゲン</t>
    </rPh>
    <rPh sb="16" eb="17">
      <t>ホカ</t>
    </rPh>
    <rPh sb="19" eb="21">
      <t>シハラ</t>
    </rPh>
    <phoneticPr fontId="17"/>
  </si>
  <si>
    <t>元取引と同じ他クレカードをICで読み込み</t>
    <rPh sb="0" eb="1">
      <t>モト</t>
    </rPh>
    <rPh sb="1" eb="3">
      <t>トリヒキ</t>
    </rPh>
    <rPh sb="4" eb="5">
      <t>オナ</t>
    </rPh>
    <rPh sb="6" eb="7">
      <t>ホカ</t>
    </rPh>
    <rPh sb="16" eb="17">
      <t>ヨ</t>
    </rPh>
    <rPh sb="18" eb="19">
      <t>コ</t>
    </rPh>
    <phoneticPr fontId="23"/>
  </si>
  <si>
    <t>元取引がVカードで会員宣言
他クレ支払い</t>
    <rPh sb="0" eb="1">
      <t>モト</t>
    </rPh>
    <rPh sb="1" eb="3">
      <t>トリヒキ</t>
    </rPh>
    <rPh sb="9" eb="13">
      <t>カイインセンゲン</t>
    </rPh>
    <rPh sb="14" eb="15">
      <t>ホカ</t>
    </rPh>
    <rPh sb="17" eb="19">
      <t>シハラ</t>
    </rPh>
    <phoneticPr fontId="17"/>
  </si>
  <si>
    <t>通番修正</t>
    <rPh sb="0" eb="2">
      <t>ツウバン</t>
    </rPh>
    <rPh sb="2" eb="4">
      <t>シュウセイ</t>
    </rPh>
    <phoneticPr fontId="23"/>
  </si>
  <si>
    <t>元取引がVカード支払い</t>
    <rPh sb="0" eb="1">
      <t>モト</t>
    </rPh>
    <rPh sb="1" eb="3">
      <t>トリヒキ</t>
    </rPh>
    <rPh sb="8" eb="10">
      <t>シハラ</t>
    </rPh>
    <phoneticPr fontId="17"/>
  </si>
  <si>
    <t>元取引と同じVカードで通番取消、同じVカードで支払い</t>
    <rPh sb="0" eb="1">
      <t>モト</t>
    </rPh>
    <rPh sb="1" eb="3">
      <t>トリヒキ</t>
    </rPh>
    <rPh sb="4" eb="5">
      <t>オナ</t>
    </rPh>
    <rPh sb="11" eb="13">
      <t>ツウバン</t>
    </rPh>
    <rPh sb="13" eb="15">
      <t>トリケシ</t>
    </rPh>
    <rPh sb="16" eb="17">
      <t>オナ</t>
    </rPh>
    <rPh sb="23" eb="25">
      <t>シハラ</t>
    </rPh>
    <phoneticPr fontId="23"/>
  </si>
  <si>
    <t>元取引の取消処理と修正後の取引が正常に完了すること</t>
    <rPh sb="0" eb="3">
      <t>モトトリヒキ</t>
    </rPh>
    <rPh sb="4" eb="6">
      <t>トリケシ</t>
    </rPh>
    <rPh sb="6" eb="8">
      <t>ショリ</t>
    </rPh>
    <rPh sb="9" eb="11">
      <t>シュウセイ</t>
    </rPh>
    <rPh sb="11" eb="12">
      <t>アト</t>
    </rPh>
    <rPh sb="13" eb="15">
      <t>トリヒキ</t>
    </rPh>
    <rPh sb="16" eb="18">
      <t>セイジョウ</t>
    </rPh>
    <rPh sb="19" eb="21">
      <t>カンリョウ</t>
    </rPh>
    <phoneticPr fontId="17"/>
  </si>
  <si>
    <t>元取引と同じVカードで通番取消、他クレカードで支払い</t>
    <rPh sb="0" eb="1">
      <t>モト</t>
    </rPh>
    <rPh sb="1" eb="3">
      <t>トリヒキ</t>
    </rPh>
    <rPh sb="4" eb="5">
      <t>オナ</t>
    </rPh>
    <rPh sb="11" eb="13">
      <t>ツウバン</t>
    </rPh>
    <rPh sb="13" eb="15">
      <t>トリケシ</t>
    </rPh>
    <rPh sb="16" eb="17">
      <t>ホカ</t>
    </rPh>
    <rPh sb="23" eb="25">
      <t>シハラ</t>
    </rPh>
    <phoneticPr fontId="23"/>
  </si>
  <si>
    <t>元取引と同じVカードで通番取消、現金で支払い</t>
    <rPh sb="0" eb="1">
      <t>モト</t>
    </rPh>
    <rPh sb="1" eb="3">
      <t>トリヒキ</t>
    </rPh>
    <rPh sb="4" eb="5">
      <t>オナ</t>
    </rPh>
    <rPh sb="11" eb="13">
      <t>ツウバン</t>
    </rPh>
    <rPh sb="13" eb="15">
      <t>トリケシ</t>
    </rPh>
    <rPh sb="16" eb="18">
      <t>ゲンキン</t>
    </rPh>
    <rPh sb="19" eb="21">
      <t>シハラ</t>
    </rPh>
    <phoneticPr fontId="23"/>
  </si>
  <si>
    <t>元取引が他クレ支払い</t>
    <rPh sb="0" eb="1">
      <t>モト</t>
    </rPh>
    <rPh sb="1" eb="3">
      <t>トリヒキ</t>
    </rPh>
    <rPh sb="4" eb="5">
      <t>ホカ</t>
    </rPh>
    <rPh sb="7" eb="9">
      <t>シハラ</t>
    </rPh>
    <phoneticPr fontId="17"/>
  </si>
  <si>
    <t>元取引と同じ他クレで通番取消、同じカードで支払い</t>
    <rPh sb="0" eb="1">
      <t>モト</t>
    </rPh>
    <rPh sb="1" eb="3">
      <t>トリヒキ</t>
    </rPh>
    <rPh sb="4" eb="5">
      <t>オナ</t>
    </rPh>
    <rPh sb="6" eb="7">
      <t>ホカ</t>
    </rPh>
    <rPh sb="10" eb="12">
      <t>ツウバン</t>
    </rPh>
    <rPh sb="12" eb="14">
      <t>トリケシ</t>
    </rPh>
    <rPh sb="15" eb="16">
      <t>オナ</t>
    </rPh>
    <rPh sb="21" eb="23">
      <t>シハラ</t>
    </rPh>
    <phoneticPr fontId="23"/>
  </si>
  <si>
    <t>元取引と同じ他クレで通番取消、Vカードで支払い</t>
    <rPh sb="0" eb="1">
      <t>モト</t>
    </rPh>
    <rPh sb="1" eb="3">
      <t>トリヒキ</t>
    </rPh>
    <rPh sb="4" eb="5">
      <t>オナ</t>
    </rPh>
    <rPh sb="6" eb="7">
      <t>ホカ</t>
    </rPh>
    <rPh sb="10" eb="12">
      <t>ツウバン</t>
    </rPh>
    <rPh sb="12" eb="14">
      <t>トリケシ</t>
    </rPh>
    <rPh sb="20" eb="22">
      <t>シハラ</t>
    </rPh>
    <phoneticPr fontId="23"/>
  </si>
  <si>
    <t>元取引と同じ他クレで通番取消、現金で支払い</t>
    <rPh sb="0" eb="1">
      <t>モト</t>
    </rPh>
    <rPh sb="1" eb="3">
      <t>トリヒキ</t>
    </rPh>
    <rPh sb="4" eb="5">
      <t>オナ</t>
    </rPh>
    <rPh sb="6" eb="7">
      <t>ホカ</t>
    </rPh>
    <rPh sb="10" eb="12">
      <t>ツウバン</t>
    </rPh>
    <rPh sb="12" eb="14">
      <t>トリケシ</t>
    </rPh>
    <rPh sb="15" eb="17">
      <t>ゲンキン</t>
    </rPh>
    <rPh sb="18" eb="20">
      <t>シハラ</t>
    </rPh>
    <phoneticPr fontId="23"/>
  </si>
  <si>
    <t>練習モード</t>
    <rPh sb="0" eb="2">
      <t>レンシュウ</t>
    </rPh>
    <phoneticPr fontId="23"/>
  </si>
  <si>
    <t>練習：正常に支払いが完了し売上登録できること</t>
    <rPh sb="0" eb="2">
      <t>レンシュウ</t>
    </rPh>
    <rPh sb="6" eb="8">
      <t>シハラ</t>
    </rPh>
    <rPh sb="10" eb="12">
      <t>カンリョウ</t>
    </rPh>
    <phoneticPr fontId="17"/>
  </si>
  <si>
    <t>会員宣言なしVカード支払不可</t>
    <rPh sb="0" eb="4">
      <t>カイインセンゲン</t>
    </rPh>
    <rPh sb="10" eb="12">
      <t>シハライ</t>
    </rPh>
    <rPh sb="12" eb="14">
      <t>フカ</t>
    </rPh>
    <phoneticPr fontId="23"/>
  </si>
  <si>
    <t>会員宣言：Vカード
Vカード支払い（IC）</t>
    <rPh sb="0" eb="2">
      <t>カイイン</t>
    </rPh>
    <rPh sb="2" eb="4">
      <t>センゲン</t>
    </rPh>
    <rPh sb="14" eb="16">
      <t>シハラ</t>
    </rPh>
    <phoneticPr fontId="17"/>
  </si>
  <si>
    <t>練習：正常に取消処理が完了すること</t>
    <rPh sb="0" eb="2">
      <t>レンシュウ</t>
    </rPh>
    <rPh sb="6" eb="8">
      <t>トリケシ</t>
    </rPh>
    <rPh sb="8" eb="10">
      <t>ショリ</t>
    </rPh>
    <rPh sb="11" eb="13">
      <t>カンリョウ</t>
    </rPh>
    <phoneticPr fontId="17"/>
  </si>
  <si>
    <t>練習：元取引の取消処理と修正後の取引が正常に完了すること</t>
    <rPh sb="0" eb="2">
      <t>レンシュウ</t>
    </rPh>
    <rPh sb="3" eb="6">
      <t>モトトリヒキ</t>
    </rPh>
    <rPh sb="7" eb="9">
      <t>トリケシ</t>
    </rPh>
    <rPh sb="9" eb="11">
      <t>ショリ</t>
    </rPh>
    <rPh sb="12" eb="14">
      <t>シュウセイ</t>
    </rPh>
    <rPh sb="14" eb="15">
      <t>アト</t>
    </rPh>
    <rPh sb="16" eb="18">
      <t>トリヒキ</t>
    </rPh>
    <rPh sb="19" eb="21">
      <t>セイジョウ</t>
    </rPh>
    <rPh sb="22" eb="24">
      <t>カンリョウ</t>
    </rPh>
    <phoneticPr fontId="17"/>
  </si>
  <si>
    <t>元取引と同じ他クレで通番取消、違うカードで支払い</t>
    <rPh sb="0" eb="1">
      <t>モト</t>
    </rPh>
    <rPh sb="1" eb="3">
      <t>トリヒキ</t>
    </rPh>
    <rPh sb="4" eb="5">
      <t>オナ</t>
    </rPh>
    <rPh sb="6" eb="7">
      <t>ホカ</t>
    </rPh>
    <rPh sb="10" eb="12">
      <t>ツウバン</t>
    </rPh>
    <rPh sb="12" eb="14">
      <t>トリケシ</t>
    </rPh>
    <rPh sb="15" eb="16">
      <t>チガ</t>
    </rPh>
    <rPh sb="21" eb="23">
      <t>シハラ</t>
    </rPh>
    <phoneticPr fontId="23"/>
  </si>
  <si>
    <t>Satisfa</t>
    <phoneticPr fontId="23"/>
  </si>
  <si>
    <t>開局処理</t>
    <rPh sb="0" eb="4">
      <t>カイキョクショリ</t>
    </rPh>
    <phoneticPr fontId="23"/>
  </si>
  <si>
    <t>POS開局時にエラーが発生しないこと</t>
    <rPh sb="3" eb="5">
      <t>カイキョク</t>
    </rPh>
    <rPh sb="5" eb="6">
      <t>トキ</t>
    </rPh>
    <rPh sb="11" eb="13">
      <t>ハッセイ</t>
    </rPh>
    <phoneticPr fontId="17"/>
  </si>
  <si>
    <t>会員番号登録</t>
    <phoneticPr fontId="23"/>
  </si>
  <si>
    <t>Vカード</t>
    <phoneticPr fontId="23"/>
  </si>
  <si>
    <t>正常に会員登録できること。現在ポイントが正しく表示されること</t>
    <rPh sb="3" eb="5">
      <t>カイイン</t>
    </rPh>
    <rPh sb="13" eb="15">
      <t>ゲンザイ</t>
    </rPh>
    <rPh sb="20" eb="21">
      <t>タダ</t>
    </rPh>
    <rPh sb="23" eb="25">
      <t>ヒョウジ</t>
    </rPh>
    <phoneticPr fontId="17"/>
  </si>
  <si>
    <t>ingfanカード</t>
    <phoneticPr fontId="17"/>
  </si>
  <si>
    <t>ingfan会員バーコードで会員登録</t>
    <rPh sb="14" eb="16">
      <t>カイイン</t>
    </rPh>
    <rPh sb="16" eb="18">
      <t>トウロク</t>
    </rPh>
    <phoneticPr fontId="23"/>
  </si>
  <si>
    <t>手入力</t>
    <rPh sb="0" eb="3">
      <t>テニュウリョク</t>
    </rPh>
    <phoneticPr fontId="17"/>
  </si>
  <si>
    <t>手入力で会員登録</t>
    <rPh sb="0" eb="3">
      <t>テニュウリョク</t>
    </rPh>
    <rPh sb="4" eb="6">
      <t>カイイン</t>
    </rPh>
    <rPh sb="6" eb="8">
      <t>トウロク</t>
    </rPh>
    <phoneticPr fontId="23"/>
  </si>
  <si>
    <t>ポイント付与</t>
    <rPh sb="4" eb="6">
      <t>フヨ</t>
    </rPh>
    <phoneticPr fontId="23"/>
  </si>
  <si>
    <t>正常に取引が完了すること。今回ポイントが正しく付与されること</t>
    <rPh sb="0" eb="2">
      <t>セイジョウ</t>
    </rPh>
    <rPh sb="3" eb="5">
      <t>トリヒキ</t>
    </rPh>
    <rPh sb="6" eb="8">
      <t>カンリョウ</t>
    </rPh>
    <rPh sb="13" eb="15">
      <t>コンカイ</t>
    </rPh>
    <rPh sb="20" eb="21">
      <t>タダ</t>
    </rPh>
    <rPh sb="23" eb="25">
      <t>フヨ</t>
    </rPh>
    <phoneticPr fontId="17"/>
  </si>
  <si>
    <t>ポイント利用</t>
    <rPh sb="4" eb="6">
      <t>リヨウ</t>
    </rPh>
    <phoneticPr fontId="23"/>
  </si>
  <si>
    <t>正常に取引が完了すること。ポイント利用分が正しく反映されること</t>
    <rPh sb="0" eb="2">
      <t>セイジョウ</t>
    </rPh>
    <rPh sb="3" eb="5">
      <t>トリヒキ</t>
    </rPh>
    <rPh sb="6" eb="8">
      <t>カンリョウ</t>
    </rPh>
    <rPh sb="17" eb="19">
      <t>リヨウ</t>
    </rPh>
    <rPh sb="19" eb="20">
      <t>ブン</t>
    </rPh>
    <rPh sb="21" eb="22">
      <t>タダ</t>
    </rPh>
    <rPh sb="24" eb="26">
      <t>ハンエイ</t>
    </rPh>
    <phoneticPr fontId="17"/>
  </si>
  <si>
    <t>正常に処理が完了すること。ポイント修正結果が正しく反映されること</t>
    <rPh sb="0" eb="2">
      <t>セイジョウ</t>
    </rPh>
    <rPh sb="3" eb="5">
      <t>ショリ</t>
    </rPh>
    <rPh sb="6" eb="8">
      <t>カンリョウ</t>
    </rPh>
    <rPh sb="17" eb="19">
      <t>シュウセイ</t>
    </rPh>
    <rPh sb="19" eb="21">
      <t>ケッカ</t>
    </rPh>
    <rPh sb="22" eb="23">
      <t>タダ</t>
    </rPh>
    <rPh sb="25" eb="27">
      <t>ハンエイ</t>
    </rPh>
    <phoneticPr fontId="17"/>
  </si>
  <si>
    <t>レジマイナス</t>
    <phoneticPr fontId="23"/>
  </si>
  <si>
    <t xml:space="preserve">会員宣言なし
</t>
    <rPh sb="0" eb="4">
      <t>カイインセンゲン</t>
    </rPh>
    <phoneticPr fontId="17"/>
  </si>
  <si>
    <t>会員宣言しない</t>
    <rPh sb="0" eb="4">
      <t>カイインセンゲン</t>
    </rPh>
    <phoneticPr fontId="23"/>
  </si>
  <si>
    <t>正常にマイナス処理が完了すること（現在ポイントが減算されること）</t>
    <rPh sb="7" eb="9">
      <t>ショリ</t>
    </rPh>
    <rPh sb="10" eb="12">
      <t>カンリョウ</t>
    </rPh>
    <rPh sb="17" eb="19">
      <t>ゲンザイ</t>
    </rPh>
    <rPh sb="24" eb="26">
      <t>ゲンザン</t>
    </rPh>
    <phoneticPr fontId="17"/>
  </si>
  <si>
    <t>会員宣言無の場合ポイント減産なし</t>
    <rPh sb="0" eb="4">
      <t>カイインセンゲン</t>
    </rPh>
    <rPh sb="4" eb="5">
      <t>ナ</t>
    </rPh>
    <rPh sb="6" eb="8">
      <t>バアイ</t>
    </rPh>
    <rPh sb="12" eb="14">
      <t>ゲンサン</t>
    </rPh>
    <phoneticPr fontId="23"/>
  </si>
  <si>
    <t xml:space="preserve">ingカードで会員宣言
</t>
    <rPh sb="7" eb="11">
      <t>カイインセンゲン</t>
    </rPh>
    <phoneticPr fontId="17"/>
  </si>
  <si>
    <t>ingfan会員バーコードで会員宣言</t>
    <rPh sb="14" eb="16">
      <t>カイイン</t>
    </rPh>
    <rPh sb="16" eb="18">
      <t>センゲン</t>
    </rPh>
    <phoneticPr fontId="23"/>
  </si>
  <si>
    <t xml:space="preserve">Vカードで会員宣言
</t>
    <rPh sb="5" eb="9">
      <t>カイインセンゲン</t>
    </rPh>
    <phoneticPr fontId="17"/>
  </si>
  <si>
    <t>Vカードで会員宣言</t>
    <rPh sb="5" eb="7">
      <t>カイイン</t>
    </rPh>
    <rPh sb="7" eb="9">
      <t>センゲン</t>
    </rPh>
    <phoneticPr fontId="23"/>
  </si>
  <si>
    <t>正常にマイナス処理が完了すること
（現在ポイントが200円1ポイントで減算されること）</t>
    <rPh sb="7" eb="9">
      <t>ショリ</t>
    </rPh>
    <rPh sb="10" eb="12">
      <t>カンリョウ</t>
    </rPh>
    <rPh sb="18" eb="20">
      <t>ゲンザイ</t>
    </rPh>
    <rPh sb="28" eb="29">
      <t>エン</t>
    </rPh>
    <rPh sb="35" eb="37">
      <t>ゲンザン</t>
    </rPh>
    <phoneticPr fontId="17"/>
  </si>
  <si>
    <t>さんにち割</t>
    <rPh sb="4" eb="5">
      <t>ワリ</t>
    </rPh>
    <phoneticPr fontId="23"/>
  </si>
  <si>
    <t>開局レシートを確認</t>
    <rPh sb="0" eb="2">
      <t>カイキョク</t>
    </rPh>
    <rPh sb="7" eb="9">
      <t>カクニン</t>
    </rPh>
    <phoneticPr fontId="23"/>
  </si>
  <si>
    <t>「さんにち割引」が表示されていること
対象日付が表示されていること</t>
    <phoneticPr fontId="23"/>
  </si>
  <si>
    <t>小計自動値引</t>
    <rPh sb="0" eb="2">
      <t>ショウケイ</t>
    </rPh>
    <rPh sb="2" eb="4">
      <t>ジドウ</t>
    </rPh>
    <rPh sb="4" eb="6">
      <t>ネビ</t>
    </rPh>
    <phoneticPr fontId="23"/>
  </si>
  <si>
    <r>
      <t>自動小計値引が</t>
    </r>
    <r>
      <rPr>
        <sz val="8"/>
        <color rgb="FFFF0000"/>
        <rFont val="游ゴシック"/>
        <family val="3"/>
        <charset val="128"/>
        <scheme val="minor"/>
      </rPr>
      <t>反映されないこと</t>
    </r>
    <rPh sb="0" eb="2">
      <t>ジドウ</t>
    </rPh>
    <rPh sb="2" eb="4">
      <t>ショウケイ</t>
    </rPh>
    <rPh sb="4" eb="6">
      <t>ネビ</t>
    </rPh>
    <rPh sb="7" eb="9">
      <t>ハンエイ</t>
    </rPh>
    <phoneticPr fontId="23"/>
  </si>
  <si>
    <r>
      <t>自動小計値引（5%）が</t>
    </r>
    <r>
      <rPr>
        <sz val="8"/>
        <color rgb="FFFF0000"/>
        <rFont val="游ゴシック"/>
        <family val="3"/>
        <charset val="128"/>
        <scheme val="minor"/>
      </rPr>
      <t>反映されること</t>
    </r>
    <rPh sb="0" eb="2">
      <t>ジドウ</t>
    </rPh>
    <rPh sb="2" eb="4">
      <t>ショウケイ</t>
    </rPh>
    <rPh sb="4" eb="6">
      <t>ネビ</t>
    </rPh>
    <rPh sb="11" eb="13">
      <t>ハンエイ</t>
    </rPh>
    <phoneticPr fontId="23"/>
  </si>
  <si>
    <t>自動釣銭釣札機</t>
    <rPh sb="0" eb="7">
      <t>ジドウツリセンツリサツキ</t>
    </rPh>
    <phoneticPr fontId="23"/>
  </si>
  <si>
    <t>POS連携</t>
    <rPh sb="3" eb="5">
      <t>レンケイ</t>
    </rPh>
    <phoneticPr fontId="23"/>
  </si>
  <si>
    <t>預り金処理</t>
    <phoneticPr fontId="23"/>
  </si>
  <si>
    <t>預り金を投入</t>
    <rPh sb="0" eb="1">
      <t>アズカ</t>
    </rPh>
    <rPh sb="2" eb="3">
      <t>キン</t>
    </rPh>
    <rPh sb="4" eb="6">
      <t>トウニュウ</t>
    </rPh>
    <phoneticPr fontId="23"/>
  </si>
  <si>
    <t>正常に処理が完了すること。お釣りが正しく出金されること</t>
    <rPh sb="0" eb="2">
      <t>セイジョウ</t>
    </rPh>
    <rPh sb="3" eb="5">
      <t>ショリ</t>
    </rPh>
    <rPh sb="6" eb="8">
      <t>カンリョウ</t>
    </rPh>
    <rPh sb="17" eb="18">
      <t>タダ</t>
    </rPh>
    <phoneticPr fontId="23"/>
  </si>
  <si>
    <t>（POS / RT-300）</t>
    <phoneticPr fontId="23"/>
  </si>
  <si>
    <t>在高点検レシート（Xモード）</t>
    <rPh sb="0" eb="1">
      <t>ザイ</t>
    </rPh>
    <rPh sb="1" eb="2">
      <t>タカ</t>
    </rPh>
    <rPh sb="2" eb="4">
      <t>テンケン</t>
    </rPh>
    <phoneticPr fontId="23"/>
  </si>
  <si>
    <t>在高点検レシート出力（Xモード）</t>
    <rPh sb="0" eb="2">
      <t>ザイタカ</t>
    </rPh>
    <rPh sb="2" eb="4">
      <t>テンケン</t>
    </rPh>
    <rPh sb="8" eb="10">
      <t>シュツリョク</t>
    </rPh>
    <phoneticPr fontId="23"/>
  </si>
  <si>
    <t>正常に処理が完了すること。</t>
    <rPh sb="0" eb="2">
      <t>セイジョウ</t>
    </rPh>
    <rPh sb="3" eb="5">
      <t>ショリ</t>
    </rPh>
    <rPh sb="6" eb="8">
      <t>カンリョウ</t>
    </rPh>
    <phoneticPr fontId="23"/>
  </si>
  <si>
    <t>入金</t>
    <rPh sb="0" eb="2">
      <t>ニュウキン</t>
    </rPh>
    <phoneticPr fontId="23"/>
  </si>
  <si>
    <t>入金処理（Xモード）</t>
    <rPh sb="0" eb="2">
      <t>ニュウキン</t>
    </rPh>
    <rPh sb="2" eb="4">
      <t>ショリ</t>
    </rPh>
    <phoneticPr fontId="23"/>
  </si>
  <si>
    <t>お客様両替</t>
    <rPh sb="1" eb="3">
      <t>キャクサマ</t>
    </rPh>
    <rPh sb="3" eb="5">
      <t>リョウガエ</t>
    </rPh>
    <phoneticPr fontId="23"/>
  </si>
  <si>
    <t>お客様両替（Xモード）</t>
    <rPh sb="1" eb="2">
      <t>キャク</t>
    </rPh>
    <rPh sb="2" eb="3">
      <t>サマ</t>
    </rPh>
    <rPh sb="3" eb="5">
      <t>リョウガエ</t>
    </rPh>
    <phoneticPr fontId="23"/>
  </si>
  <si>
    <t>釣銭機接続・切離し</t>
    <rPh sb="0" eb="3">
      <t>ツリセンキ</t>
    </rPh>
    <rPh sb="3" eb="5">
      <t>セツゾク</t>
    </rPh>
    <rPh sb="6" eb="8">
      <t>キリハナ</t>
    </rPh>
    <phoneticPr fontId="23"/>
  </si>
  <si>
    <t>釣銭機接続・切離し（Xモード）</t>
    <rPh sb="0" eb="3">
      <t>ツリセンキ</t>
    </rPh>
    <rPh sb="3" eb="5">
      <t>セツゾク</t>
    </rPh>
    <rPh sb="6" eb="8">
      <t>キリハナ</t>
    </rPh>
    <phoneticPr fontId="23"/>
  </si>
  <si>
    <t>釣銭機接続・切離し（Xモード：釣銭機メニュー）</t>
    <rPh sb="0" eb="3">
      <t>ツリセンキ</t>
    </rPh>
    <rPh sb="3" eb="5">
      <t>セツゾク</t>
    </rPh>
    <rPh sb="6" eb="8">
      <t>キリハナ</t>
    </rPh>
    <rPh sb="15" eb="18">
      <t>ツリセンキ</t>
    </rPh>
    <phoneticPr fontId="23"/>
  </si>
  <si>
    <t>計数機能モード切替</t>
    <rPh sb="0" eb="2">
      <t>ケイスウ</t>
    </rPh>
    <rPh sb="2" eb="4">
      <t>キノウ</t>
    </rPh>
    <rPh sb="7" eb="9">
      <t>キリカエ</t>
    </rPh>
    <phoneticPr fontId="23"/>
  </si>
  <si>
    <t>計数機能モード切替（Xモード：釣銭機メニュー）</t>
    <rPh sb="0" eb="2">
      <t>ケイスウ</t>
    </rPh>
    <rPh sb="2" eb="4">
      <t>キノウ</t>
    </rPh>
    <rPh sb="7" eb="9">
      <t>キリカエ</t>
    </rPh>
    <phoneticPr fontId="23"/>
  </si>
  <si>
    <t>釣銭在高確認</t>
    <rPh sb="0" eb="2">
      <t>ツリセン</t>
    </rPh>
    <rPh sb="2" eb="3">
      <t>ザイ</t>
    </rPh>
    <rPh sb="3" eb="4">
      <t>タカ</t>
    </rPh>
    <rPh sb="4" eb="6">
      <t>カクニン</t>
    </rPh>
    <phoneticPr fontId="23"/>
  </si>
  <si>
    <t>釣銭在高確認（Xモード：釣銭機メニュー）</t>
    <rPh sb="0" eb="2">
      <t>ツリセン</t>
    </rPh>
    <rPh sb="2" eb="3">
      <t>ザイ</t>
    </rPh>
    <rPh sb="3" eb="4">
      <t>タカ</t>
    </rPh>
    <rPh sb="4" eb="6">
      <t>カクニン</t>
    </rPh>
    <phoneticPr fontId="23"/>
  </si>
  <si>
    <t>釣銭在高確認⇒釣銭残高確認</t>
    <rPh sb="0" eb="2">
      <t>ツリセン</t>
    </rPh>
    <rPh sb="2" eb="4">
      <t>アリダカ</t>
    </rPh>
    <rPh sb="4" eb="6">
      <t>カクニン</t>
    </rPh>
    <rPh sb="7" eb="11">
      <t>ツリセンザンダカ</t>
    </rPh>
    <rPh sb="11" eb="13">
      <t>カクニン</t>
    </rPh>
    <phoneticPr fontId="23"/>
  </si>
  <si>
    <t>全回収</t>
    <rPh sb="0" eb="1">
      <t>ゼン</t>
    </rPh>
    <rPh sb="1" eb="3">
      <t>カイシュウ</t>
    </rPh>
    <phoneticPr fontId="23"/>
  </si>
  <si>
    <t>紙幣途中回収（移動）</t>
    <rPh sb="0" eb="2">
      <t>シヘイ</t>
    </rPh>
    <rPh sb="2" eb="4">
      <t>トチュウ</t>
    </rPh>
    <rPh sb="4" eb="6">
      <t>カイシュウ</t>
    </rPh>
    <rPh sb="7" eb="9">
      <t>イドウ</t>
    </rPh>
    <phoneticPr fontId="23"/>
  </si>
  <si>
    <t>硬貨途中回収</t>
    <rPh sb="0" eb="2">
      <t>コウカ</t>
    </rPh>
    <rPh sb="2" eb="4">
      <t>トチュウ</t>
    </rPh>
    <rPh sb="4" eb="6">
      <t>カイシュウ</t>
    </rPh>
    <phoneticPr fontId="23"/>
  </si>
  <si>
    <t>ボックス回収</t>
    <rPh sb="4" eb="6">
      <t>カイシュウ</t>
    </rPh>
    <phoneticPr fontId="23"/>
  </si>
  <si>
    <t>出金</t>
    <rPh sb="0" eb="2">
      <t>シュッキン</t>
    </rPh>
    <phoneticPr fontId="23"/>
  </si>
  <si>
    <t>出金処理（Zモード）</t>
    <rPh sb="0" eb="2">
      <t>シュッキン</t>
    </rPh>
    <rPh sb="2" eb="4">
      <t>ショリ</t>
    </rPh>
    <phoneticPr fontId="23"/>
  </si>
  <si>
    <t>あふれ金収納庫移動</t>
    <phoneticPr fontId="23"/>
  </si>
  <si>
    <t>あふれ金収納庫移動（Zモード）</t>
    <rPh sb="3" eb="4">
      <t>キン</t>
    </rPh>
    <rPh sb="4" eb="7">
      <t>シュウノウコ</t>
    </rPh>
    <rPh sb="7" eb="9">
      <t>イドウ</t>
    </rPh>
    <phoneticPr fontId="23"/>
  </si>
  <si>
    <r>
      <rPr>
        <sz val="8"/>
        <color rgb="FFFF0000"/>
        <rFont val="游ゴシック"/>
        <family val="3"/>
        <charset val="128"/>
        <scheme val="minor"/>
      </rPr>
      <t>メニューに無いこと</t>
    </r>
    <r>
      <rPr>
        <sz val="8"/>
        <rFont val="游ゴシック"/>
        <family val="3"/>
        <charset val="128"/>
        <scheme val="minor"/>
      </rPr>
      <t>を確認する。</t>
    </r>
    <rPh sb="5" eb="6">
      <t>ナ</t>
    </rPh>
    <rPh sb="10" eb="12">
      <t>カクニン</t>
    </rPh>
    <phoneticPr fontId="23"/>
  </si>
  <si>
    <t>メニュー比較</t>
    <rPh sb="4" eb="6">
      <t>ヒカク</t>
    </rPh>
    <phoneticPr fontId="23"/>
  </si>
  <si>
    <t>Xモード</t>
    <phoneticPr fontId="23"/>
  </si>
  <si>
    <t>Win7POSとWin10POSを比較</t>
    <rPh sb="17" eb="19">
      <t>ヒカク</t>
    </rPh>
    <phoneticPr fontId="23"/>
  </si>
  <si>
    <t>メニューが正しく表示されること</t>
    <rPh sb="5" eb="6">
      <t>タダ</t>
    </rPh>
    <rPh sb="8" eb="10">
      <t>ヒョウジ</t>
    </rPh>
    <phoneticPr fontId="23"/>
  </si>
  <si>
    <t>決済端末関連の変更点以外一致</t>
    <rPh sb="0" eb="4">
      <t>ケッサイタンマツ</t>
    </rPh>
    <rPh sb="4" eb="6">
      <t>カンレン</t>
    </rPh>
    <rPh sb="7" eb="10">
      <t>ヘンコウテン</t>
    </rPh>
    <rPh sb="10" eb="12">
      <t>イガイ</t>
    </rPh>
    <rPh sb="12" eb="14">
      <t>イッチ</t>
    </rPh>
    <phoneticPr fontId="23"/>
  </si>
  <si>
    <t>Zモード</t>
    <phoneticPr fontId="23"/>
  </si>
  <si>
    <t>Win7POSとWin10POSを比較</t>
    <phoneticPr fontId="23"/>
  </si>
  <si>
    <t>「あふれ金収納庫移動」以外一致</t>
    <rPh sb="4" eb="5">
      <t>キン</t>
    </rPh>
    <rPh sb="5" eb="8">
      <t>シュウノウコ</t>
    </rPh>
    <rPh sb="8" eb="10">
      <t>イドウ</t>
    </rPh>
    <rPh sb="11" eb="13">
      <t>イガイ</t>
    </rPh>
    <rPh sb="13" eb="15">
      <t>イッチ</t>
    </rPh>
    <phoneticPr fontId="23"/>
  </si>
  <si>
    <t>（PS / RT-380）</t>
    <phoneticPr fontId="23"/>
  </si>
  <si>
    <t>在高点検</t>
    <rPh sb="0" eb="1">
      <t>ザイ</t>
    </rPh>
    <rPh sb="1" eb="2">
      <t>タカ</t>
    </rPh>
    <rPh sb="2" eb="4">
      <t>テンケン</t>
    </rPh>
    <phoneticPr fontId="23"/>
  </si>
  <si>
    <t>在高点検（Xモード）</t>
    <rPh sb="0" eb="2">
      <t>ザイタカ</t>
    </rPh>
    <rPh sb="2" eb="4">
      <t>テンケン</t>
    </rPh>
    <phoneticPr fontId="23"/>
  </si>
  <si>
    <t>出金処理</t>
    <rPh sb="0" eb="2">
      <t>シュッキン</t>
    </rPh>
    <rPh sb="2" eb="4">
      <t>ショリ</t>
    </rPh>
    <phoneticPr fontId="23"/>
  </si>
  <si>
    <t>あふれ金収納庫移動</t>
    <rPh sb="3" eb="4">
      <t>キン</t>
    </rPh>
    <rPh sb="4" eb="7">
      <t>シュウノウコ</t>
    </rPh>
    <rPh sb="7" eb="9">
      <t>イドウ</t>
    </rPh>
    <phoneticPr fontId="23"/>
  </si>
  <si>
    <t>決済端末接続なし</t>
    <rPh sb="0" eb="4">
      <t>ケッサイタンマツ</t>
    </rPh>
    <rPh sb="4" eb="6">
      <t>セツゾク</t>
    </rPh>
    <phoneticPr fontId="23"/>
  </si>
  <si>
    <t>会員宣言ない場合Vカード支払不可</t>
    <phoneticPr fontId="23"/>
  </si>
  <si>
    <t>SS現金支払不可</t>
    <rPh sb="2" eb="4">
      <t>ゲンキン</t>
    </rPh>
    <rPh sb="4" eb="6">
      <t>シハライ</t>
    </rPh>
    <rPh sb="6" eb="8">
      <t>フカ</t>
    </rPh>
    <phoneticPr fontId="23"/>
  </si>
  <si>
    <t>元取引もしくは修正後支払のどちらかで会員宣言が必要</t>
    <rPh sb="0" eb="3">
      <t>モトトリヒキ</t>
    </rPh>
    <rPh sb="7" eb="9">
      <t>シュウセイ</t>
    </rPh>
    <rPh sb="9" eb="10">
      <t>ゴ</t>
    </rPh>
    <rPh sb="10" eb="12">
      <t>シハライ</t>
    </rPh>
    <rPh sb="18" eb="20">
      <t>カイイン</t>
    </rPh>
    <rPh sb="20" eb="22">
      <t>センゲン</t>
    </rPh>
    <rPh sb="23" eb="25">
      <t>ヒツヨウ</t>
    </rPh>
    <phoneticPr fontId="23"/>
  </si>
  <si>
    <t>SS現金支払不可</t>
    <rPh sb="2" eb="4">
      <t>ゲンキン</t>
    </rPh>
    <rPh sb="4" eb="8">
      <t>シハライフカ</t>
    </rPh>
    <phoneticPr fontId="23"/>
  </si>
  <si>
    <t>#0319</t>
    <phoneticPr fontId="23"/>
  </si>
  <si>
    <t>#0320</t>
    <phoneticPr fontId="23"/>
  </si>
  <si>
    <t>#0321</t>
    <phoneticPr fontId="23"/>
  </si>
  <si>
    <t>#6016</t>
    <phoneticPr fontId="23"/>
  </si>
  <si>
    <t>#6017</t>
    <phoneticPr fontId="23"/>
  </si>
  <si>
    <t>#0325</t>
    <phoneticPr fontId="23"/>
  </si>
  <si>
    <t>SSポイント修正ボタンなし</t>
    <rPh sb="6" eb="8">
      <t>シュウセイ</t>
    </rPh>
    <phoneticPr fontId="23"/>
  </si>
  <si>
    <t>正常にマイナス処理が完了すること</t>
    <rPh sb="7" eb="9">
      <t>ショリ</t>
    </rPh>
    <rPh sb="10" eb="12">
      <t>カンリョウ</t>
    </rPh>
    <phoneticPr fontId="17"/>
  </si>
  <si>
    <r>
      <t xml:space="preserve">Vカードを手入力、200円で1ポイント減産を確認 </t>
    </r>
    <r>
      <rPr>
        <sz val="8"/>
        <rFont val="游ゴシック"/>
        <family val="3"/>
        <charset val="128"/>
        <scheme val="minor"/>
      </rPr>
      <t>#0327</t>
    </r>
    <rPh sb="5" eb="8">
      <t>テニュウリョク</t>
    </rPh>
    <rPh sb="12" eb="13">
      <t>エン</t>
    </rPh>
    <rPh sb="19" eb="21">
      <t>ゲンサン</t>
    </rPh>
    <rPh sb="22" eb="24">
      <t>カクニン</t>
    </rPh>
    <phoneticPr fontId="23"/>
  </si>
  <si>
    <t>#0329</t>
    <phoneticPr fontId="23"/>
  </si>
  <si>
    <t>#0363</t>
    <phoneticPr fontId="23"/>
  </si>
  <si>
    <t>手入力で確認#0366</t>
    <rPh sb="0" eb="3">
      <t>テニュウリョク</t>
    </rPh>
    <rPh sb="4" eb="6">
      <t>カクニン</t>
    </rPh>
    <phoneticPr fontId="23"/>
  </si>
  <si>
    <t>パッケージ系(PS)で実施</t>
    <rPh sb="5" eb="6">
      <t>ケイ</t>
    </rPh>
    <rPh sb="11" eb="13">
      <t>ジッシ</t>
    </rPh>
    <phoneticPr fontId="23"/>
  </si>
  <si>
    <t>#6019</t>
    <phoneticPr fontId="23"/>
  </si>
  <si>
    <t>#6020</t>
    <phoneticPr fontId="23"/>
  </si>
  <si>
    <t>会員宣言：ingカード（固定ｶﾒﾗｽｷｬﾅ）
他クレ支払い（MSR）</t>
    <rPh sb="0" eb="2">
      <t>カイイン</t>
    </rPh>
    <rPh sb="2" eb="4">
      <t>センゲン</t>
    </rPh>
    <rPh sb="12" eb="14">
      <t>コテイ</t>
    </rPh>
    <rPh sb="23" eb="24">
      <t>ホカ</t>
    </rPh>
    <rPh sb="26" eb="28">
      <t>シハラ</t>
    </rPh>
    <phoneticPr fontId="17"/>
  </si>
  <si>
    <t>#6022</t>
    <phoneticPr fontId="23"/>
  </si>
  <si>
    <t>#6024（元6022)</t>
    <rPh sb="6" eb="7">
      <t>モト</t>
    </rPh>
    <phoneticPr fontId="23"/>
  </si>
  <si>
    <t>#6025（元#6019)</t>
    <rPh sb="6" eb="7">
      <t>モト</t>
    </rPh>
    <phoneticPr fontId="23"/>
  </si>
  <si>
    <t>#6029←#6028（元#6027)</t>
    <rPh sb="12" eb="13">
      <t>モト</t>
    </rPh>
    <phoneticPr fontId="23"/>
  </si>
  <si>
    <t>#6032←#6031（元#6030)</t>
    <rPh sb="12" eb="13">
      <t>モト</t>
    </rPh>
    <phoneticPr fontId="23"/>
  </si>
  <si>
    <t>#6035←#6034（元#6033)</t>
    <rPh sb="12" eb="13">
      <t>モト</t>
    </rPh>
    <phoneticPr fontId="23"/>
  </si>
  <si>
    <t>#6038←#6037（元#6036)</t>
    <rPh sb="12" eb="13">
      <t>モト</t>
    </rPh>
    <phoneticPr fontId="23"/>
  </si>
  <si>
    <t>#6041←#6040（元#6039)</t>
    <rPh sb="12" eb="13">
      <t>モト</t>
    </rPh>
    <phoneticPr fontId="23"/>
  </si>
  <si>
    <t>#6044←#6043（元#6042)</t>
    <rPh sb="12" eb="13">
      <t>モト</t>
    </rPh>
    <phoneticPr fontId="23"/>
  </si>
  <si>
    <t>#6053</t>
    <phoneticPr fontId="23"/>
  </si>
  <si>
    <t>ペイメントモードではfanカード宣言Ｖカード支払不可</t>
    <rPh sb="16" eb="18">
      <t>センゲン</t>
    </rPh>
    <rPh sb="22" eb="26">
      <t>シハライフカ</t>
    </rPh>
    <phoneticPr fontId="23"/>
  </si>
  <si>
    <t>#6055←#6054（元#6053)</t>
    <rPh sb="12" eb="13">
      <t>モト</t>
    </rPh>
    <phoneticPr fontId="23"/>
  </si>
  <si>
    <t>#6058←#6057（元#6056)</t>
    <rPh sb="12" eb="13">
      <t>モト</t>
    </rPh>
    <phoneticPr fontId="23"/>
  </si>
  <si>
    <t>#6061←#6060（元#6059)</t>
    <rPh sb="12" eb="13">
      <t>モト</t>
    </rPh>
    <phoneticPr fontId="23"/>
  </si>
  <si>
    <t>#6064←#6063（元#6062)</t>
    <rPh sb="12" eb="13">
      <t>モト</t>
    </rPh>
    <phoneticPr fontId="23"/>
  </si>
  <si>
    <t>#0671</t>
    <phoneticPr fontId="23"/>
  </si>
  <si>
    <t>#6068</t>
    <phoneticPr fontId="23"/>
  </si>
  <si>
    <t>POSモード手入力可</t>
    <rPh sb="6" eb="9">
      <t>テニュウリョク</t>
    </rPh>
    <rPh sb="9" eb="10">
      <t>カ</t>
    </rPh>
    <phoneticPr fontId="23"/>
  </si>
  <si>
    <t>POSモード手入力可#6069</t>
    <rPh sb="6" eb="9">
      <t>テニュウリョク</t>
    </rPh>
    <rPh sb="9" eb="10">
      <t>カ</t>
    </rPh>
    <phoneticPr fontId="23"/>
  </si>
  <si>
    <t>#6072</t>
    <phoneticPr fontId="23"/>
  </si>
  <si>
    <t>POSモード手入力可#6073</t>
    <rPh sb="6" eb="9">
      <t>テニュウリョク</t>
    </rPh>
    <rPh sb="9" eb="10">
      <t>カ</t>
    </rPh>
    <phoneticPr fontId="23"/>
  </si>
  <si>
    <t>#6079</t>
    <phoneticPr fontId="23"/>
  </si>
  <si>
    <t>#6080</t>
    <phoneticPr fontId="23"/>
  </si>
  <si>
    <t>POSモード手入力可#6081</t>
    <rPh sb="6" eb="9">
      <t>テニュウリョク</t>
    </rPh>
    <rPh sb="9" eb="10">
      <t>カ</t>
    </rPh>
    <phoneticPr fontId="23"/>
  </si>
  <si>
    <t>会員宣言なし</t>
    <rPh sb="0" eb="4">
      <t>カイインセンゲン</t>
    </rPh>
    <phoneticPr fontId="17"/>
  </si>
  <si>
    <t>ingカードで会員宣言</t>
    <rPh sb="7" eb="11">
      <t>カイインセンゲン</t>
    </rPh>
    <phoneticPr fontId="17"/>
  </si>
  <si>
    <t>#6077</t>
    <phoneticPr fontId="23"/>
  </si>
  <si>
    <t>Vカードで会員宣言</t>
    <rPh sb="5" eb="9">
      <t>カイインセンゲン</t>
    </rPh>
    <phoneticPr fontId="17"/>
  </si>
  <si>
    <t>#6078</t>
    <phoneticPr fontId="23"/>
  </si>
  <si>
    <t>#6086</t>
    <phoneticPr fontId="23"/>
  </si>
  <si>
    <t>#6085</t>
    <phoneticPr fontId="23"/>
  </si>
  <si>
    <t>#6088</t>
    <phoneticPr fontId="23"/>
  </si>
  <si>
    <t>#6089</t>
    <phoneticPr fontId="23"/>
  </si>
  <si>
    <t>#6090</t>
    <phoneticPr fontId="23"/>
  </si>
  <si>
    <t>#6092</t>
    <phoneticPr fontId="23"/>
  </si>
  <si>
    <t>#6093</t>
    <phoneticPr fontId="23"/>
  </si>
  <si>
    <t>#6094</t>
    <phoneticPr fontId="23"/>
  </si>
  <si>
    <t>CS</t>
    <phoneticPr fontId="23"/>
  </si>
  <si>
    <t>フルセルフ</t>
    <phoneticPr fontId="4"/>
  </si>
  <si>
    <t>(練習)ペイメントモードではfanカード宣言Ｖカード支払不可</t>
    <rPh sb="1" eb="3">
      <t>レンシュウ</t>
    </rPh>
    <rPh sb="20" eb="22">
      <t>センゲン</t>
    </rPh>
    <rPh sb="26" eb="30">
      <t>シハライフカ</t>
    </rPh>
    <phoneticPr fontId="23"/>
  </si>
  <si>
    <t>POSモードで手入力可能</t>
    <rPh sb="7" eb="10">
      <t>テニュウリョク</t>
    </rPh>
    <rPh sb="10" eb="12">
      <t>カノウ</t>
    </rPh>
    <phoneticPr fontId="23"/>
  </si>
  <si>
    <t>disk2264</t>
    <phoneticPr fontId="23"/>
  </si>
  <si>
    <t>定時送信</t>
    <rPh sb="0" eb="4">
      <t>テイジソウシン</t>
    </rPh>
    <phoneticPr fontId="23"/>
  </si>
  <si>
    <t>商品一覧画面で定時送信時刻に到達する</t>
    <rPh sb="0" eb="2">
      <t>ショウヒン</t>
    </rPh>
    <rPh sb="2" eb="4">
      <t>イチラン</t>
    </rPh>
    <rPh sb="4" eb="6">
      <t>ガメン</t>
    </rPh>
    <rPh sb="7" eb="11">
      <t>テイジソウシン</t>
    </rPh>
    <rPh sb="11" eb="13">
      <t>ジコク</t>
    </rPh>
    <rPh sb="14" eb="16">
      <t>トウタツ</t>
    </rPh>
    <phoneticPr fontId="23"/>
  </si>
  <si>
    <t>定位送信が実施されないこと</t>
    <rPh sb="0" eb="4">
      <t>テイイソウシン</t>
    </rPh>
    <rPh sb="5" eb="7">
      <t>ジッシ</t>
    </rPh>
    <phoneticPr fontId="23"/>
  </si>
  <si>
    <t>いなげや様 Win10対応（POSサーバ）　リグレッションテスト仕様書　</t>
    <rPh sb="4" eb="5">
      <t>サマ</t>
    </rPh>
    <rPh sb="11" eb="13">
      <t>タイオウ</t>
    </rPh>
    <rPh sb="32" eb="35">
      <t>シヨウショ</t>
    </rPh>
    <phoneticPr fontId="23"/>
  </si>
  <si>
    <t>サーバ</t>
    <phoneticPr fontId="23"/>
  </si>
  <si>
    <t>サーバ操作</t>
    <rPh sb="3" eb="5">
      <t>ソウサ</t>
    </rPh>
    <phoneticPr fontId="23"/>
  </si>
  <si>
    <t>帳票</t>
    <rPh sb="0" eb="2">
      <t>チョウヒョウ</t>
    </rPh>
    <phoneticPr fontId="23"/>
  </si>
  <si>
    <t>電子ｼﾞｬｰﾅﾙ</t>
    <rPh sb="0" eb="2">
      <t>デンシ</t>
    </rPh>
    <phoneticPr fontId="23"/>
  </si>
  <si>
    <t>ログ</t>
    <phoneticPr fontId="23"/>
  </si>
  <si>
    <t>デバイス設定</t>
    <rPh sb="4" eb="6">
      <t>セッテイ</t>
    </rPh>
    <phoneticPr fontId="4"/>
  </si>
  <si>
    <t>デバイス設定ツール</t>
    <rPh sb="4" eb="6">
      <t>セッテイ</t>
    </rPh>
    <phoneticPr fontId="23"/>
  </si>
  <si>
    <t>ツール起動</t>
    <rPh sb="3" eb="5">
      <t>キドウ</t>
    </rPh>
    <phoneticPr fontId="23"/>
  </si>
  <si>
    <t>C:\GSFD\TOOL\デバイス\TP7000M240
GSFDDvcSelect_TP7000M240.exe を実行</t>
    <rPh sb="59" eb="61">
      <t>ジッコウ</t>
    </rPh>
    <phoneticPr fontId="23"/>
  </si>
  <si>
    <t>ツールが正常に起動されること</t>
    <rPh sb="7" eb="9">
      <t>キドウ</t>
    </rPh>
    <phoneticPr fontId="23"/>
  </si>
  <si>
    <t>下田</t>
    <rPh sb="0" eb="2">
      <t>シモダ</t>
    </rPh>
    <phoneticPr fontId="23"/>
  </si>
  <si>
    <t>レーンPOS用設定</t>
    <rPh sb="6" eb="7">
      <t>ヨウ</t>
    </rPh>
    <rPh sb="7" eb="9">
      <t>セッテイ</t>
    </rPh>
    <phoneticPr fontId="17"/>
  </si>
  <si>
    <t>デバイスグループにレーンPOSのグループを設定</t>
    <rPh sb="21" eb="23">
      <t>セッテイ</t>
    </rPh>
    <phoneticPr fontId="23"/>
  </si>
  <si>
    <t>正しい装置情報が設定されていること</t>
    <rPh sb="0" eb="1">
      <t>タダ</t>
    </rPh>
    <rPh sb="3" eb="5">
      <t>ソウチ</t>
    </rPh>
    <rPh sb="5" eb="7">
      <t>ジョウホウ</t>
    </rPh>
    <rPh sb="8" eb="10">
      <t>セッテイ</t>
    </rPh>
    <phoneticPr fontId="17"/>
  </si>
  <si>
    <t>レジ番号選択</t>
    <rPh sb="2" eb="4">
      <t>バンゴウ</t>
    </rPh>
    <rPh sb="4" eb="6">
      <t>センタク</t>
    </rPh>
    <phoneticPr fontId="23"/>
  </si>
  <si>
    <t>対象のレジ番号が選択されていること</t>
    <rPh sb="0" eb="2">
      <t>タイショウ</t>
    </rPh>
    <rPh sb="5" eb="7">
      <t>バンゴウ</t>
    </rPh>
    <rPh sb="8" eb="10">
      <t>センタク</t>
    </rPh>
    <phoneticPr fontId="23"/>
  </si>
  <si>
    <t>反映</t>
    <rPh sb="0" eb="2">
      <t>ハンエイ</t>
    </rPh>
    <phoneticPr fontId="23"/>
  </si>
  <si>
    <t>対象のレジにデバイス情報が反映されること</t>
    <rPh sb="0" eb="2">
      <t>タイショウ</t>
    </rPh>
    <rPh sb="10" eb="12">
      <t>ジョウホウ</t>
    </rPh>
    <rPh sb="13" eb="15">
      <t>ハンエイ</t>
    </rPh>
    <phoneticPr fontId="23"/>
  </si>
  <si>
    <t>SS用設定</t>
    <rPh sb="2" eb="3">
      <t>ヨウ</t>
    </rPh>
    <rPh sb="3" eb="5">
      <t>セッテイ</t>
    </rPh>
    <phoneticPr fontId="17"/>
  </si>
  <si>
    <t>デバイスグループにSSのグループを設定</t>
    <rPh sb="17" eb="19">
      <t>セッテイ</t>
    </rPh>
    <phoneticPr fontId="23"/>
  </si>
  <si>
    <t>PS用設定</t>
    <rPh sb="2" eb="3">
      <t>ヨウ</t>
    </rPh>
    <rPh sb="3" eb="5">
      <t>セッテイ</t>
    </rPh>
    <phoneticPr fontId="17"/>
  </si>
  <si>
    <t>デバイスグループにPSのグループを設定</t>
    <rPh sb="17" eb="19">
      <t>セッテイ</t>
    </rPh>
    <phoneticPr fontId="23"/>
  </si>
  <si>
    <t>CS用設定（釣銭機あり）</t>
    <rPh sb="2" eb="3">
      <t>ヨウ</t>
    </rPh>
    <rPh sb="3" eb="5">
      <t>セッテイ</t>
    </rPh>
    <rPh sb="6" eb="9">
      <t>ツリセンキ</t>
    </rPh>
    <phoneticPr fontId="17"/>
  </si>
  <si>
    <t>デバイスグループにCSのグループを設定</t>
    <rPh sb="17" eb="19">
      <t>セッテイ</t>
    </rPh>
    <phoneticPr fontId="23"/>
  </si>
  <si>
    <t>CS用設定（キャッシュレス）</t>
    <rPh sb="2" eb="3">
      <t>ヨウ</t>
    </rPh>
    <rPh sb="3" eb="5">
      <t>セッテイ</t>
    </rPh>
    <phoneticPr fontId="17"/>
  </si>
  <si>
    <t>ing会員（チェックデジット誤）</t>
    <rPh sb="3" eb="5">
      <t>カイイン</t>
    </rPh>
    <rPh sb="14" eb="15">
      <t>アヤマ</t>
    </rPh>
    <phoneticPr fontId="23"/>
  </si>
  <si>
    <t>ing会員（読取不可）</t>
    <rPh sb="3" eb="5">
      <t>カイイン</t>
    </rPh>
    <rPh sb="6" eb="8">
      <t>ヨミトリ</t>
    </rPh>
    <rPh sb="8" eb="10">
      <t>フカ</t>
    </rPh>
    <phoneticPr fontId="23"/>
  </si>
  <si>
    <t>担当者マスタ登録</t>
    <rPh sb="0" eb="3">
      <t>タントウシャ</t>
    </rPh>
    <rPh sb="6" eb="8">
      <t>トウロク</t>
    </rPh>
    <phoneticPr fontId="23"/>
  </si>
  <si>
    <t>いなげや様 セルフペイメント　リグレッションテスト仕様書　</t>
    <rPh sb="4" eb="5">
      <t>サマ</t>
    </rPh>
    <rPh sb="25" eb="28">
      <t>シヨウショ</t>
    </rPh>
    <phoneticPr fontId="23"/>
  </si>
  <si>
    <t>SPS</t>
    <phoneticPr fontId="23"/>
  </si>
  <si>
    <t>SS操作</t>
    <rPh sb="2" eb="4">
      <t>ソウサ</t>
    </rPh>
    <phoneticPr fontId="23"/>
  </si>
  <si>
    <t>PS操作</t>
    <rPh sb="2" eb="4">
      <t>ソウサ</t>
    </rPh>
    <phoneticPr fontId="23"/>
  </si>
  <si>
    <t>【SS操作】
会員宣言なし</t>
    <rPh sb="3" eb="5">
      <t>ソウサ</t>
    </rPh>
    <rPh sb="7" eb="9">
      <t>カイイン</t>
    </rPh>
    <rPh sb="9" eb="11">
      <t>センゲン</t>
    </rPh>
    <phoneticPr fontId="23"/>
  </si>
  <si>
    <t>【SS操作】
商品券ー無し</t>
    <rPh sb="3" eb="5">
      <t>ソウサ</t>
    </rPh>
    <rPh sb="7" eb="9">
      <t>ショウヒン</t>
    </rPh>
    <rPh sb="9" eb="10">
      <t>ケン</t>
    </rPh>
    <rPh sb="11" eb="12">
      <t>ナシ</t>
    </rPh>
    <phoneticPr fontId="23"/>
  </si>
  <si>
    <t>【PS操作】
支払ー現金</t>
    <rPh sb="3" eb="5">
      <t>ソウサ</t>
    </rPh>
    <rPh sb="7" eb="9">
      <t>シハライ</t>
    </rPh>
    <rPh sb="10" eb="12">
      <t>ゲンキン</t>
    </rPh>
    <phoneticPr fontId="23"/>
  </si>
  <si>
    <r>
      <t>商品登録
→小計
→ingfanカード
　確認ポップアップ
→「</t>
    </r>
    <r>
      <rPr>
        <sz val="8"/>
        <color rgb="FFFF0000"/>
        <rFont val="游ゴシック"/>
        <family val="3"/>
        <charset val="128"/>
        <scheme val="minor"/>
      </rPr>
      <t>PSへ</t>
    </r>
    <r>
      <rPr>
        <sz val="8"/>
        <rFont val="游ゴシック"/>
        <family val="3"/>
        <charset val="128"/>
        <scheme val="minor"/>
      </rPr>
      <t>」を選択</t>
    </r>
    <rPh sb="0" eb="2">
      <t>ショウヒン</t>
    </rPh>
    <rPh sb="2" eb="4">
      <t>トウロク</t>
    </rPh>
    <rPh sb="6" eb="8">
      <t>ショウケイ</t>
    </rPh>
    <rPh sb="21" eb="23">
      <t>カクニン</t>
    </rPh>
    <rPh sb="37" eb="39">
      <t>センタク</t>
    </rPh>
    <phoneticPr fontId="23"/>
  </si>
  <si>
    <t>預合計
→PS指定（ボタンタッチ）</t>
    <rPh sb="7" eb="9">
      <t>シテイ</t>
    </rPh>
    <phoneticPr fontId="23"/>
  </si>
  <si>
    <t>PS画面の確認</t>
    <rPh sb="2" eb="4">
      <t>ガメン</t>
    </rPh>
    <rPh sb="5" eb="7">
      <t>カクニン</t>
    </rPh>
    <phoneticPr fontId="23"/>
  </si>
  <si>
    <r>
      <t>【PS】
以下画面が表示されていること。
タイトルー「</t>
    </r>
    <r>
      <rPr>
        <sz val="8"/>
        <color rgb="FFFF0000"/>
        <rFont val="游ゴシック"/>
        <family val="3"/>
        <charset val="128"/>
        <scheme val="minor"/>
      </rPr>
      <t>ポイントカードはお持ちですか？</t>
    </r>
    <r>
      <rPr>
        <sz val="8"/>
        <rFont val="游ゴシック"/>
        <family val="3"/>
        <charset val="128"/>
        <scheme val="minor"/>
      </rPr>
      <t>」
文言ー「残りお支払金額」
音声ー「</t>
    </r>
    <r>
      <rPr>
        <sz val="8"/>
        <color rgb="FFFF0000"/>
        <rFont val="游ゴシック"/>
        <family val="3"/>
        <charset val="128"/>
        <scheme val="minor"/>
      </rPr>
      <t>ポイントカードはお持ちですか？</t>
    </r>
    <r>
      <rPr>
        <sz val="8"/>
        <rFont val="游ゴシック"/>
        <family val="3"/>
        <charset val="128"/>
        <scheme val="minor"/>
      </rPr>
      <t xml:space="preserve">」
</t>
    </r>
    <rPh sb="5" eb="7">
      <t>イカ</t>
    </rPh>
    <rPh sb="7" eb="9">
      <t>ガメン</t>
    </rPh>
    <rPh sb="10" eb="12">
      <t>ヒョウジ</t>
    </rPh>
    <rPh sb="36" eb="37">
      <t>モ</t>
    </rPh>
    <rPh sb="44" eb="46">
      <t>モンゴン</t>
    </rPh>
    <rPh sb="48" eb="49">
      <t>ノコ</t>
    </rPh>
    <rPh sb="51" eb="53">
      <t>シハライ</t>
    </rPh>
    <rPh sb="53" eb="55">
      <t>キンガク</t>
    </rPh>
    <phoneticPr fontId="23"/>
  </si>
  <si>
    <t>ボタン選択</t>
    <rPh sb="3" eb="5">
      <t>センタク</t>
    </rPh>
    <phoneticPr fontId="23"/>
  </si>
  <si>
    <t>【係員呼出】をタッチ。</t>
    <phoneticPr fontId="23"/>
  </si>
  <si>
    <t xml:space="preserve">【PS】
以下画面が表示されていること。
タイトルー「しばらくお待ちください」
文言ー「まもなく、係員がまいります」
音声ー「まもなく係員がまいります。しばらくお待ちください」
</t>
    <rPh sb="32" eb="33">
      <t>マ</t>
    </rPh>
    <rPh sb="49" eb="51">
      <t>カカリイン</t>
    </rPh>
    <rPh sb="59" eb="61">
      <t>オンセイ</t>
    </rPh>
    <rPh sb="67" eb="69">
      <t>カカリイン</t>
    </rPh>
    <rPh sb="81" eb="82">
      <t>マ</t>
    </rPh>
    <phoneticPr fontId="23"/>
  </si>
  <si>
    <t>【呼出取消】をタッチ。</t>
    <phoneticPr fontId="23"/>
  </si>
  <si>
    <r>
      <t>【PS】
以下画面が表示されていること。
タイトルー「</t>
    </r>
    <r>
      <rPr>
        <sz val="8"/>
        <color rgb="FFFF0000"/>
        <rFont val="游ゴシック"/>
        <family val="3"/>
        <charset val="128"/>
        <scheme val="minor"/>
      </rPr>
      <t>ポイントカードはお持ちですか？</t>
    </r>
    <r>
      <rPr>
        <sz val="8"/>
        <rFont val="游ゴシック"/>
        <family val="3"/>
        <charset val="128"/>
        <scheme val="minor"/>
      </rPr>
      <t xml:space="preserve">」
文言ー「残りお支払金額」
</t>
    </r>
    <r>
      <rPr>
        <sz val="8"/>
        <color rgb="FFFF0000"/>
        <rFont val="游ゴシック"/>
        <family val="3"/>
        <charset val="128"/>
        <scheme val="minor"/>
      </rPr>
      <t xml:space="preserve">　　　　「はい」「いいえ」
</t>
    </r>
    <r>
      <rPr>
        <sz val="8"/>
        <rFont val="游ゴシック"/>
        <family val="3"/>
        <charset val="128"/>
        <scheme val="minor"/>
      </rPr>
      <t>音声ー「</t>
    </r>
    <r>
      <rPr>
        <sz val="8"/>
        <color rgb="FFFF0000"/>
        <rFont val="游ゴシック"/>
        <family val="3"/>
        <charset val="128"/>
        <scheme val="minor"/>
      </rPr>
      <t>ポイントカードはお持ちですか？</t>
    </r>
    <r>
      <rPr>
        <sz val="8"/>
        <rFont val="游ゴシック"/>
        <family val="3"/>
        <charset val="128"/>
        <scheme val="minor"/>
      </rPr>
      <t xml:space="preserve">」
</t>
    </r>
    <rPh sb="5" eb="7">
      <t>イカ</t>
    </rPh>
    <rPh sb="7" eb="9">
      <t>ガメン</t>
    </rPh>
    <rPh sb="10" eb="12">
      <t>ヒョウジ</t>
    </rPh>
    <rPh sb="36" eb="37">
      <t>モ</t>
    </rPh>
    <rPh sb="44" eb="46">
      <t>モンゴン</t>
    </rPh>
    <rPh sb="48" eb="49">
      <t>ノコ</t>
    </rPh>
    <rPh sb="51" eb="53">
      <t>シハライ</t>
    </rPh>
    <rPh sb="53" eb="55">
      <t>キンガク</t>
    </rPh>
    <phoneticPr fontId="23"/>
  </si>
  <si>
    <t xml:space="preserve">「ポイントカードはお持ちですか？」画面で【いいえ】選択
⇒「お支払方法を選んでください」画面で【現金】を選択。
</t>
    <rPh sb="10" eb="11">
      <t>モ</t>
    </rPh>
    <rPh sb="17" eb="19">
      <t>ガメン</t>
    </rPh>
    <rPh sb="25" eb="27">
      <t>センタク</t>
    </rPh>
    <rPh sb="44" eb="46">
      <t>ガメン</t>
    </rPh>
    <rPh sb="52" eb="54">
      <t>センタク</t>
    </rPh>
    <phoneticPr fontId="23"/>
  </si>
  <si>
    <r>
      <t>【PS】
タイトルー「現金を入れてください」
音声ー「</t>
    </r>
    <r>
      <rPr>
        <sz val="8"/>
        <color rgb="FFFF0000"/>
        <rFont val="游ゴシック"/>
        <family val="3"/>
        <charset val="128"/>
        <scheme val="minor"/>
      </rPr>
      <t>現金を入れてください</t>
    </r>
    <r>
      <rPr>
        <sz val="8"/>
        <rFont val="游ゴシック"/>
        <family val="3"/>
        <charset val="128"/>
        <scheme val="minor"/>
      </rPr>
      <t xml:space="preserve">」
</t>
    </r>
    <phoneticPr fontId="23"/>
  </si>
  <si>
    <t xml:space="preserve">現金を投入。
</t>
    <phoneticPr fontId="23"/>
  </si>
  <si>
    <r>
      <t>【PS】
以下画面に表示変更されること。
タイトルー「お支払い額がよろしければ「</t>
    </r>
    <r>
      <rPr>
        <sz val="8"/>
        <color rgb="FFFF0000"/>
        <rFont val="游ゴシック"/>
        <family val="3"/>
        <charset val="128"/>
        <scheme val="minor"/>
      </rPr>
      <t>レシート</t>
    </r>
    <r>
      <rPr>
        <sz val="8"/>
        <rFont val="游ゴシック"/>
        <family val="3"/>
        <charset val="128"/>
        <scheme val="minor"/>
      </rPr>
      <t>」
または「領収証」を押してください」
音声ー「お支払額がよろしければ「</t>
    </r>
    <r>
      <rPr>
        <sz val="8"/>
        <color rgb="FFFF0000"/>
        <rFont val="游ゴシック"/>
        <family val="3"/>
        <charset val="128"/>
        <scheme val="minor"/>
      </rPr>
      <t>レシート</t>
    </r>
    <r>
      <rPr>
        <sz val="8"/>
        <rFont val="游ゴシック"/>
        <family val="3"/>
        <charset val="128"/>
        <scheme val="minor"/>
      </rPr>
      <t xml:space="preserve">」または
「領収証」を押してください」
</t>
    </r>
    <rPh sb="12" eb="14">
      <t>ヘンコウ</t>
    </rPh>
    <rPh sb="28" eb="30">
      <t>シハライ</t>
    </rPh>
    <rPh sb="31" eb="32">
      <t>ガク</t>
    </rPh>
    <rPh sb="50" eb="53">
      <t>リョウシュウショウ</t>
    </rPh>
    <rPh sb="55" eb="56">
      <t>オ</t>
    </rPh>
    <rPh sb="64" eb="66">
      <t>オンセイ</t>
    </rPh>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</si>
  <si>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支払額一致：お釣りなし</t>
    </r>
    <rPh sb="56" eb="58">
      <t>シハライ</t>
    </rPh>
    <rPh sb="58" eb="59">
      <t>ガク</t>
    </rPh>
    <rPh sb="59" eb="61">
      <t>イッチ</t>
    </rPh>
    <rPh sb="63" eb="64">
      <t>ツ</t>
    </rPh>
    <phoneticPr fontId="23"/>
  </si>
  <si>
    <t xml:space="preserve">【PS】
「お買上げありがとうございます」画面に遷移し、
レシートが排出されること。
音声ー「ありがとうございます。レシートをお取りください」
</t>
    <rPh sb="7" eb="9">
      <t>カイア</t>
    </rPh>
    <rPh sb="21" eb="23">
      <t>ガメン</t>
    </rPh>
    <rPh sb="24" eb="26">
      <t>センイ</t>
    </rPh>
    <rPh sb="34" eb="36">
      <t>ハイシュツ</t>
    </rPh>
    <rPh sb="43" eb="45">
      <t>オンセイ</t>
    </rPh>
    <rPh sb="64" eb="65">
      <t>ト</t>
    </rPh>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</si>
  <si>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支払額超過：お釣りあり</t>
    </r>
    <rPh sb="56" eb="58">
      <t>シハライ</t>
    </rPh>
    <rPh sb="58" eb="59">
      <t>ガク</t>
    </rPh>
    <rPh sb="59" eb="61">
      <t>チョウカ</t>
    </rPh>
    <rPh sb="63" eb="64">
      <t>ツ</t>
    </rPh>
    <phoneticPr fontId="23"/>
  </si>
  <si>
    <t xml:space="preserve">【PS】
「お買上げありがとうございます」画面に遷移し、
レシート・お釣りが排出されること。
音声ー「おつりがあります。お取り忘れにご注意ください」
</t>
    <rPh sb="7" eb="9">
      <t>カイア</t>
    </rPh>
    <rPh sb="21" eb="23">
      <t>ガメン</t>
    </rPh>
    <rPh sb="24" eb="26">
      <t>センイ</t>
    </rPh>
    <rPh sb="35" eb="36">
      <t>ツ</t>
    </rPh>
    <rPh sb="38" eb="40">
      <t>ハイシュツ</t>
    </rPh>
    <rPh sb="47" eb="49">
      <t>オンセイ</t>
    </rPh>
    <rPh sb="61" eb="62">
      <t>ト</t>
    </rPh>
    <rPh sb="63" eb="64">
      <t>ワス</t>
    </rPh>
    <rPh sb="67" eb="69">
      <t>チュウイ</t>
    </rPh>
    <phoneticPr fontId="23"/>
  </si>
  <si>
    <t>タイトルー「お買上げありがとうございます」の画面で、
排出されたお釣りを受取る</t>
    <rPh sb="22" eb="24">
      <t>ガメン</t>
    </rPh>
    <rPh sb="27" eb="29">
      <t>ハイシュツ</t>
    </rPh>
    <rPh sb="33" eb="34">
      <t>ツ</t>
    </rPh>
    <rPh sb="36" eb="37">
      <t>ウ</t>
    </rPh>
    <rPh sb="37" eb="38">
      <t>ト</t>
    </rPh>
    <phoneticPr fontId="23"/>
  </si>
  <si>
    <t xml:space="preserve">【PS】
「お買上げありがとうございます」画面に遷移すること。
音声ー「ありがとうございます。レシートをお取りください」
</t>
    <rPh sb="7" eb="9">
      <t>カイア</t>
    </rPh>
    <rPh sb="21" eb="23">
      <t>ガメン</t>
    </rPh>
    <rPh sb="24" eb="26">
      <t>センイ</t>
    </rPh>
    <rPh sb="32" eb="34">
      <t>オンセイ</t>
    </rPh>
    <rPh sb="53" eb="54">
      <t>ト</t>
    </rPh>
    <phoneticPr fontId="23"/>
  </si>
  <si>
    <t>預合計
→【精算券】タッチ</t>
    <rPh sb="6" eb="8">
      <t>セイサン</t>
    </rPh>
    <rPh sb="8" eb="9">
      <t>ケン</t>
    </rPh>
    <phoneticPr fontId="23"/>
  </si>
  <si>
    <r>
      <t>【PS】
以下画面が表示されていること。
タイトルー「</t>
    </r>
    <r>
      <rPr>
        <sz val="8"/>
        <color rgb="FFFF0000"/>
        <rFont val="游ゴシック"/>
        <family val="3"/>
        <charset val="128"/>
        <scheme val="minor"/>
      </rPr>
      <t>精算機</t>
    </r>
    <r>
      <rPr>
        <sz val="8"/>
        <rFont val="游ゴシック"/>
        <family val="3"/>
        <charset val="128"/>
        <scheme val="minor"/>
      </rPr>
      <t>」
文言ー「</t>
    </r>
    <r>
      <rPr>
        <sz val="8"/>
        <color rgb="FFFF0000"/>
        <rFont val="游ゴシック"/>
        <family val="3"/>
        <charset val="128"/>
        <scheme val="minor"/>
      </rPr>
      <t>待機中</t>
    </r>
    <r>
      <rPr>
        <sz val="8"/>
        <rFont val="游ゴシック"/>
        <family val="3"/>
        <charset val="128"/>
        <scheme val="minor"/>
      </rPr>
      <t>」</t>
    </r>
    <rPh sb="5" eb="7">
      <t>イカ</t>
    </rPh>
    <rPh sb="7" eb="9">
      <t>ガメン</t>
    </rPh>
    <rPh sb="10" eb="12">
      <t>ヒョウジ</t>
    </rPh>
    <rPh sb="27" eb="29">
      <t>セイサン</t>
    </rPh>
    <rPh sb="29" eb="30">
      <t>キ</t>
    </rPh>
    <rPh sb="32" eb="34">
      <t>モンゴン</t>
    </rPh>
    <rPh sb="36" eb="38">
      <t>タイキ</t>
    </rPh>
    <rPh sb="38" eb="39">
      <t>ナカ</t>
    </rPh>
    <phoneticPr fontId="23"/>
  </si>
  <si>
    <r>
      <t>【PS】
以下画面が表示されていること。
タイトルー「</t>
    </r>
    <r>
      <rPr>
        <sz val="8"/>
        <color rgb="FFFF0000"/>
        <rFont val="游ゴシック"/>
        <family val="3"/>
        <charset val="128"/>
        <scheme val="minor"/>
      </rPr>
      <t>精算機</t>
    </r>
    <r>
      <rPr>
        <sz val="8"/>
        <rFont val="游ゴシック"/>
        <family val="3"/>
        <charset val="128"/>
        <scheme val="minor"/>
      </rPr>
      <t>」
文言ー「</t>
    </r>
    <r>
      <rPr>
        <sz val="8"/>
        <color rgb="FFFF0000"/>
        <rFont val="游ゴシック"/>
        <family val="3"/>
        <charset val="128"/>
        <scheme val="minor"/>
      </rPr>
      <t>待機中</t>
    </r>
    <r>
      <rPr>
        <sz val="8"/>
        <rFont val="游ゴシック"/>
        <family val="3"/>
        <charset val="128"/>
        <scheme val="minor"/>
      </rPr>
      <t xml:space="preserve">」
</t>
    </r>
    <rPh sb="5" eb="7">
      <t>イカ</t>
    </rPh>
    <rPh sb="7" eb="9">
      <t>ガメン</t>
    </rPh>
    <rPh sb="10" eb="12">
      <t>ヒョウジ</t>
    </rPh>
    <rPh sb="27" eb="29">
      <t>セイサン</t>
    </rPh>
    <rPh sb="29" eb="30">
      <t>キ</t>
    </rPh>
    <rPh sb="32" eb="34">
      <t>モンゴン</t>
    </rPh>
    <rPh sb="36" eb="38">
      <t>タイキ</t>
    </rPh>
    <rPh sb="38" eb="39">
      <t>ナカ</t>
    </rPh>
    <phoneticPr fontId="23"/>
  </si>
  <si>
    <r>
      <rPr>
        <sz val="8"/>
        <color rgb="FFFF0000"/>
        <rFont val="游ゴシック"/>
        <family val="3"/>
        <charset val="128"/>
        <scheme val="minor"/>
      </rPr>
      <t>【言語切替】⇒</t>
    </r>
    <r>
      <rPr>
        <sz val="8"/>
        <rFont val="游ゴシック"/>
        <family val="3"/>
        <charset val="128"/>
        <scheme val="minor"/>
      </rPr>
      <t>【English】をタッチ。</t>
    </r>
    <rPh sb="1" eb="3">
      <t>ゲンゴ</t>
    </rPh>
    <rPh sb="3" eb="5">
      <t>キリカエ</t>
    </rPh>
    <phoneticPr fontId="23"/>
  </si>
  <si>
    <r>
      <t>【PS】
以下画面が表示されていること。
タイトルー「</t>
    </r>
    <r>
      <rPr>
        <sz val="8"/>
        <color rgb="FFFF0000"/>
        <rFont val="游ゴシック"/>
        <family val="3"/>
        <charset val="128"/>
        <scheme val="minor"/>
      </rPr>
      <t>Payment machine</t>
    </r>
    <r>
      <rPr>
        <sz val="8"/>
        <rFont val="游ゴシック"/>
        <family val="3"/>
        <charset val="128"/>
        <scheme val="minor"/>
      </rPr>
      <t>」
文言ー「</t>
    </r>
    <r>
      <rPr>
        <sz val="8"/>
        <color rgb="FFFF0000"/>
        <rFont val="游ゴシック"/>
        <family val="3"/>
        <charset val="128"/>
        <scheme val="minor"/>
      </rPr>
      <t>Waiting</t>
    </r>
    <r>
      <rPr>
        <sz val="8"/>
        <rFont val="游ゴシック"/>
        <family val="3"/>
        <charset val="128"/>
        <scheme val="minor"/>
      </rPr>
      <t xml:space="preserve">」
その後、【Language】⇒【日本語】をタッチ。
</t>
    </r>
    <rPh sb="5" eb="7">
      <t>イカ</t>
    </rPh>
    <rPh sb="7" eb="9">
      <t>ガメン</t>
    </rPh>
    <rPh sb="10" eb="12">
      <t>ヒョウジ</t>
    </rPh>
    <rPh sb="44" eb="46">
      <t>モンゴン</t>
    </rPh>
    <rPh sb="59" eb="60">
      <t>ゴ</t>
    </rPh>
    <rPh sb="73" eb="76">
      <t>ニホンゴ</t>
    </rPh>
    <phoneticPr fontId="23"/>
  </si>
  <si>
    <r>
      <t>タイトルー「</t>
    </r>
    <r>
      <rPr>
        <sz val="8"/>
        <color rgb="FFFF0000"/>
        <rFont val="游ゴシック"/>
        <family val="3"/>
        <charset val="128"/>
        <scheme val="minor"/>
      </rPr>
      <t>精算機</t>
    </r>
    <r>
      <rPr>
        <sz val="8"/>
        <rFont val="游ゴシック"/>
        <family val="3"/>
        <charset val="128"/>
        <scheme val="minor"/>
      </rPr>
      <t>」の画面で、
ご精算券のQRコードをスキャン。</t>
    </r>
    <rPh sb="6" eb="9">
      <t>セイサンキ</t>
    </rPh>
    <rPh sb="11" eb="13">
      <t>ガメン</t>
    </rPh>
    <rPh sb="17" eb="19">
      <t>セイサン</t>
    </rPh>
    <rPh sb="19" eb="20">
      <t>ケン</t>
    </rPh>
    <phoneticPr fontId="23"/>
  </si>
  <si>
    <t xml:space="preserve">タイトルー「お支払方法を選んでください」の画面で、
【係員呼出】をタッチ
</t>
    <rPh sb="21" eb="23">
      <t>ガメン</t>
    </rPh>
    <phoneticPr fontId="23"/>
  </si>
  <si>
    <r>
      <t>【PS】
以下画面に表示変更されること。
タイトルー「お支払額がよろしければ「</t>
    </r>
    <r>
      <rPr>
        <sz val="8"/>
        <color rgb="FFFF0000"/>
        <rFont val="游ゴシック"/>
        <family val="3"/>
        <charset val="128"/>
        <scheme val="minor"/>
      </rPr>
      <t>レシート</t>
    </r>
    <r>
      <rPr>
        <sz val="8"/>
        <rFont val="游ゴシック"/>
        <family val="3"/>
        <charset val="128"/>
        <scheme val="minor"/>
      </rPr>
      <t>」
または「領収証」を押してください」
音声ー「お支払額がよろしければ「</t>
    </r>
    <r>
      <rPr>
        <sz val="8"/>
        <color rgb="FFFF0000"/>
        <rFont val="游ゴシック"/>
        <family val="3"/>
        <charset val="128"/>
        <scheme val="minor"/>
      </rPr>
      <t>レシート</t>
    </r>
    <r>
      <rPr>
        <sz val="8"/>
        <rFont val="游ゴシック"/>
        <family val="3"/>
        <charset val="128"/>
        <scheme val="minor"/>
      </rPr>
      <t xml:space="preserve">」または
「領収証」を押してください」
</t>
    </r>
    <rPh sb="12" eb="14">
      <t>ヘンコウ</t>
    </rPh>
    <rPh sb="28" eb="30">
      <t>シハライ</t>
    </rPh>
    <rPh sb="30" eb="31">
      <t>ガク</t>
    </rPh>
    <rPh sb="49" eb="52">
      <t>リョウシュウショウ</t>
    </rPh>
    <rPh sb="54" eb="55">
      <t>オ</t>
    </rPh>
    <rPh sb="63" eb="65">
      <t>オンセイ</t>
    </rPh>
    <phoneticPr fontId="23"/>
  </si>
  <si>
    <t>【PS操作】
支払ークレジット</t>
    <rPh sb="3" eb="5">
      <t>ソウサ</t>
    </rPh>
    <rPh sb="7" eb="9">
      <t>シハライ</t>
    </rPh>
    <phoneticPr fontId="23"/>
  </si>
  <si>
    <t xml:space="preserve">「ポイントカードはお持ちですか？」画面で【いいえ】選択
⇒「お支払方法を選んでください」画面で【クレジット】を選択。
</t>
    <rPh sb="10" eb="11">
      <t>モ</t>
    </rPh>
    <rPh sb="17" eb="19">
      <t>ガメン</t>
    </rPh>
    <rPh sb="25" eb="27">
      <t>センタク</t>
    </rPh>
    <rPh sb="44" eb="46">
      <t>ガメン</t>
    </rPh>
    <rPh sb="55" eb="57">
      <t>センタク</t>
    </rPh>
    <phoneticPr fontId="23"/>
  </si>
  <si>
    <t xml:space="preserve">【PS】
タイトルー「決済端末で操作してください」
音声ー「決済端末で操作してください」
</t>
    <rPh sb="11" eb="13">
      <t>ケッサイ</t>
    </rPh>
    <rPh sb="13" eb="15">
      <t>タンマツ</t>
    </rPh>
    <phoneticPr fontId="23"/>
  </si>
  <si>
    <t>エラーの確認</t>
    <rPh sb="4" eb="6">
      <t>カクニン</t>
    </rPh>
    <phoneticPr fontId="23"/>
  </si>
  <si>
    <t xml:space="preserve">クレジットカードを挿入後、すぐにカード抜き取り。
</t>
    <rPh sb="9" eb="11">
      <t>ソウニュウ</t>
    </rPh>
    <rPh sb="11" eb="12">
      <t>ゴ</t>
    </rPh>
    <phoneticPr fontId="23"/>
  </si>
  <si>
    <r>
      <t>【PS】
以下画面に表示変更されること。
タイトルー「</t>
    </r>
    <r>
      <rPr>
        <sz val="8"/>
        <color rgb="FFFF0000"/>
        <rFont val="游ゴシック"/>
        <family val="3"/>
        <charset val="128"/>
        <scheme val="minor"/>
      </rPr>
      <t>しばらくお待ちください</t>
    </r>
    <r>
      <rPr>
        <sz val="8"/>
        <rFont val="游ゴシック"/>
        <family val="3"/>
        <charset val="128"/>
        <scheme val="minor"/>
      </rPr>
      <t>」
文言ー「</t>
    </r>
    <r>
      <rPr>
        <sz val="8"/>
        <color rgb="FFFF0000"/>
        <rFont val="游ゴシック"/>
        <family val="3"/>
        <charset val="128"/>
        <scheme val="minor"/>
      </rPr>
      <t>まもなく、係員がまいります</t>
    </r>
    <r>
      <rPr>
        <sz val="8"/>
        <rFont val="游ゴシック"/>
        <family val="3"/>
        <charset val="128"/>
        <scheme val="minor"/>
      </rPr>
      <t xml:space="preserve">」
</t>
    </r>
    <rPh sb="12" eb="14">
      <t>ヘンコウ</t>
    </rPh>
    <rPh sb="32" eb="33">
      <t>マ</t>
    </rPh>
    <rPh sb="49" eb="51">
      <t>カカリイン</t>
    </rPh>
    <phoneticPr fontId="23"/>
  </si>
  <si>
    <t xml:space="preserve">アテンダントコードスキャン。
</t>
    <phoneticPr fontId="23"/>
  </si>
  <si>
    <t xml:space="preserve">【PS】
以下画面が表示されていること。
ポップアップー「ICカード読み取りエラーが発生しました。」
</t>
    <rPh sb="34" eb="35">
      <t>ヨ</t>
    </rPh>
    <rPh sb="36" eb="37">
      <t>ト</t>
    </rPh>
    <rPh sb="42" eb="44">
      <t>ハッセイ</t>
    </rPh>
    <phoneticPr fontId="23"/>
  </si>
  <si>
    <t>【OK】をタッチ。</t>
    <phoneticPr fontId="23"/>
  </si>
  <si>
    <t xml:space="preserve">【PS】
以下画面が表示されていること。
タイトルー「お支払方法を選んでください」
文言ー「残りお支払金額」
音声ー「お支払方法を選んでください」
</t>
    <rPh sb="5" eb="7">
      <t>イカ</t>
    </rPh>
    <rPh sb="7" eb="9">
      <t>ガメン</t>
    </rPh>
    <rPh sb="10" eb="12">
      <t>ヒョウジ</t>
    </rPh>
    <rPh sb="42" eb="44">
      <t>モンゴン</t>
    </rPh>
    <rPh sb="46" eb="47">
      <t>ノコ</t>
    </rPh>
    <rPh sb="49" eb="51">
      <t>シハライ</t>
    </rPh>
    <rPh sb="51" eb="53">
      <t>キンガク</t>
    </rPh>
    <phoneticPr fontId="23"/>
  </si>
  <si>
    <t xml:space="preserve">「お支払方法を選んでください」画面で【クレジット】を選択。
</t>
    <rPh sb="15" eb="17">
      <t>ガメン</t>
    </rPh>
    <rPh sb="26" eb="28">
      <t>センタク</t>
    </rPh>
    <phoneticPr fontId="23"/>
  </si>
  <si>
    <t xml:space="preserve">クレジットカードを挿入後、
決済端末で「カードをお取りください」表示後にカードを抜き取り。
</t>
    <rPh sb="9" eb="11">
      <t>ソウニュウ</t>
    </rPh>
    <rPh sb="11" eb="12">
      <t>ゴ</t>
    </rPh>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</si>
  <si>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】をタッチ</t>
    </r>
    <phoneticPr fontId="23"/>
  </si>
  <si>
    <t>【SS操作】
商品券ーあり</t>
    <rPh sb="3" eb="5">
      <t>ソウサ</t>
    </rPh>
    <rPh sb="7" eb="9">
      <t>ショウヒン</t>
    </rPh>
    <rPh sb="9" eb="10">
      <t>ケン</t>
    </rPh>
    <phoneticPr fontId="23"/>
  </si>
  <si>
    <t>預合計
→商品券登録　★
→PS指定（ボタンタッチ）</t>
    <rPh sb="5" eb="8">
      <t>ショウヒンケン</t>
    </rPh>
    <rPh sb="8" eb="10">
      <t>トウロク</t>
    </rPh>
    <rPh sb="16" eb="18">
      <t>シテイ</t>
    </rPh>
    <phoneticPr fontId="23"/>
  </si>
  <si>
    <t xml:space="preserve">「ポイントカードはお持ちですか？」画面で【いいえ】選択
⇒「お支払方法を選んでください」画面で【現金】を選択。
</t>
    <rPh sb="10" eb="11">
      <t>モ</t>
    </rPh>
    <rPh sb="17" eb="19">
      <t>ガメン</t>
    </rPh>
    <rPh sb="25" eb="27">
      <t>センタク</t>
    </rPh>
    <rPh sb="44" eb="46">
      <t>ガメン</t>
    </rPh>
    <rPh sb="48" eb="50">
      <t>ゲンキン</t>
    </rPh>
    <rPh sb="52" eb="54">
      <t>センタク</t>
    </rPh>
    <phoneticPr fontId="23"/>
  </si>
  <si>
    <t xml:space="preserve">【PS】
タイトルー「現金を入れてください」
項目ー「商品券等の支払金額」にSSで登録した商品券の額が表示されていること。
</t>
    <rPh sb="23" eb="25">
      <t>コウモク</t>
    </rPh>
    <rPh sb="27" eb="30">
      <t>ショウヒンケン</t>
    </rPh>
    <rPh sb="30" eb="31">
      <t>トウ</t>
    </rPh>
    <rPh sb="32" eb="34">
      <t>シハライ</t>
    </rPh>
    <rPh sb="34" eb="36">
      <t>キンガク</t>
    </rPh>
    <rPh sb="41" eb="43">
      <t>トウロク</t>
    </rPh>
    <rPh sb="45" eb="48">
      <t>ショウヒンケン</t>
    </rPh>
    <rPh sb="49" eb="50">
      <t>ガク</t>
    </rPh>
    <rPh sb="51" eb="53">
      <t>ヒョウジ</t>
    </rPh>
    <phoneticPr fontId="23"/>
  </si>
  <si>
    <t>預合計
→商品券登録　★
→【ご精算券】タッチ</t>
    <rPh sb="16" eb="18">
      <t>セイサン</t>
    </rPh>
    <rPh sb="18" eb="19">
      <t>ケン</t>
    </rPh>
    <phoneticPr fontId="23"/>
  </si>
  <si>
    <r>
      <t>【PS】
以下画面が表示されていること。
タイトルー「</t>
    </r>
    <r>
      <rPr>
        <sz val="8"/>
        <color rgb="FFFF0000"/>
        <rFont val="游ゴシック"/>
        <family val="3"/>
        <charset val="128"/>
        <scheme val="minor"/>
      </rPr>
      <t>Payment machine</t>
    </r>
    <r>
      <rPr>
        <sz val="8"/>
        <rFont val="游ゴシック"/>
        <family val="3"/>
        <charset val="128"/>
        <scheme val="minor"/>
      </rPr>
      <t>」
文言ー「</t>
    </r>
    <r>
      <rPr>
        <sz val="8"/>
        <color rgb="FFFF0000"/>
        <rFont val="游ゴシック"/>
        <family val="3"/>
        <charset val="128"/>
        <scheme val="minor"/>
      </rPr>
      <t>Waiting</t>
    </r>
    <r>
      <rPr>
        <sz val="8"/>
        <rFont val="游ゴシック"/>
        <family val="3"/>
        <charset val="128"/>
        <scheme val="minor"/>
      </rPr>
      <t xml:space="preserve">」
その後、【日本語】をタッチ。
</t>
    </r>
    <rPh sb="5" eb="7">
      <t>イカ</t>
    </rPh>
    <rPh sb="7" eb="9">
      <t>ガメン</t>
    </rPh>
    <rPh sb="10" eb="12">
      <t>ヒョウジ</t>
    </rPh>
    <rPh sb="44" eb="46">
      <t>モンゴン</t>
    </rPh>
    <rPh sb="59" eb="60">
      <t>ゴ</t>
    </rPh>
    <rPh sb="62" eb="65">
      <t>ニホンゴ</t>
    </rPh>
    <phoneticPr fontId="23"/>
  </si>
  <si>
    <t>タイトルー「お支払い」の画面で、
ご精算券のQRコードをスキャン。</t>
    <rPh sb="7" eb="9">
      <t>シハラ</t>
    </rPh>
    <rPh sb="12" eb="14">
      <t>ガメン</t>
    </rPh>
    <rPh sb="18" eb="20">
      <t>セイサン</t>
    </rPh>
    <rPh sb="20" eb="21">
      <t>ケン</t>
    </rPh>
    <phoneticPr fontId="23"/>
  </si>
  <si>
    <r>
      <t>タイトルー「お支払額がよろしければ確認を選んでください」画面で、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支払額超過：お釣りあり</t>
    </r>
    <rPh sb="28" eb="30">
      <t>ガメン</t>
    </rPh>
    <rPh sb="44" eb="46">
      <t>シハライ</t>
    </rPh>
    <rPh sb="46" eb="47">
      <t>ガク</t>
    </rPh>
    <rPh sb="47" eb="49">
      <t>チョウカ</t>
    </rPh>
    <rPh sb="51" eb="52">
      <t>ツ</t>
    </rPh>
    <phoneticPr fontId="23"/>
  </si>
  <si>
    <t>預合計
→商品券登録　★
→PS指定（ボタンタッチ）</t>
    <rPh sb="16" eb="18">
      <t>シテイ</t>
    </rPh>
    <phoneticPr fontId="23"/>
  </si>
  <si>
    <t xml:space="preserve">【PS】
タイトルー「決済端末で操作してください」
項目ー「商品券等の支払金額」にSSで登録した商品券の額が表示されていること。
</t>
    <rPh sb="11" eb="15">
      <t>ケッサイタンマツ</t>
    </rPh>
    <rPh sb="26" eb="28">
      <t>コウモク</t>
    </rPh>
    <rPh sb="30" eb="33">
      <t>ショウヒンケン</t>
    </rPh>
    <rPh sb="33" eb="34">
      <t>トウ</t>
    </rPh>
    <rPh sb="35" eb="37">
      <t>シハライ</t>
    </rPh>
    <rPh sb="37" eb="39">
      <t>キンガク</t>
    </rPh>
    <rPh sb="44" eb="46">
      <t>トウロク</t>
    </rPh>
    <rPh sb="48" eb="51">
      <t>ショウヒンケン</t>
    </rPh>
    <rPh sb="52" eb="53">
      <t>ガク</t>
    </rPh>
    <rPh sb="54" eb="56">
      <t>ヒョウジ</t>
    </rPh>
    <phoneticPr fontId="23"/>
  </si>
  <si>
    <t xml:space="preserve">クレジットカードを挿入後、
決済端末で「ICカードをお取りください」表示後にカードを抜き取り。
</t>
    <rPh sb="9" eb="11">
      <t>ソウニュウ</t>
    </rPh>
    <rPh sb="11" eb="12">
      <t>ゴ</t>
    </rPh>
    <phoneticPr fontId="23"/>
  </si>
  <si>
    <t>【SS操作】
会員宣言ー有り
（クラブカード)</t>
    <rPh sb="3" eb="5">
      <t>ソウサ</t>
    </rPh>
    <rPh sb="7" eb="9">
      <t>カイイン</t>
    </rPh>
    <rPh sb="9" eb="11">
      <t>センゲン</t>
    </rPh>
    <rPh sb="12" eb="13">
      <t>ア</t>
    </rPh>
    <phoneticPr fontId="23"/>
  </si>
  <si>
    <t>商品登録
→小計
→ingfanカード
　確認ポップアップ
→ingfanカードスキャン</t>
    <rPh sb="0" eb="2">
      <t>ショウヒン</t>
    </rPh>
    <rPh sb="2" eb="4">
      <t>トウロク</t>
    </rPh>
    <rPh sb="6" eb="8">
      <t>ショウケイ</t>
    </rPh>
    <rPh sb="21" eb="23">
      <t>カクニン</t>
    </rPh>
    <phoneticPr fontId="23"/>
  </si>
  <si>
    <t xml:space="preserve">「お支払方法を選んでください」画面で【現金】を選択。
</t>
    <rPh sb="15" eb="17">
      <t>ガメン</t>
    </rPh>
    <rPh sb="23" eb="25">
      <t>センタク</t>
    </rPh>
    <phoneticPr fontId="23"/>
  </si>
  <si>
    <t>【SS操作】
会員宣言ー有り
（Vカード）</t>
    <rPh sb="3" eb="5">
      <t>ソウサ</t>
    </rPh>
    <rPh sb="7" eb="9">
      <t>カイイン</t>
    </rPh>
    <rPh sb="9" eb="11">
      <t>センゲン</t>
    </rPh>
    <rPh sb="12" eb="13">
      <t>ア</t>
    </rPh>
    <phoneticPr fontId="23"/>
  </si>
  <si>
    <t>商品登録
→小計
→ingfanカード
　確認ポップアップ
→Vカード挿入</t>
    <rPh sb="0" eb="2">
      <t>ショウヒン</t>
    </rPh>
    <rPh sb="2" eb="4">
      <t>トウロク</t>
    </rPh>
    <rPh sb="6" eb="8">
      <t>ショウケイ</t>
    </rPh>
    <rPh sb="21" eb="23">
      <t>カクニン</t>
    </rPh>
    <rPh sb="35" eb="37">
      <t>ソウニュウ</t>
    </rPh>
    <phoneticPr fontId="23"/>
  </si>
  <si>
    <t>商品登録
→小計
→ingfanカード
　確認ポップアップ
→Vカード挿入</t>
    <rPh sb="0" eb="2">
      <t>ショウヒン</t>
    </rPh>
    <rPh sb="2" eb="4">
      <t>トウロク</t>
    </rPh>
    <rPh sb="6" eb="8">
      <t>ショウケイ</t>
    </rPh>
    <rPh sb="21" eb="23">
      <t>カクニン</t>
    </rPh>
    <phoneticPr fontId="23"/>
  </si>
  <si>
    <t>【SS操作】
商品券ー無し
支払ークレジット</t>
    <rPh sb="3" eb="5">
      <t>ソウサ</t>
    </rPh>
    <rPh sb="7" eb="9">
      <t>ショウヒン</t>
    </rPh>
    <rPh sb="9" eb="10">
      <t>ケン</t>
    </rPh>
    <rPh sb="11" eb="12">
      <t>ナシ</t>
    </rPh>
    <phoneticPr fontId="23"/>
  </si>
  <si>
    <t>【PS操作】
なし</t>
    <rPh sb="3" eb="5">
      <t>ソウサ</t>
    </rPh>
    <phoneticPr fontId="23"/>
  </si>
  <si>
    <t>商品登録
→小計
→ingfanカード
　確認ポップアップ
→「なし」を選択</t>
    <rPh sb="0" eb="2">
      <t>ショウヒン</t>
    </rPh>
    <rPh sb="2" eb="4">
      <t>トウロク</t>
    </rPh>
    <rPh sb="6" eb="8">
      <t>ショウケイ</t>
    </rPh>
    <rPh sb="21" eb="23">
      <t>カクニン</t>
    </rPh>
    <rPh sb="36" eb="38">
      <t>センタク</t>
    </rPh>
    <phoneticPr fontId="23"/>
  </si>
  <si>
    <t xml:space="preserve">→他社クレ挿入
→小計
→預合計
</t>
    <rPh sb="1" eb="3">
      <t>タシャ</t>
    </rPh>
    <rPh sb="5" eb="7">
      <t>ソウニュウ</t>
    </rPh>
    <rPh sb="9" eb="11">
      <t>ショウケイ</t>
    </rPh>
    <phoneticPr fontId="23"/>
  </si>
  <si>
    <t>【SS】
通常レジ同様にお会計ができること。</t>
    <rPh sb="5" eb="7">
      <t>ツウジョウ</t>
    </rPh>
    <rPh sb="9" eb="11">
      <t>ドウヨウ</t>
    </rPh>
    <rPh sb="13" eb="15">
      <t>カイケイ</t>
    </rPh>
    <phoneticPr fontId="23"/>
  </si>
  <si>
    <t>SS決済端末有の場合のみ</t>
    <rPh sb="2" eb="6">
      <t>ケッサイタンマツ</t>
    </rPh>
    <rPh sb="6" eb="7">
      <t>アリ</t>
    </rPh>
    <rPh sb="8" eb="10">
      <t>バアイ</t>
    </rPh>
    <phoneticPr fontId="23"/>
  </si>
  <si>
    <t>【SS操作】
商品券ー有り
支払ー商品券のみ</t>
    <rPh sb="3" eb="5">
      <t>ソウサ</t>
    </rPh>
    <rPh sb="7" eb="9">
      <t>ショウヒン</t>
    </rPh>
    <rPh sb="9" eb="10">
      <t>ケン</t>
    </rPh>
    <rPh sb="11" eb="12">
      <t>ア</t>
    </rPh>
    <rPh sb="17" eb="20">
      <t>ショウヒンケン</t>
    </rPh>
    <phoneticPr fontId="23"/>
  </si>
  <si>
    <r>
      <t xml:space="preserve">【PS操作】
</t>
    </r>
    <r>
      <rPr>
        <sz val="8"/>
        <color theme="1"/>
        <rFont val="游ゴシック"/>
        <family val="3"/>
        <charset val="128"/>
      </rPr>
      <t>なし</t>
    </r>
    <rPh sb="3" eb="5">
      <t>ソウサ</t>
    </rPh>
    <phoneticPr fontId="23"/>
  </si>
  <si>
    <t>→商品券選択
→預合計</t>
    <rPh sb="1" eb="4">
      <t>ショウヒンケン</t>
    </rPh>
    <rPh sb="4" eb="6">
      <t>センタク</t>
    </rPh>
    <rPh sb="8" eb="9">
      <t>アズカリ</t>
    </rPh>
    <rPh sb="9" eb="11">
      <t>ゴウケイ</t>
    </rPh>
    <phoneticPr fontId="23"/>
  </si>
  <si>
    <t>【SS操作】
会員宣言なし
（クラブカード）</t>
    <rPh sb="3" eb="5">
      <t>ソウサ</t>
    </rPh>
    <rPh sb="7" eb="9">
      <t>カイイン</t>
    </rPh>
    <rPh sb="9" eb="11">
      <t>センゲン</t>
    </rPh>
    <phoneticPr fontId="23"/>
  </si>
  <si>
    <t>【その他】</t>
    <rPh sb="3" eb="4">
      <t>タ</t>
    </rPh>
    <phoneticPr fontId="23"/>
  </si>
  <si>
    <t>Xモードにて
「取引別点検レシート」押下
「F2（印刷）」押下</t>
    <rPh sb="18" eb="20">
      <t>オウカ</t>
    </rPh>
    <rPh sb="25" eb="27">
      <t>インサツ</t>
    </rPh>
    <rPh sb="29" eb="31">
      <t>オウカ</t>
    </rPh>
    <phoneticPr fontId="23"/>
  </si>
  <si>
    <t>【SS】
取引別点検レシートが出力されること。</t>
    <rPh sb="5" eb="7">
      <t>トリヒキ</t>
    </rPh>
    <rPh sb="7" eb="8">
      <t>ベツ</t>
    </rPh>
    <rPh sb="8" eb="10">
      <t>テンケン</t>
    </rPh>
    <rPh sb="15" eb="17">
      <t>シュツリョク</t>
    </rPh>
    <phoneticPr fontId="23"/>
  </si>
  <si>
    <t>CS0124
#0194</t>
    <phoneticPr fontId="23"/>
  </si>
  <si>
    <t>#0195</t>
    <phoneticPr fontId="23"/>
  </si>
  <si>
    <t>#0196</t>
    <phoneticPr fontId="23"/>
  </si>
  <si>
    <t>#0367</t>
    <phoneticPr fontId="23"/>
  </si>
  <si>
    <t>#0368</t>
    <phoneticPr fontId="23"/>
  </si>
  <si>
    <t>#0195</t>
    <phoneticPr fontId="23"/>
  </si>
  <si>
    <t>#0336</t>
    <phoneticPr fontId="23"/>
  </si>
  <si>
    <t>#0337</t>
    <phoneticPr fontId="23"/>
  </si>
  <si>
    <t>#0338</t>
    <phoneticPr fontId="23"/>
  </si>
  <si>
    <t>#0339</t>
    <phoneticPr fontId="23"/>
  </si>
  <si>
    <t>#0197</t>
    <phoneticPr fontId="23"/>
  </si>
  <si>
    <t>#0198</t>
    <phoneticPr fontId="23"/>
  </si>
  <si>
    <t>#0340</t>
    <phoneticPr fontId="23"/>
  </si>
  <si>
    <t>#0341</t>
    <phoneticPr fontId="23"/>
  </si>
  <si>
    <t>#0342</t>
    <phoneticPr fontId="23"/>
  </si>
  <si>
    <t>#0343</t>
    <phoneticPr fontId="23"/>
  </si>
  <si>
    <t>#0199</t>
    <phoneticPr fontId="23"/>
  </si>
  <si>
    <t>#0200</t>
    <phoneticPr fontId="23"/>
  </si>
  <si>
    <t>#0201</t>
    <phoneticPr fontId="23"/>
  </si>
  <si>
    <t>#0202</t>
    <phoneticPr fontId="23"/>
  </si>
  <si>
    <t>#0350</t>
    <phoneticPr fontId="23"/>
  </si>
  <si>
    <t>#0352</t>
    <phoneticPr fontId="23"/>
  </si>
  <si>
    <t>#0354</t>
    <phoneticPr fontId="23"/>
  </si>
  <si>
    <t>#0203, #0210</t>
    <phoneticPr fontId="23"/>
  </si>
  <si>
    <t>#0356</t>
  </si>
  <si>
    <t>#0358</t>
  </si>
  <si>
    <t>#0360</t>
  </si>
  <si>
    <t>#0204, #0212</t>
    <phoneticPr fontId="23"/>
  </si>
  <si>
    <t>#0205, #0214</t>
    <phoneticPr fontId="23"/>
  </si>
  <si>
    <t>#0206, #0216</t>
    <phoneticPr fontId="23"/>
  </si>
  <si>
    <t>#0207, #0218</t>
    <phoneticPr fontId="23"/>
  </si>
  <si>
    <t>#0364</t>
    <phoneticPr fontId="23"/>
  </si>
  <si>
    <t>#0208, #0220</t>
    <phoneticPr fontId="23"/>
  </si>
  <si>
    <t>#0365</t>
    <phoneticPr fontId="23"/>
  </si>
  <si>
    <t>#0222</t>
    <phoneticPr fontId="23"/>
  </si>
  <si>
    <t>#0223</t>
    <phoneticPr fontId="23"/>
  </si>
  <si>
    <t>#0224</t>
    <phoneticPr fontId="23"/>
  </si>
  <si>
    <t>#0225, #0226</t>
    <phoneticPr fontId="23"/>
  </si>
  <si>
    <t>#0227, #0228</t>
    <phoneticPr fontId="23"/>
  </si>
  <si>
    <t>#0230, #0234</t>
    <phoneticPr fontId="23"/>
  </si>
  <si>
    <t>#0231, #0236</t>
    <phoneticPr fontId="23"/>
  </si>
  <si>
    <t>#0232, 0238</t>
    <phoneticPr fontId="23"/>
  </si>
  <si>
    <t>#0229, #0240</t>
    <phoneticPr fontId="23"/>
  </si>
  <si>
    <t>#0246</t>
    <phoneticPr fontId="23"/>
  </si>
  <si>
    <t>#0245</t>
    <phoneticPr fontId="23"/>
  </si>
  <si>
    <t>#0247</t>
    <phoneticPr fontId="23"/>
  </si>
  <si>
    <t>#0248</t>
    <phoneticPr fontId="23"/>
  </si>
  <si>
    <t>#0249</t>
    <phoneticPr fontId="23"/>
  </si>
  <si>
    <t>#0250</t>
    <phoneticPr fontId="23"/>
  </si>
  <si>
    <t>#0373</t>
    <phoneticPr fontId="23"/>
  </si>
  <si>
    <t>#0377</t>
    <phoneticPr fontId="23"/>
  </si>
  <si>
    <t>#0379</t>
    <phoneticPr fontId="23"/>
  </si>
  <si>
    <t>#0251</t>
    <phoneticPr fontId="23"/>
  </si>
  <si>
    <t>#0252</t>
    <phoneticPr fontId="23"/>
  </si>
  <si>
    <t>#0253</t>
    <phoneticPr fontId="23"/>
  </si>
  <si>
    <t>#0384</t>
    <phoneticPr fontId="23"/>
  </si>
  <si>
    <t>#0385</t>
    <phoneticPr fontId="23"/>
  </si>
  <si>
    <t>#0386</t>
    <phoneticPr fontId="23"/>
  </si>
  <si>
    <t>#0387</t>
  </si>
  <si>
    <t>#0388</t>
  </si>
  <si>
    <t>#0389</t>
  </si>
  <si>
    <t>#0390</t>
  </si>
  <si>
    <t>#0391</t>
  </si>
  <si>
    <t>#0392</t>
  </si>
  <si>
    <t>#0393</t>
    <phoneticPr fontId="23"/>
  </si>
  <si>
    <t>#0395</t>
    <phoneticPr fontId="23"/>
  </si>
  <si>
    <t>PS0173-#4548</t>
    <phoneticPr fontId="23"/>
  </si>
  <si>
    <t>PS0173-#4549</t>
    <phoneticPr fontId="23"/>
  </si>
  <si>
    <t>PS0173-#4550（元4548）</t>
    <rPh sb="13" eb="14">
      <t>モト</t>
    </rPh>
    <phoneticPr fontId="23"/>
  </si>
  <si>
    <t>PS0173-#4551（元4549）</t>
    <phoneticPr fontId="23"/>
  </si>
  <si>
    <t>PS0173-#4553</t>
    <phoneticPr fontId="23"/>
  </si>
  <si>
    <t>PS0173-#4552</t>
    <phoneticPr fontId="23"/>
  </si>
  <si>
    <t>元取引がVカードで会員宣言
他クレ支払い（MSR）</t>
    <rPh sb="0" eb="1">
      <t>モト</t>
    </rPh>
    <rPh sb="1" eb="3">
      <t>トリヒキ</t>
    </rPh>
    <rPh sb="9" eb="13">
      <t>カイインセンゲン</t>
    </rPh>
    <rPh sb="14" eb="15">
      <t>ホカ</t>
    </rPh>
    <rPh sb="17" eb="19">
      <t>シハラ</t>
    </rPh>
    <phoneticPr fontId="17"/>
  </si>
  <si>
    <t>PS0173-#4555（元4552）</t>
    <rPh sb="13" eb="14">
      <t>モト</t>
    </rPh>
    <phoneticPr fontId="23"/>
  </si>
  <si>
    <t>PS0173-#4556（元4553）</t>
    <rPh sb="13" eb="14">
      <t>モト</t>
    </rPh>
    <phoneticPr fontId="23"/>
  </si>
  <si>
    <t>#0398</t>
    <phoneticPr fontId="23"/>
  </si>
  <si>
    <t>#0261</t>
    <phoneticPr fontId="23"/>
  </si>
  <si>
    <t>#0399</t>
    <phoneticPr fontId="23"/>
  </si>
  <si>
    <t>#0400</t>
    <phoneticPr fontId="23"/>
  </si>
  <si>
    <t>■</t>
    <phoneticPr fontId="17"/>
  </si>
  <si>
    <t>#0262</t>
    <phoneticPr fontId="23"/>
  </si>
  <si>
    <t>#0265</t>
    <phoneticPr fontId="23"/>
  </si>
  <si>
    <t>#0266, #0268</t>
    <phoneticPr fontId="23"/>
  </si>
  <si>
    <t>#0269</t>
    <phoneticPr fontId="23"/>
  </si>
  <si>
    <t>#0270</t>
    <phoneticPr fontId="23"/>
  </si>
  <si>
    <t>#0272</t>
    <phoneticPr fontId="23"/>
  </si>
  <si>
    <t>#0273</t>
    <phoneticPr fontId="23"/>
  </si>
  <si>
    <t>#0275</t>
    <phoneticPr fontId="23"/>
  </si>
  <si>
    <t>■</t>
    <phoneticPr fontId="23"/>
  </si>
  <si>
    <t>#1796</t>
    <phoneticPr fontId="23"/>
  </si>
  <si>
    <t>5号店環境で確認</t>
    <rPh sb="1" eb="3">
      <t>ゴウテン</t>
    </rPh>
    <rPh sb="3" eb="5">
      <t>カンキョウ</t>
    </rPh>
    <rPh sb="6" eb="8">
      <t>カクニン</t>
    </rPh>
    <phoneticPr fontId="23"/>
  </si>
  <si>
    <t>#1797</t>
    <phoneticPr fontId="23"/>
  </si>
  <si>
    <t>#1798</t>
    <phoneticPr fontId="23"/>
  </si>
  <si>
    <t>#1799</t>
    <phoneticPr fontId="23"/>
  </si>
  <si>
    <t>#1800</t>
    <phoneticPr fontId="23"/>
  </si>
  <si>
    <t>#1801</t>
    <phoneticPr fontId="23"/>
  </si>
  <si>
    <t>#1802</t>
    <phoneticPr fontId="23"/>
  </si>
  <si>
    <t>#1803</t>
    <phoneticPr fontId="23"/>
  </si>
  <si>
    <t>吉野</t>
    <rPh sb="0" eb="2">
      <t>ヨシノ</t>
    </rPh>
    <phoneticPr fontId="17"/>
  </si>
  <si>
    <t>吉野</t>
    <rPh sb="0" eb="2">
      <t>ヨシノ</t>
    </rPh>
    <phoneticPr fontId="23"/>
  </si>
  <si>
    <t>藤村</t>
    <rPh sb="0" eb="2">
      <t>フジムラ</t>
    </rPh>
    <phoneticPr fontId="23"/>
  </si>
  <si>
    <t>#1804</t>
    <phoneticPr fontId="23"/>
  </si>
  <si>
    <t>#1805</t>
    <phoneticPr fontId="23"/>
  </si>
  <si>
    <t>#1806</t>
  </si>
  <si>
    <t>#1807</t>
  </si>
  <si>
    <t>#1808</t>
  </si>
  <si>
    <t>#1815</t>
    <phoneticPr fontId="23"/>
  </si>
  <si>
    <t>#1817</t>
    <phoneticPr fontId="23"/>
  </si>
  <si>
    <t>#1819</t>
    <phoneticPr fontId="23"/>
  </si>
  <si>
    <t>#1821</t>
    <phoneticPr fontId="23"/>
  </si>
  <si>
    <t>会員宣言必要 #1823</t>
    <phoneticPr fontId="23"/>
  </si>
  <si>
    <t>#1825</t>
    <phoneticPr fontId="23"/>
  </si>
  <si>
    <t>#1828</t>
    <phoneticPr fontId="23"/>
  </si>
  <si>
    <t>#1829</t>
    <phoneticPr fontId="23"/>
  </si>
  <si>
    <t>#1830</t>
    <phoneticPr fontId="23"/>
  </si>
  <si>
    <t>#1831</t>
  </si>
  <si>
    <t>#1832</t>
  </si>
  <si>
    <t>#1833</t>
  </si>
  <si>
    <t>#1834</t>
  </si>
  <si>
    <t>#1835</t>
  </si>
  <si>
    <t>#1386</t>
    <phoneticPr fontId="23"/>
  </si>
  <si>
    <t>#1387</t>
    <phoneticPr fontId="23"/>
  </si>
  <si>
    <t>#1388</t>
    <phoneticPr fontId="23"/>
  </si>
  <si>
    <t>#1845</t>
    <phoneticPr fontId="23"/>
  </si>
  <si>
    <t>練習モードは会員宣言するとVカード扱いになる #1847</t>
    <rPh sb="0" eb="2">
      <t>レンシュウ</t>
    </rPh>
    <rPh sb="6" eb="10">
      <t>カイインセンゲン</t>
    </rPh>
    <rPh sb="17" eb="18">
      <t>アツカ</t>
    </rPh>
    <phoneticPr fontId="23"/>
  </si>
  <si>
    <t>#1849</t>
    <phoneticPr fontId="23"/>
  </si>
  <si>
    <t>#1851</t>
    <phoneticPr fontId="23"/>
  </si>
  <si>
    <t>#1853</t>
    <phoneticPr fontId="23"/>
  </si>
  <si>
    <t>#1855</t>
    <phoneticPr fontId="23"/>
  </si>
  <si>
    <t>#1860</t>
    <phoneticPr fontId="23"/>
  </si>
  <si>
    <t>#1861</t>
    <phoneticPr fontId="23"/>
  </si>
  <si>
    <t>#1862</t>
    <phoneticPr fontId="23"/>
  </si>
  <si>
    <t>#1863</t>
  </si>
  <si>
    <t>#1864</t>
  </si>
  <si>
    <t>#1865</t>
  </si>
  <si>
    <t>#1867</t>
    <phoneticPr fontId="23"/>
  </si>
  <si>
    <t>#1868</t>
    <phoneticPr fontId="23"/>
  </si>
  <si>
    <t>吉野</t>
    <rPh sb="0" eb="2">
      <t>ヨシノ</t>
    </rPh>
    <phoneticPr fontId="23"/>
  </si>
  <si>
    <t>#1883</t>
    <phoneticPr fontId="23"/>
  </si>
  <si>
    <t>エラーが出てパッケージが落ちる？
⇒再起動後再度実行では問題なし
#1887</t>
    <rPh sb="4" eb="5">
      <t>デ</t>
    </rPh>
    <rPh sb="12" eb="13">
      <t>オ</t>
    </rPh>
    <rPh sb="18" eb="22">
      <t>サイキドウゴ</t>
    </rPh>
    <rPh sb="22" eb="24">
      <t>サイド</t>
    </rPh>
    <rPh sb="24" eb="26">
      <t>ジッコウ</t>
    </rPh>
    <rPh sb="28" eb="30">
      <t>モンダイ</t>
    </rPh>
    <phoneticPr fontId="23"/>
  </si>
  <si>
    <t>藤村</t>
    <rPh sb="0" eb="2">
      <t>フジムラ</t>
    </rPh>
    <phoneticPr fontId="23"/>
  </si>
  <si>
    <t>#1889</t>
    <phoneticPr fontId="17"/>
  </si>
  <si>
    <t>#1893</t>
    <phoneticPr fontId="17"/>
  </si>
  <si>
    <t>RT-300の場合、BOXがでてくるので鍵で開けてとる
#1891</t>
    <rPh sb="7" eb="9">
      <t>バアイ</t>
    </rPh>
    <rPh sb="20" eb="21">
      <t>カギ</t>
    </rPh>
    <rPh sb="22" eb="23">
      <t>ア</t>
    </rPh>
    <phoneticPr fontId="23"/>
  </si>
  <si>
    <t>藤村</t>
    <rPh sb="0" eb="2">
      <t>フジムラ</t>
    </rPh>
    <phoneticPr fontId="17"/>
  </si>
  <si>
    <t>#1894</t>
    <phoneticPr fontId="17"/>
  </si>
  <si>
    <t>#1895</t>
    <phoneticPr fontId="17"/>
  </si>
  <si>
    <t>#1896</t>
    <phoneticPr fontId="17"/>
  </si>
  <si>
    <r>
      <rPr>
        <strike/>
        <sz val="8"/>
        <rFont val="游ゴシック"/>
        <family val="3"/>
        <charset val="128"/>
        <scheme val="minor"/>
      </rPr>
      <t>釣銭機両替</t>
    </r>
    <r>
      <rPr>
        <sz val="8"/>
        <rFont val="游ゴシック"/>
        <family val="3"/>
        <charset val="128"/>
        <scheme val="minor"/>
      </rPr>
      <t xml:space="preserve"> お客様両替</t>
    </r>
    <rPh sb="0" eb="2">
      <t>ツリセン</t>
    </rPh>
    <rPh sb="2" eb="3">
      <t>キ</t>
    </rPh>
    <rPh sb="3" eb="5">
      <t>リョウガエ</t>
    </rPh>
    <rPh sb="7" eb="9">
      <t>キャクサマ</t>
    </rPh>
    <rPh sb="9" eb="11">
      <t>リョウガエ</t>
    </rPh>
    <phoneticPr fontId="17"/>
  </si>
  <si>
    <t>藤村</t>
    <rPh sb="0" eb="2">
      <t>フジムラ</t>
    </rPh>
    <phoneticPr fontId="1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</si>
</sst>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d"/>
    <numFmt numFmtId="177" formatCode="#,##0;\-#,##0;&quot;-&quot;"/>
    <numFmt numFmtId="178" formatCode="_(* #,##0.00_);_(* \(#,##0.00\);_(* &quot;-&quot;_);_(@_)"/>
    <numFmt numFmtId="179" formatCode="&quot;第&quot;0&quot;版&quot;"/>
    <numFmt numFmtId="180" formatCode="0.0_ "/>
    <numFmt numFmtId="181" formatCode="m/d;@"/>
    <numFmt numFmtId="182" formatCode="#,##0_ "/>
  </numFmts>
  <fonts count="47" x14ac:knownFonts="1">
    <font>
      <sz val="11"/>
      <name val="ＭＳ Ｐゴシック"/>
      <family val="3"/>
      <charset val="128"/>
    </font>
    <font>
      <sz val="11"/>
      <name val="ＭＳ ゴシック"/>
      <family val="3"/>
      <charset val="128"/>
    </font>
    <font>
      <sz val="14"/>
      <name val="ＭＳ ゴシック"/>
      <family val="3"/>
      <charset val="128"/>
    </font>
    <font>
      <sz val="12"/>
      <name val="ＭＳ ゴシック"/>
      <family val="3"/>
      <charset val="128"/>
    </font>
    <font>
      <b/>
      <sz val="24"/>
      <name val="ＭＳ ゴシック"/>
      <family val="3"/>
      <charset val="128"/>
    </font>
    <font>
      <b/>
      <sz val="14"/>
      <name val="ＭＳ ゴシック"/>
      <family val="3"/>
      <charset val="128"/>
    </font>
    <font>
      <sz val="10"/>
      <color indexed="8"/>
      <name val="Arial"/>
      <family val="2"/>
    </font>
    <font>
      <sz val="8"/>
      <name val="Arial"/>
      <family val="2"/>
    </font>
    <font>
      <b/>
      <sz val="12"/>
      <name val="Arial"/>
      <family val="2"/>
    </font>
    <font>
      <sz val="11"/>
      <name val="標準ゴシック"/>
      <family val="3"/>
      <charset val="128"/>
    </font>
    <font>
      <sz val="10"/>
      <name val="Arial"/>
      <family val="2"/>
    </font>
    <font>
      <sz val="22"/>
      <name val="ＭＳ 明朝"/>
      <family val="1"/>
      <charset val="128"/>
    </font>
    <font>
      <sz val="7"/>
      <name val="ＭＳ ゴシック"/>
      <family val="3"/>
      <charset val="128"/>
    </font>
    <font>
      <b/>
      <sz val="26"/>
      <name val="ＭＳ ゴシック"/>
      <family val="3"/>
      <charset val="128"/>
    </font>
    <font>
      <b/>
      <sz val="20"/>
      <name val="ＭＳ ゴシック"/>
      <family val="3"/>
      <charset val="128"/>
    </font>
    <font>
      <sz val="9"/>
      <name val="Times New Roman"/>
      <family val="1"/>
    </font>
    <font>
      <sz val="8"/>
      <color indexed="16"/>
      <name val="Century Schoolbook"/>
      <family val="1"/>
    </font>
    <font>
      <b/>
      <i/>
      <sz val="10"/>
      <name val="Times New Roman"/>
      <family val="1"/>
    </font>
    <font>
      <b/>
      <sz val="9"/>
      <name val="Times New Roman"/>
      <family val="1"/>
    </font>
    <font>
      <sz val="11"/>
      <name val="ＭＳ Ｐゴシック"/>
      <family val="3"/>
      <charset val="128"/>
    </font>
    <font>
      <sz val="9"/>
      <name val="ＭＳ Ｐゴシック"/>
      <family val="3"/>
      <charset val="128"/>
    </font>
    <font>
      <sz val="9"/>
      <name val="Arial"/>
      <family val="2"/>
    </font>
    <font>
      <sz val="9"/>
      <name val="ＭＳ ゴシック"/>
      <family val="3"/>
      <charset val="128"/>
    </font>
    <font>
      <sz val="6"/>
      <name val="ＭＳ Ｐゴシック"/>
      <family val="3"/>
      <charset val="128"/>
    </font>
    <font>
      <b/>
      <sz val="7"/>
      <name val="ＭＳ ゴシック"/>
      <family val="3"/>
      <charset val="128"/>
    </font>
    <font>
      <sz val="6"/>
      <name val="ＭＳ ゴシック"/>
      <family val="3"/>
      <charset val="128"/>
    </font>
    <font>
      <sz val="9"/>
      <name val="游ゴシック"/>
      <family val="3"/>
      <charset val="128"/>
      <scheme val="minor"/>
    </font>
    <font>
      <b/>
      <u/>
      <sz val="9"/>
      <name val="游ゴシック"/>
      <family val="3"/>
      <charset val="128"/>
      <scheme val="minor"/>
    </font>
    <font>
      <sz val="9"/>
      <color indexed="32"/>
      <name val="游ゴシック"/>
      <family val="3"/>
      <charset val="128"/>
      <scheme val="minor"/>
    </font>
    <font>
      <b/>
      <sz val="9"/>
      <name val="游ゴシック"/>
      <family val="3"/>
      <charset val="128"/>
      <scheme val="minor"/>
    </font>
    <font>
      <sz val="7"/>
      <name val="游ゴシック"/>
      <family val="3"/>
      <charset val="128"/>
      <scheme val="minor"/>
    </font>
    <font>
      <b/>
      <sz val="7"/>
      <name val="游ゴシック"/>
      <family val="3"/>
      <charset val="128"/>
      <scheme val="minor"/>
    </font>
    <font>
      <b/>
      <sz val="8"/>
      <name val="游ゴシック"/>
      <family val="3"/>
      <charset val="128"/>
      <scheme val="minor"/>
    </font>
    <font>
      <sz val="8"/>
      <name val="游ゴシック"/>
      <family val="3"/>
      <charset val="128"/>
      <scheme val="minor"/>
    </font>
    <font>
      <sz val="9"/>
      <color rgb="FFFF0000"/>
      <name val="游ゴシック"/>
      <family val="3"/>
      <charset val="128"/>
      <scheme val="minor"/>
    </font>
    <font>
      <sz val="8"/>
      <color rgb="FFFF0000"/>
      <name val="游ゴシック"/>
      <family val="3"/>
      <charset val="128"/>
      <scheme val="minor"/>
    </font>
    <font>
      <b/>
      <sz val="10"/>
      <name val="游ゴシック"/>
      <family val="3"/>
      <charset val="128"/>
      <scheme val="minor"/>
    </font>
    <font>
      <sz val="8"/>
      <color theme="1"/>
      <name val="游ゴシック"/>
      <family val="3"/>
      <charset val="128"/>
      <scheme val="minor"/>
    </font>
    <font>
      <b/>
      <sz val="12"/>
      <name val="游ゴシック"/>
      <family val="3"/>
      <charset val="128"/>
      <scheme val="minor"/>
    </font>
    <font>
      <sz val="8"/>
      <color indexed="10"/>
      <name val="游ゴシック"/>
      <family val="3"/>
      <charset val="128"/>
      <scheme val="minor"/>
    </font>
    <font>
      <sz val="8"/>
      <name val="游ゴシック"/>
      <family val="3"/>
      <charset val="128"/>
    </font>
    <font>
      <sz val="8"/>
      <color theme="1"/>
      <name val="游ゴシック"/>
      <family val="3"/>
      <charset val="128"/>
    </font>
    <font>
      <b/>
      <sz val="16"/>
      <name val="游ゴシック"/>
      <family val="3"/>
      <charset val="128"/>
      <scheme val="minor"/>
    </font>
    <font>
      <strike/>
      <sz val="8"/>
      <name val="游ゴシック"/>
      <family val="3"/>
      <charset val="128"/>
      <scheme val="minor"/>
    </font>
    <font>
      <b/>
      <sz val="11"/>
      <name val="ＭＳ Ｐゴシック"/>
      <family val="3"/>
      <charset val="128"/>
    </font>
    <font>
      <b/>
      <sz val="10"/>
      <color rgb="FFFF0000"/>
      <name val="游ゴシック"/>
      <family val="3"/>
      <charset val="128"/>
      <scheme val="minor"/>
    </font>
    <font>
      <b/>
      <sz val="8"/>
      <color rgb="FFFF0000"/>
      <name val="游ゴシック"/>
      <family val="3"/>
      <charset val="128"/>
      <scheme val="minor"/>
    </font>
  </fonts>
  <fills count="15">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44"/>
        <bgColor indexed="64"/>
      </patternFill>
    </fill>
    <fill>
      <patternFill patternType="solid">
        <fgColor indexed="43"/>
        <bgColor indexed="64"/>
      </patternFill>
    </fill>
    <fill>
      <patternFill patternType="solid">
        <fgColor indexed="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rgb="FFCCFFCC"/>
        <bgColor indexed="64"/>
      </patternFill>
    </fill>
    <fill>
      <patternFill patternType="solid">
        <fgColor theme="0" tint="-0.14996795556505021"/>
        <bgColor indexed="64"/>
      </patternFill>
    </fill>
    <fill>
      <patternFill patternType="solid">
        <fgColor theme="2" tint="-0.249977111117893"/>
        <bgColor indexed="64"/>
      </patternFill>
    </fill>
    <fill>
      <patternFill patternType="solid">
        <fgColor theme="0" tint="-4.9989318521683403E-2"/>
        <bgColor indexed="64"/>
      </patternFill>
    </fill>
  </fills>
  <borders count="12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tted">
        <color indexed="64"/>
      </top>
      <bottom style="dotted">
        <color indexed="64"/>
      </bottom>
      <diagonal/>
    </border>
    <border>
      <left/>
      <right style="double">
        <color indexed="64"/>
      </right>
      <top/>
      <bottom/>
      <diagonal/>
    </border>
    <border>
      <left style="double">
        <color indexed="64"/>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hair">
        <color indexed="64"/>
      </right>
      <top style="thin">
        <color indexed="64"/>
      </top>
      <bottom/>
      <diagonal/>
    </border>
    <border>
      <left style="hair">
        <color indexed="64"/>
      </left>
      <right/>
      <top style="thin">
        <color indexed="64"/>
      </top>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thin">
        <color indexed="64"/>
      </right>
      <top/>
      <bottom/>
      <diagonal/>
    </border>
    <border>
      <left/>
      <right/>
      <top style="medium">
        <color indexed="64"/>
      </top>
      <bottom/>
      <diagonal/>
    </border>
    <border>
      <left style="medium">
        <color indexed="64"/>
      </left>
      <right style="thin">
        <color indexed="64"/>
      </right>
      <top/>
      <bottom/>
      <diagonal/>
    </border>
    <border>
      <left style="dashed">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diagonal/>
    </border>
    <border>
      <left/>
      <right/>
      <top/>
      <bottom style="dashed">
        <color indexed="64"/>
      </bottom>
      <diagonal/>
    </border>
    <border>
      <left/>
      <right style="thin">
        <color indexed="64"/>
      </right>
      <top/>
      <bottom style="dashed">
        <color indexed="64"/>
      </bottom>
      <diagonal/>
    </border>
    <border>
      <left style="dashed">
        <color indexed="64"/>
      </left>
      <right style="dashed">
        <color indexed="64"/>
      </right>
      <top/>
      <bottom style="dashed">
        <color indexed="64"/>
      </bottom>
      <diagonal/>
    </border>
    <border>
      <left style="thin">
        <color indexed="64"/>
      </left>
      <right style="dashed">
        <color indexed="64"/>
      </right>
      <top style="dashed">
        <color indexed="64"/>
      </top>
      <bottom style="dashed">
        <color indexed="64"/>
      </bottom>
      <diagonal/>
    </border>
    <border>
      <left/>
      <right style="dashed">
        <color indexed="64"/>
      </right>
      <top style="dashed">
        <color indexed="64"/>
      </top>
      <bottom style="dashed">
        <color indexed="64"/>
      </bottom>
      <diagonal/>
    </border>
    <border>
      <left style="dashed">
        <color indexed="64"/>
      </left>
      <right style="thin">
        <color indexed="64"/>
      </right>
      <top style="dashed">
        <color indexed="64"/>
      </top>
      <bottom style="dashed">
        <color indexed="64"/>
      </bottom>
      <diagonal/>
    </border>
    <border>
      <left style="dashed">
        <color indexed="64"/>
      </left>
      <right/>
      <top style="dashed">
        <color indexed="64"/>
      </top>
      <bottom style="dashed">
        <color indexed="64"/>
      </bottom>
      <diagonal/>
    </border>
    <border>
      <left style="thin">
        <color indexed="64"/>
      </left>
      <right/>
      <top style="dashed">
        <color indexed="64"/>
      </top>
      <bottom style="dashed">
        <color indexed="64"/>
      </bottom>
      <diagonal/>
    </border>
    <border>
      <left style="dashed">
        <color indexed="64"/>
      </left>
      <right/>
      <top style="dashed">
        <color indexed="64"/>
      </top>
      <bottom/>
      <diagonal/>
    </border>
    <border>
      <left style="thin">
        <color indexed="64"/>
      </left>
      <right/>
      <top style="dashed">
        <color indexed="64"/>
      </top>
      <bottom/>
      <diagonal/>
    </border>
    <border>
      <left style="thin">
        <color indexed="64"/>
      </left>
      <right style="dashed">
        <color indexed="64"/>
      </right>
      <top style="dashed">
        <color indexed="64"/>
      </top>
      <bottom/>
      <diagonal/>
    </border>
    <border>
      <left style="dashed">
        <color indexed="64"/>
      </left>
      <right style="thin">
        <color indexed="64"/>
      </right>
      <top style="dashed">
        <color indexed="64"/>
      </top>
      <bottom/>
      <diagonal/>
    </border>
    <border>
      <left/>
      <right style="dashed">
        <color indexed="64"/>
      </right>
      <top style="dashed">
        <color indexed="64"/>
      </top>
      <bottom/>
      <diagonal/>
    </border>
    <border>
      <left/>
      <right style="dashed">
        <color indexed="64"/>
      </right>
      <top/>
      <bottom style="dashed">
        <color indexed="64"/>
      </bottom>
      <diagonal/>
    </border>
    <border>
      <left style="dashed">
        <color indexed="64"/>
      </left>
      <right style="thin">
        <color indexed="64"/>
      </right>
      <top/>
      <bottom style="dashed">
        <color indexed="64"/>
      </bottom>
      <diagonal/>
    </border>
    <border>
      <left style="thin">
        <color indexed="64"/>
      </left>
      <right style="dashed">
        <color indexed="64"/>
      </right>
      <top/>
      <bottom style="dashed">
        <color indexed="64"/>
      </bottom>
      <diagonal/>
    </border>
    <border>
      <left style="dashed">
        <color indexed="64"/>
      </left>
      <right/>
      <top/>
      <bottom style="dashed">
        <color indexed="64"/>
      </bottom>
      <diagonal/>
    </border>
    <border>
      <left style="thin">
        <color indexed="64"/>
      </left>
      <right/>
      <top/>
      <bottom style="dashed">
        <color indexed="64"/>
      </bottom>
      <diagonal/>
    </border>
    <border>
      <left/>
      <right/>
      <top style="dashed">
        <color indexed="64"/>
      </top>
      <bottom/>
      <diagonal/>
    </border>
    <border>
      <left/>
      <right/>
      <top style="dashed">
        <color indexed="64"/>
      </top>
      <bottom style="dashed">
        <color indexed="64"/>
      </bottom>
      <diagonal/>
    </border>
    <border>
      <left style="thin">
        <color indexed="64"/>
      </left>
      <right style="thin">
        <color indexed="64"/>
      </right>
      <top/>
      <bottom style="dashed">
        <color indexed="64"/>
      </bottom>
      <diagonal/>
    </border>
    <border>
      <left style="thin">
        <color indexed="64"/>
      </left>
      <right style="thin">
        <color indexed="64"/>
      </right>
      <top style="dashed">
        <color indexed="64"/>
      </top>
      <bottom style="dashed">
        <color indexed="64"/>
      </bottom>
      <diagonal/>
    </border>
    <border>
      <left/>
      <right style="dashed">
        <color indexed="64"/>
      </right>
      <top style="medium">
        <color indexed="64"/>
      </top>
      <bottom style="dashed">
        <color indexed="64"/>
      </bottom>
      <diagonal/>
    </border>
    <border>
      <left style="dashed">
        <color indexed="64"/>
      </left>
      <right style="dashed">
        <color indexed="64"/>
      </right>
      <top style="medium">
        <color indexed="64"/>
      </top>
      <bottom style="dashed">
        <color indexed="64"/>
      </bottom>
      <diagonal/>
    </border>
    <border>
      <left style="dashed">
        <color indexed="64"/>
      </left>
      <right/>
      <top style="medium">
        <color indexed="64"/>
      </top>
      <bottom style="dashed">
        <color indexed="64"/>
      </bottom>
      <diagonal/>
    </border>
    <border>
      <left style="thin">
        <color indexed="64"/>
      </left>
      <right style="dashed">
        <color indexed="64"/>
      </right>
      <top style="medium">
        <color indexed="64"/>
      </top>
      <bottom style="dashed">
        <color indexed="64"/>
      </bottom>
      <diagonal/>
    </border>
    <border>
      <left style="dashed">
        <color indexed="64"/>
      </left>
      <right style="thin">
        <color indexed="64"/>
      </right>
      <top style="medium">
        <color indexed="64"/>
      </top>
      <bottom style="dashed">
        <color indexed="64"/>
      </bottom>
      <diagonal/>
    </border>
    <border>
      <left style="thin">
        <color indexed="64"/>
      </left>
      <right/>
      <top style="medium">
        <color indexed="64"/>
      </top>
      <bottom style="dashed">
        <color indexed="64"/>
      </bottom>
      <diagonal/>
    </border>
    <border>
      <left/>
      <right/>
      <top style="medium">
        <color indexed="64"/>
      </top>
      <bottom style="dashed">
        <color indexed="64"/>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thin">
        <color indexed="64"/>
      </left>
      <right style="medium">
        <color indexed="64"/>
      </right>
      <top/>
      <bottom style="dashed">
        <color indexed="64"/>
      </bottom>
      <diagonal/>
    </border>
    <border>
      <left style="thin">
        <color indexed="64"/>
      </left>
      <right style="medium">
        <color indexed="64"/>
      </right>
      <top style="dashed">
        <color indexed="64"/>
      </top>
      <bottom style="dashed">
        <color indexed="64"/>
      </bottom>
      <diagonal/>
    </border>
    <border>
      <left style="thin">
        <color indexed="64"/>
      </left>
      <right style="medium">
        <color indexed="64"/>
      </right>
      <top style="dashed">
        <color indexed="64"/>
      </top>
      <bottom/>
      <diagonal/>
    </border>
    <border>
      <left style="medium">
        <color indexed="64"/>
      </left>
      <right/>
      <top/>
      <bottom style="dashed">
        <color indexed="64"/>
      </bottom>
      <diagonal/>
    </border>
    <border>
      <left style="thin">
        <color indexed="64"/>
      </left>
      <right style="medium">
        <color indexed="64"/>
      </right>
      <top/>
      <bottom/>
      <diagonal/>
    </border>
    <border>
      <left style="medium">
        <color indexed="64"/>
      </left>
      <right/>
      <top style="dashed">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top style="dashed">
        <color indexed="64"/>
      </top>
      <bottom style="medium">
        <color indexed="64"/>
      </bottom>
      <diagonal/>
    </border>
    <border>
      <left style="thin">
        <color indexed="64"/>
      </left>
      <right style="dashed">
        <color indexed="64"/>
      </right>
      <top style="dashed">
        <color indexed="64"/>
      </top>
      <bottom style="medium">
        <color indexed="64"/>
      </bottom>
      <diagonal/>
    </border>
    <border>
      <left style="dashed">
        <color indexed="64"/>
      </left>
      <right style="dashed">
        <color indexed="64"/>
      </right>
      <top style="dashed">
        <color indexed="64"/>
      </top>
      <bottom style="medium">
        <color indexed="64"/>
      </bottom>
      <diagonal/>
    </border>
    <border>
      <left style="dashed">
        <color indexed="64"/>
      </left>
      <right style="thin">
        <color indexed="64"/>
      </right>
      <top style="dashed">
        <color indexed="64"/>
      </top>
      <bottom style="medium">
        <color indexed="64"/>
      </bottom>
      <diagonal/>
    </border>
    <border>
      <left/>
      <right style="dashed">
        <color indexed="64"/>
      </right>
      <top/>
      <bottom style="medium">
        <color indexed="64"/>
      </bottom>
      <diagonal/>
    </border>
    <border>
      <left style="dashed">
        <color indexed="64"/>
      </left>
      <right style="dashed">
        <color indexed="64"/>
      </right>
      <top/>
      <bottom style="medium">
        <color indexed="64"/>
      </bottom>
      <diagonal/>
    </border>
    <border>
      <left style="dashed">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dashed">
        <color indexed="64"/>
      </left>
      <right/>
      <top style="dashed">
        <color indexed="64"/>
      </top>
      <bottom style="medium">
        <color indexed="64"/>
      </bottom>
      <diagonal/>
    </border>
    <border>
      <left style="thin">
        <color indexed="64"/>
      </left>
      <right style="thin">
        <color indexed="64"/>
      </right>
      <top style="dashed">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dotted">
        <color indexed="64"/>
      </left>
      <right/>
      <top/>
      <bottom/>
      <diagonal/>
    </border>
    <border>
      <left style="dotted">
        <color indexed="64"/>
      </left>
      <right style="thin">
        <color indexed="64"/>
      </right>
      <top style="dashed">
        <color indexed="64"/>
      </top>
      <bottom/>
      <diagonal/>
    </border>
    <border>
      <left style="medium">
        <color indexed="64"/>
      </left>
      <right style="thin">
        <color indexed="64"/>
      </right>
      <top style="dashed">
        <color indexed="64"/>
      </top>
      <bottom/>
      <diagonal/>
    </border>
    <border>
      <left style="thin">
        <color indexed="64"/>
      </left>
      <right style="thin">
        <color indexed="64"/>
      </right>
      <top style="dashed">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style="dashed">
        <color indexed="64"/>
      </bottom>
      <diagonal/>
    </border>
    <border>
      <left style="medium">
        <color indexed="64"/>
      </left>
      <right/>
      <top/>
      <bottom/>
      <diagonal/>
    </border>
    <border>
      <left style="thin">
        <color indexed="64"/>
      </left>
      <right style="thin">
        <color indexed="64"/>
      </right>
      <top style="medium">
        <color indexed="64"/>
      </top>
      <bottom style="dashed">
        <color indexed="64"/>
      </bottom>
      <diagonal/>
    </border>
    <border>
      <left/>
      <right style="medium">
        <color indexed="64"/>
      </right>
      <top style="dashed">
        <color indexed="64"/>
      </top>
      <bottom style="dashed">
        <color indexed="64"/>
      </bottom>
      <diagonal/>
    </border>
    <border>
      <left style="medium">
        <color indexed="64"/>
      </left>
      <right style="thin">
        <color indexed="64"/>
      </right>
      <top/>
      <bottom style="dashed">
        <color indexed="64"/>
      </bottom>
      <diagonal/>
    </border>
    <border>
      <left style="thin">
        <color indexed="64"/>
      </left>
      <right/>
      <top style="medium">
        <color indexed="64"/>
      </top>
      <bottom/>
      <diagonal/>
    </border>
    <border>
      <left style="medium">
        <color indexed="64"/>
      </left>
      <right/>
      <top style="dashed">
        <color indexed="64"/>
      </top>
      <bottom style="dashed">
        <color indexed="64"/>
      </bottom>
      <diagonal/>
    </border>
    <border>
      <left/>
      <right style="medium">
        <color indexed="64"/>
      </right>
      <top style="medium">
        <color indexed="64"/>
      </top>
      <bottom style="dashed">
        <color indexed="64"/>
      </bottom>
      <diagonal/>
    </border>
    <border>
      <left style="medium">
        <color indexed="64"/>
      </left>
      <right style="dashed">
        <color indexed="64"/>
      </right>
      <top style="medium">
        <color indexed="64"/>
      </top>
      <bottom style="dashed">
        <color indexed="64"/>
      </bottom>
      <diagonal/>
    </border>
    <border>
      <left/>
      <right style="dashed">
        <color indexed="64"/>
      </right>
      <top style="dashed">
        <color indexed="64"/>
      </top>
      <bottom style="medium">
        <color indexed="64"/>
      </bottom>
      <diagonal/>
    </border>
    <border>
      <left style="thin">
        <color indexed="64"/>
      </left>
      <right style="medium">
        <color indexed="64"/>
      </right>
      <top style="medium">
        <color indexed="64"/>
      </top>
      <bottom style="dashed">
        <color indexed="64"/>
      </bottom>
      <diagonal/>
    </border>
    <border>
      <left style="medium">
        <color indexed="64"/>
      </left>
      <right style="dashed">
        <color indexed="64"/>
      </right>
      <top style="dashed">
        <color indexed="64"/>
      </top>
      <bottom style="dashed">
        <color indexed="64"/>
      </bottom>
      <diagonal/>
    </border>
    <border>
      <left style="medium">
        <color indexed="64"/>
      </left>
      <right/>
      <top style="medium">
        <color indexed="64"/>
      </top>
      <bottom style="dashed">
        <color indexed="64"/>
      </bottom>
      <diagonal/>
    </border>
    <border>
      <left style="thin">
        <color indexed="64"/>
      </left>
      <right/>
      <top/>
      <bottom style="medium">
        <color indexed="64"/>
      </bottom>
      <diagonal/>
    </border>
    <border>
      <left style="medium">
        <color indexed="64"/>
      </left>
      <right style="dashed">
        <color indexed="64"/>
      </right>
      <top style="medium">
        <color indexed="64"/>
      </top>
      <bottom/>
      <diagonal/>
    </border>
    <border>
      <left style="medium">
        <color indexed="64"/>
      </left>
      <right style="dashed">
        <color indexed="64"/>
      </right>
      <top/>
      <bottom style="medium">
        <color indexed="64"/>
      </bottom>
      <diagonal/>
    </border>
    <border>
      <left style="dashed">
        <color indexed="64"/>
      </left>
      <right style="dashed">
        <color indexed="64"/>
      </right>
      <top style="medium">
        <color indexed="64"/>
      </top>
      <bottom/>
      <diagonal/>
    </border>
    <border>
      <left style="dashed">
        <color indexed="64"/>
      </left>
      <right style="thin">
        <color indexed="64"/>
      </right>
      <top style="medium">
        <color indexed="64"/>
      </top>
      <bottom/>
      <diagonal/>
    </border>
    <border>
      <left style="dashed">
        <color indexed="64"/>
      </left>
      <right style="thin">
        <color indexed="64"/>
      </right>
      <top/>
      <bottom style="medium">
        <color indexed="64"/>
      </bottom>
      <diagonal/>
    </border>
    <border>
      <left style="medium">
        <color indexed="64"/>
      </left>
      <right/>
      <top style="dashed">
        <color indexed="64"/>
      </top>
      <bottom style="medium">
        <color indexed="64"/>
      </bottom>
      <diagonal/>
    </border>
    <border>
      <left/>
      <right style="medium">
        <color indexed="64"/>
      </right>
      <top/>
      <bottom style="dashed">
        <color indexed="64"/>
      </bottom>
      <diagonal/>
    </border>
    <border>
      <left/>
      <right style="thin">
        <color indexed="64"/>
      </right>
      <top style="dashed">
        <color indexed="64"/>
      </top>
      <bottom style="medium">
        <color indexed="64"/>
      </bottom>
      <diagonal/>
    </border>
    <border>
      <left style="dotted">
        <color indexed="64"/>
      </left>
      <right style="thin">
        <color indexed="64"/>
      </right>
      <top/>
      <bottom/>
      <diagonal/>
    </border>
    <border>
      <left style="dotted">
        <color indexed="64"/>
      </left>
      <right/>
      <top style="dashed">
        <color indexed="64"/>
      </top>
      <bottom/>
      <diagonal/>
    </border>
    <border>
      <left style="medium">
        <color indexed="64"/>
      </left>
      <right style="thin">
        <color indexed="64"/>
      </right>
      <top style="dashed">
        <color indexed="64"/>
      </top>
      <bottom style="dashed">
        <color indexed="64"/>
      </bottom>
      <diagonal/>
    </border>
    <border>
      <left style="medium">
        <color indexed="64"/>
      </left>
      <right style="thin">
        <color indexed="64"/>
      </right>
      <top style="dashed">
        <color indexed="64"/>
      </top>
      <bottom style="medium">
        <color indexed="64"/>
      </bottom>
      <diagonal/>
    </border>
    <border>
      <left style="dotted">
        <color indexed="64"/>
      </left>
      <right style="thin">
        <color indexed="64"/>
      </right>
      <top style="dashed">
        <color indexed="64"/>
      </top>
      <bottom style="dashed">
        <color indexed="64"/>
      </bottom>
      <diagonal/>
    </border>
    <border>
      <left style="thin">
        <color indexed="64"/>
      </left>
      <right style="thin">
        <color indexed="64"/>
      </right>
      <top style="thin">
        <color indexed="64"/>
      </top>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s>
  <cellStyleXfs count="22">
    <xf numFmtId="0" fontId="0" fillId="0" borderId="0"/>
    <xf numFmtId="177" fontId="6" fillId="0" borderId="0" applyFill="0" applyBorder="0" applyAlignment="0"/>
    <xf numFmtId="0" fontId="15" fillId="0" borderId="0">
      <alignment horizontal="left"/>
    </xf>
    <xf numFmtId="38" fontId="7" fillId="2" borderId="0" applyNumberFormat="0" applyBorder="0" applyAlignment="0" applyProtection="0"/>
    <xf numFmtId="0" fontId="8" fillId="0" borderId="1" applyNumberFormat="0" applyAlignment="0" applyProtection="0">
      <alignment horizontal="left" vertical="center"/>
    </xf>
    <xf numFmtId="0" fontId="8" fillId="0" borderId="2">
      <alignment horizontal="left" vertical="center"/>
    </xf>
    <xf numFmtId="10" fontId="7" fillId="3" borderId="3" applyNumberFormat="0" applyBorder="0" applyAlignment="0" applyProtection="0"/>
    <xf numFmtId="178" fontId="9" fillId="0" borderId="0"/>
    <xf numFmtId="0" fontId="10" fillId="0" borderId="0"/>
    <xf numFmtId="10" fontId="10" fillId="0" borderId="0" applyFont="0" applyFill="0" applyBorder="0" applyAlignment="0" applyProtection="0"/>
    <xf numFmtId="4" fontId="15" fillId="0" borderId="0">
      <alignment horizontal="right"/>
    </xf>
    <xf numFmtId="4" fontId="16" fillId="0" borderId="0">
      <alignment horizontal="right"/>
    </xf>
    <xf numFmtId="0" fontId="17" fillId="0" borderId="0">
      <alignment horizontal="left"/>
    </xf>
    <xf numFmtId="0" fontId="18" fillId="0" borderId="0">
      <alignment horizontal="center"/>
    </xf>
    <xf numFmtId="0" fontId="11" fillId="0" borderId="0">
      <alignment vertical="center"/>
    </xf>
    <xf numFmtId="0" fontId="19" fillId="0" borderId="4"/>
    <xf numFmtId="0" fontId="22" fillId="0" borderId="0"/>
    <xf numFmtId="0" fontId="20" fillId="0" borderId="0"/>
    <xf numFmtId="0" fontId="1" fillId="0" borderId="0"/>
    <xf numFmtId="0" fontId="1" fillId="0" borderId="0"/>
    <xf numFmtId="0" fontId="1" fillId="0" borderId="0"/>
    <xf numFmtId="0" fontId="19" fillId="0" borderId="0"/>
  </cellStyleXfs>
  <cellXfs count="572">
    <xf numFmtId="0" fontId="0" fillId="0" borderId="0" xfId="0"/>
    <xf numFmtId="0" fontId="1" fillId="0" borderId="0" xfId="19"/>
    <xf numFmtId="14" fontId="1" fillId="0" borderId="0" xfId="19" applyNumberFormat="1"/>
    <xf numFmtId="0" fontId="12" fillId="0" borderId="0" xfId="19" applyFont="1"/>
    <xf numFmtId="0" fontId="13" fillId="0" borderId="0" xfId="19" applyFont="1" applyAlignment="1">
      <alignment horizontal="center"/>
    </xf>
    <xf numFmtId="0" fontId="26" fillId="4" borderId="0" xfId="21" applyFont="1" applyFill="1" applyAlignment="1">
      <alignment vertical="center"/>
    </xf>
    <xf numFmtId="49" fontId="26" fillId="4" borderId="0" xfId="21" applyNumberFormat="1" applyFont="1" applyFill="1" applyAlignment="1">
      <alignment vertical="center"/>
    </xf>
    <xf numFmtId="0" fontId="26" fillId="0" borderId="0" xfId="21" applyFont="1" applyAlignment="1">
      <alignment vertical="center"/>
    </xf>
    <xf numFmtId="0" fontId="26" fillId="4" borderId="16" xfId="21" applyFont="1" applyFill="1" applyBorder="1" applyAlignment="1">
      <alignment vertical="center"/>
    </xf>
    <xf numFmtId="0" fontId="26" fillId="4" borderId="17" xfId="21" applyFont="1" applyFill="1" applyBorder="1" applyAlignment="1">
      <alignment vertical="center"/>
    </xf>
    <xf numFmtId="0" fontId="26" fillId="4" borderId="18" xfId="21" applyFont="1" applyFill="1" applyBorder="1" applyAlignment="1">
      <alignment vertical="center"/>
    </xf>
    <xf numFmtId="179" fontId="26" fillId="4" borderId="19" xfId="21" applyNumberFormat="1" applyFont="1" applyFill="1" applyBorder="1" applyAlignment="1">
      <alignment vertical="center"/>
    </xf>
    <xf numFmtId="0" fontId="26" fillId="4" borderId="20" xfId="21" applyFont="1" applyFill="1" applyBorder="1" applyAlignment="1">
      <alignment vertical="center"/>
    </xf>
    <xf numFmtId="14" fontId="26" fillId="4" borderId="20" xfId="21" applyNumberFormat="1" applyFont="1" applyFill="1" applyBorder="1" applyAlignment="1">
      <alignment vertical="center"/>
    </xf>
    <xf numFmtId="0" fontId="26" fillId="4" borderId="21" xfId="21" applyFont="1" applyFill="1" applyBorder="1" applyAlignment="1">
      <alignment vertical="center"/>
    </xf>
    <xf numFmtId="0" fontId="26" fillId="4" borderId="22" xfId="21" applyFont="1" applyFill="1" applyBorder="1" applyAlignment="1">
      <alignment horizontal="left" vertical="center"/>
    </xf>
    <xf numFmtId="0" fontId="27" fillId="4" borderId="0" xfId="21" applyFont="1" applyFill="1" applyAlignment="1">
      <alignment vertical="center"/>
    </xf>
    <xf numFmtId="0" fontId="26" fillId="4" borderId="23" xfId="21" applyFont="1" applyFill="1" applyBorder="1" applyAlignment="1">
      <alignment vertical="center"/>
    </xf>
    <xf numFmtId="0" fontId="26" fillId="4" borderId="22" xfId="21" applyFont="1" applyFill="1" applyBorder="1" applyAlignment="1">
      <alignment vertical="center"/>
    </xf>
    <xf numFmtId="0" fontId="26" fillId="0" borderId="22" xfId="21" applyFont="1" applyBorder="1" applyAlignment="1">
      <alignment vertical="center"/>
    </xf>
    <xf numFmtId="0" fontId="26" fillId="0" borderId="23" xfId="21" applyFont="1" applyBorder="1" applyAlignment="1">
      <alignment horizontal="left" vertical="center"/>
    </xf>
    <xf numFmtId="0" fontId="26" fillId="4" borderId="23" xfId="21" applyFont="1" applyFill="1" applyBorder="1" applyAlignment="1">
      <alignment horizontal="left" vertical="center"/>
    </xf>
    <xf numFmtId="49" fontId="26" fillId="4" borderId="17" xfId="21" applyNumberFormat="1" applyFont="1" applyFill="1" applyBorder="1" applyAlignment="1">
      <alignment horizontal="left" vertical="center"/>
    </xf>
    <xf numFmtId="0" fontId="26" fillId="4" borderId="17" xfId="21" applyFont="1" applyFill="1" applyBorder="1" applyAlignment="1">
      <alignment horizontal="left" vertical="center"/>
    </xf>
    <xf numFmtId="0" fontId="26" fillId="4" borderId="24" xfId="21" applyFont="1" applyFill="1" applyBorder="1" applyAlignment="1">
      <alignment horizontal="left" vertical="center"/>
    </xf>
    <xf numFmtId="20" fontId="26" fillId="4" borderId="17" xfId="21" applyNumberFormat="1" applyFont="1" applyFill="1" applyBorder="1" applyAlignment="1">
      <alignment vertical="center"/>
    </xf>
    <xf numFmtId="0" fontId="26" fillId="4" borderId="24" xfId="21" applyFont="1" applyFill="1" applyBorder="1" applyAlignment="1">
      <alignment vertical="center"/>
    </xf>
    <xf numFmtId="0" fontId="26" fillId="4" borderId="26" xfId="21" applyFont="1" applyFill="1" applyBorder="1" applyAlignment="1">
      <alignment vertical="center"/>
    </xf>
    <xf numFmtId="49" fontId="26" fillId="4" borderId="27" xfId="21" applyNumberFormat="1" applyFont="1" applyFill="1" applyBorder="1" applyAlignment="1">
      <alignment vertical="center"/>
    </xf>
    <xf numFmtId="0" fontId="26" fillId="4" borderId="20" xfId="21" applyFont="1" applyFill="1" applyBorder="1" applyAlignment="1">
      <alignment horizontal="center" vertical="center"/>
    </xf>
    <xf numFmtId="0" fontId="26" fillId="4" borderId="26" xfId="21" applyFont="1" applyFill="1" applyBorder="1" applyAlignment="1">
      <alignment horizontal="center" vertical="center"/>
    </xf>
    <xf numFmtId="14" fontId="26" fillId="4" borderId="0" xfId="21" applyNumberFormat="1" applyFont="1" applyFill="1" applyAlignment="1">
      <alignment vertical="center"/>
    </xf>
    <xf numFmtId="0" fontId="26" fillId="4" borderId="0" xfId="17" applyFont="1" applyFill="1" applyAlignment="1">
      <alignment vertical="center"/>
    </xf>
    <xf numFmtId="49" fontId="26" fillId="4" borderId="20" xfId="21" applyNumberFormat="1" applyFont="1" applyFill="1" applyBorder="1" applyAlignment="1">
      <alignment vertical="center"/>
    </xf>
    <xf numFmtId="0" fontId="26" fillId="4" borderId="20" xfId="17" applyFont="1" applyFill="1" applyBorder="1" applyAlignment="1">
      <alignment vertical="center"/>
    </xf>
    <xf numFmtId="0" fontId="26" fillId="4" borderId="19" xfId="21" applyFont="1" applyFill="1" applyBorder="1" applyAlignment="1">
      <alignment vertical="center"/>
    </xf>
    <xf numFmtId="0" fontId="26" fillId="4" borderId="0" xfId="21" applyFont="1" applyFill="1" applyAlignment="1">
      <alignment horizontal="left" vertical="center"/>
    </xf>
    <xf numFmtId="0" fontId="26" fillId="0" borderId="0" xfId="21" applyFont="1" applyAlignment="1">
      <alignment horizontal="left" vertical="center"/>
    </xf>
    <xf numFmtId="49" fontId="26" fillId="0" borderId="0" xfId="21" applyNumberFormat="1" applyFont="1" applyAlignment="1">
      <alignment horizontal="left" vertical="center"/>
    </xf>
    <xf numFmtId="49" fontId="26" fillId="0" borderId="0" xfId="21" applyNumberFormat="1" applyFont="1" applyAlignment="1">
      <alignment vertical="center"/>
    </xf>
    <xf numFmtId="20" fontId="26" fillId="0" borderId="0" xfId="21" applyNumberFormat="1" applyFont="1" applyAlignment="1">
      <alignment vertical="center"/>
    </xf>
    <xf numFmtId="49" fontId="26" fillId="0" borderId="0" xfId="21" applyNumberFormat="1" applyFont="1"/>
    <xf numFmtId="0" fontId="26" fillId="0" borderId="0" xfId="21" applyFont="1"/>
    <xf numFmtId="0" fontId="26" fillId="0" borderId="0" xfId="21" applyFont="1" applyAlignment="1">
      <alignment horizontal="left"/>
    </xf>
    <xf numFmtId="0" fontId="26" fillId="0" borderId="0" xfId="21" applyFont="1" applyAlignment="1">
      <alignment horizontal="centerContinuous"/>
    </xf>
    <xf numFmtId="0" fontId="32" fillId="7" borderId="0" xfId="16" applyFont="1" applyFill="1" applyAlignment="1">
      <alignment vertical="top" wrapText="1"/>
    </xf>
    <xf numFmtId="0" fontId="33" fillId="7" borderId="0" xfId="16" applyFont="1" applyFill="1" applyAlignment="1">
      <alignment vertical="top" wrapText="1"/>
    </xf>
    <xf numFmtId="0" fontId="33" fillId="0" borderId="31" xfId="16" applyFont="1" applyBorder="1" applyAlignment="1">
      <alignment horizontal="center" vertical="center" wrapText="1"/>
    </xf>
    <xf numFmtId="0" fontId="33" fillId="0" borderId="31" xfId="16" quotePrefix="1" applyFont="1" applyBorder="1" applyAlignment="1">
      <alignment horizontal="center" vertical="center" wrapText="1"/>
    </xf>
    <xf numFmtId="176" fontId="33" fillId="0" borderId="31" xfId="16" applyNumberFormat="1" applyFont="1" applyBorder="1" applyAlignment="1">
      <alignment horizontal="center" vertical="center" wrapText="1"/>
    </xf>
    <xf numFmtId="0" fontId="33" fillId="9" borderId="31" xfId="16" quotePrefix="1" applyFont="1" applyFill="1" applyBorder="1" applyAlignment="1">
      <alignment horizontal="center" vertical="center" wrapText="1"/>
    </xf>
    <xf numFmtId="176" fontId="33" fillId="9" borderId="31" xfId="16" applyNumberFormat="1" applyFont="1" applyFill="1" applyBorder="1" applyAlignment="1">
      <alignment horizontal="center" vertical="center" wrapText="1"/>
    </xf>
    <xf numFmtId="0" fontId="33" fillId="0" borderId="32" xfId="16" applyFont="1" applyBorder="1" applyAlignment="1">
      <alignment horizontal="center" vertical="center" wrapText="1"/>
    </xf>
    <xf numFmtId="0" fontId="33" fillId="0" borderId="32" xfId="16" quotePrefix="1" applyFont="1" applyBorder="1" applyAlignment="1">
      <alignment horizontal="center" vertical="center" wrapText="1"/>
    </xf>
    <xf numFmtId="176" fontId="33" fillId="0" borderId="32" xfId="16" applyNumberFormat="1" applyFont="1" applyBorder="1" applyAlignment="1">
      <alignment horizontal="center" vertical="center" wrapText="1"/>
    </xf>
    <xf numFmtId="0" fontId="32" fillId="7" borderId="33" xfId="16" applyFont="1" applyFill="1" applyBorder="1" applyAlignment="1">
      <alignment horizontal="right" vertical="top" wrapText="1"/>
    </xf>
    <xf numFmtId="0" fontId="33" fillId="7" borderId="33" xfId="16" applyFont="1" applyFill="1" applyBorder="1" applyAlignment="1">
      <alignment vertical="top" wrapText="1"/>
    </xf>
    <xf numFmtId="0" fontId="33" fillId="0" borderId="35" xfId="16" applyFont="1" applyBorder="1" applyAlignment="1">
      <alignment horizontal="center" vertical="center" wrapText="1"/>
    </xf>
    <xf numFmtId="0" fontId="33" fillId="0" borderId="35" xfId="16" quotePrefix="1" applyFont="1" applyBorder="1" applyAlignment="1">
      <alignment horizontal="center" vertical="center" wrapText="1"/>
    </xf>
    <xf numFmtId="176" fontId="33" fillId="0" borderId="35" xfId="16" applyNumberFormat="1" applyFont="1" applyBorder="1" applyAlignment="1">
      <alignment horizontal="center" vertical="center" wrapText="1"/>
    </xf>
    <xf numFmtId="0" fontId="33" fillId="10" borderId="0" xfId="16" applyFont="1" applyFill="1" applyAlignment="1">
      <alignment vertical="top" wrapText="1"/>
    </xf>
    <xf numFmtId="0" fontId="33" fillId="0" borderId="37" xfId="16" applyFont="1" applyBorder="1" applyAlignment="1">
      <alignment horizontal="center" vertical="center" wrapText="1"/>
    </xf>
    <xf numFmtId="0" fontId="33" fillId="0" borderId="38" xfId="16" quotePrefix="1" applyFont="1" applyBorder="1" applyAlignment="1">
      <alignment horizontal="center" vertical="center" wrapText="1"/>
    </xf>
    <xf numFmtId="0" fontId="33" fillId="9" borderId="38" xfId="16" quotePrefix="1" applyFont="1" applyFill="1" applyBorder="1" applyAlignment="1">
      <alignment horizontal="center" vertical="center" wrapText="1"/>
    </xf>
    <xf numFmtId="176" fontId="33" fillId="0" borderId="36" xfId="16" applyNumberFormat="1" applyFont="1" applyBorder="1" applyAlignment="1">
      <alignment horizontal="center" vertical="center" wrapText="1"/>
    </xf>
    <xf numFmtId="176" fontId="33" fillId="9" borderId="36" xfId="16" applyNumberFormat="1" applyFont="1" applyFill="1" applyBorder="1" applyAlignment="1">
      <alignment horizontal="center" vertical="center" wrapText="1"/>
    </xf>
    <xf numFmtId="176" fontId="33" fillId="0" borderId="39" xfId="16" applyNumberFormat="1" applyFont="1" applyBorder="1" applyAlignment="1">
      <alignment horizontal="center" vertical="center" wrapText="1"/>
    </xf>
    <xf numFmtId="176" fontId="33" fillId="9" borderId="39" xfId="16" applyNumberFormat="1" applyFont="1" applyFill="1" applyBorder="1" applyAlignment="1">
      <alignment horizontal="center" vertical="center" wrapText="1"/>
    </xf>
    <xf numFmtId="0" fontId="33" fillId="0" borderId="40" xfId="16" applyFont="1" applyBorder="1" applyAlignment="1">
      <alignment horizontal="center" vertical="center" wrapText="1"/>
    </xf>
    <xf numFmtId="0" fontId="33" fillId="9" borderId="40" xfId="16" applyFont="1" applyFill="1" applyBorder="1" applyAlignment="1">
      <alignment horizontal="center" vertical="center" wrapText="1"/>
    </xf>
    <xf numFmtId="0" fontId="33" fillId="0" borderId="42" xfId="16" applyFont="1" applyBorder="1" applyAlignment="1">
      <alignment horizontal="center" vertical="center" wrapText="1"/>
    </xf>
    <xf numFmtId="0" fontId="32" fillId="7" borderId="28" xfId="16" applyFont="1" applyFill="1" applyBorder="1" applyAlignment="1">
      <alignment vertical="top"/>
    </xf>
    <xf numFmtId="0" fontId="33" fillId="0" borderId="44" xfId="16" quotePrefix="1" applyFont="1" applyBorder="1" applyAlignment="1">
      <alignment horizontal="center" vertical="center" wrapText="1"/>
    </xf>
    <xf numFmtId="176" fontId="33" fillId="0" borderId="43" xfId="16" applyNumberFormat="1" applyFont="1" applyBorder="1" applyAlignment="1">
      <alignment horizontal="center" vertical="center" wrapText="1"/>
    </xf>
    <xf numFmtId="176" fontId="33" fillId="0" borderId="41" xfId="16" applyNumberFormat="1" applyFont="1" applyBorder="1" applyAlignment="1">
      <alignment horizontal="center" vertical="center" wrapText="1"/>
    </xf>
    <xf numFmtId="0" fontId="32" fillId="7" borderId="36" xfId="16" applyFont="1" applyFill="1" applyBorder="1" applyAlignment="1">
      <alignment wrapText="1"/>
    </xf>
    <xf numFmtId="0" fontId="32" fillId="7" borderId="31" xfId="16" applyFont="1" applyFill="1" applyBorder="1" applyAlignment="1">
      <alignment wrapText="1"/>
    </xf>
    <xf numFmtId="0" fontId="32" fillId="7" borderId="38" xfId="16" applyFont="1" applyFill="1" applyBorder="1" applyAlignment="1">
      <alignment wrapText="1"/>
    </xf>
    <xf numFmtId="0" fontId="33" fillId="0" borderId="37" xfId="16" quotePrefix="1" applyFont="1" applyBorder="1" applyAlignment="1">
      <alignment horizontal="center" vertical="center" wrapText="1"/>
    </xf>
    <xf numFmtId="0" fontId="33" fillId="9" borderId="37" xfId="16" quotePrefix="1" applyFont="1" applyFill="1" applyBorder="1" applyAlignment="1">
      <alignment horizontal="center" vertical="center" wrapText="1"/>
    </xf>
    <xf numFmtId="0" fontId="33" fillId="0" borderId="45" xfId="16" applyFont="1" applyBorder="1" applyAlignment="1">
      <alignment horizontal="center" vertical="center" wrapText="1"/>
    </xf>
    <xf numFmtId="0" fontId="33" fillId="0" borderId="46" xfId="16" applyFont="1" applyBorder="1" applyAlignment="1">
      <alignment horizontal="center" vertical="center" wrapText="1"/>
    </xf>
    <xf numFmtId="0" fontId="33" fillId="0" borderId="47" xfId="16" quotePrefix="1" applyFont="1" applyBorder="1" applyAlignment="1">
      <alignment horizontal="center" vertical="center" wrapText="1"/>
    </xf>
    <xf numFmtId="176" fontId="33" fillId="0" borderId="48" xfId="16" applyNumberFormat="1" applyFont="1" applyBorder="1" applyAlignment="1">
      <alignment horizontal="center" vertical="center" wrapText="1"/>
    </xf>
    <xf numFmtId="176" fontId="33" fillId="0" borderId="49" xfId="16" applyNumberFormat="1" applyFont="1" applyBorder="1" applyAlignment="1">
      <alignment horizontal="center" vertical="center" wrapText="1"/>
    </xf>
    <xf numFmtId="0" fontId="33" fillId="0" borderId="50" xfId="16" applyFont="1" applyBorder="1" applyAlignment="1">
      <alignment horizontal="center" vertical="center" wrapText="1"/>
    </xf>
    <xf numFmtId="0" fontId="32" fillId="7" borderId="52" xfId="16" applyFont="1" applyFill="1" applyBorder="1" applyAlignment="1">
      <alignment horizontal="right" vertical="center" wrapText="1"/>
    </xf>
    <xf numFmtId="0" fontId="33" fillId="8" borderId="53" xfId="16" applyFont="1" applyFill="1" applyBorder="1" applyAlignment="1">
      <alignment vertical="center" wrapText="1"/>
    </xf>
    <xf numFmtId="0" fontId="33" fillId="0" borderId="54" xfId="16" applyFont="1" applyBorder="1" applyAlignment="1">
      <alignment vertical="center" shrinkToFit="1"/>
    </xf>
    <xf numFmtId="0" fontId="33" fillId="0" borderId="36" xfId="16" applyFont="1" applyBorder="1" applyAlignment="1">
      <alignment vertical="center" wrapText="1"/>
    </xf>
    <xf numFmtId="0" fontId="33" fillId="0" borderId="31" xfId="16" applyFont="1" applyBorder="1" applyAlignment="1">
      <alignment vertical="center" wrapText="1"/>
    </xf>
    <xf numFmtId="0" fontId="33" fillId="8" borderId="54" xfId="16" applyFont="1" applyFill="1" applyBorder="1" applyAlignment="1">
      <alignment vertical="center" wrapText="1"/>
    </xf>
    <xf numFmtId="0" fontId="33" fillId="0" borderId="54" xfId="16" applyFont="1" applyBorder="1" applyAlignment="1">
      <alignment vertical="center" wrapText="1" shrinkToFit="1"/>
    </xf>
    <xf numFmtId="0" fontId="33" fillId="9" borderId="54" xfId="16" applyFont="1" applyFill="1" applyBorder="1" applyAlignment="1">
      <alignment vertical="center" shrinkToFit="1"/>
    </xf>
    <xf numFmtId="0" fontId="33" fillId="9" borderId="36" xfId="16" applyFont="1" applyFill="1" applyBorder="1" applyAlignment="1">
      <alignment vertical="center" wrapText="1"/>
    </xf>
    <xf numFmtId="0" fontId="33" fillId="9" borderId="31" xfId="16" applyFont="1" applyFill="1" applyBorder="1" applyAlignment="1">
      <alignment vertical="center" wrapText="1"/>
    </xf>
    <xf numFmtId="0" fontId="33" fillId="9" borderId="54" xfId="16" applyFont="1" applyFill="1" applyBorder="1" applyAlignment="1">
      <alignment vertical="center" wrapText="1"/>
    </xf>
    <xf numFmtId="0" fontId="33" fillId="10" borderId="31" xfId="16" applyFont="1" applyFill="1" applyBorder="1" applyAlignment="1">
      <alignment vertical="center" wrapText="1"/>
    </xf>
    <xf numFmtId="0" fontId="33" fillId="10" borderId="39" xfId="16" applyFont="1" applyFill="1" applyBorder="1" applyAlignment="1">
      <alignment vertical="center" wrapText="1"/>
    </xf>
    <xf numFmtId="0" fontId="33" fillId="0" borderId="64" xfId="16" applyFont="1" applyBorder="1" applyAlignment="1">
      <alignment horizontal="left" vertical="center" wrapText="1"/>
    </xf>
    <xf numFmtId="0" fontId="33" fillId="0" borderId="65" xfId="16" applyFont="1" applyBorder="1" applyAlignment="1">
      <alignment horizontal="left" vertical="center" wrapText="1"/>
    </xf>
    <xf numFmtId="0" fontId="35" fillId="0" borderId="65" xfId="16" applyFont="1" applyBorder="1" applyAlignment="1">
      <alignment horizontal="left" vertical="center" wrapText="1"/>
    </xf>
    <xf numFmtId="0" fontId="33" fillId="9" borderId="65" xfId="16" applyFont="1" applyFill="1" applyBorder="1" applyAlignment="1">
      <alignment horizontal="left" vertical="center" wrapText="1"/>
    </xf>
    <xf numFmtId="0" fontId="37" fillId="0" borderId="65" xfId="16" applyFont="1" applyBorder="1" applyAlignment="1">
      <alignment horizontal="left" vertical="center" wrapText="1"/>
    </xf>
    <xf numFmtId="0" fontId="33" fillId="0" borderId="66" xfId="16" applyFont="1" applyBorder="1" applyAlignment="1">
      <alignment horizontal="left" vertical="center" wrapText="1"/>
    </xf>
    <xf numFmtId="0" fontId="32" fillId="7" borderId="68" xfId="16" applyFont="1" applyFill="1" applyBorder="1" applyAlignment="1">
      <alignment vertical="top"/>
    </xf>
    <xf numFmtId="0" fontId="32" fillId="7" borderId="71" xfId="16" applyFont="1" applyFill="1" applyBorder="1" applyAlignment="1">
      <alignment horizontal="right" vertical="top" wrapText="1"/>
    </xf>
    <xf numFmtId="0" fontId="32" fillId="7" borderId="71" xfId="16" applyFont="1" applyFill="1" applyBorder="1" applyAlignment="1">
      <alignment horizontal="center" vertical="top" wrapText="1"/>
    </xf>
    <xf numFmtId="0" fontId="32" fillId="7" borderId="73" xfId="16" applyFont="1" applyFill="1" applyBorder="1" applyAlignment="1">
      <alignment horizontal="right" vertical="center" wrapText="1"/>
    </xf>
    <xf numFmtId="0" fontId="32" fillId="7" borderId="74" xfId="16" applyFont="1" applyFill="1" applyBorder="1" applyAlignment="1">
      <alignment wrapText="1"/>
    </xf>
    <xf numFmtId="0" fontId="32" fillId="7" borderId="75" xfId="16" applyFont="1" applyFill="1" applyBorder="1" applyAlignment="1">
      <alignment wrapText="1"/>
    </xf>
    <xf numFmtId="0" fontId="32" fillId="7" borderId="76" xfId="16" applyFont="1" applyFill="1" applyBorder="1" applyAlignment="1">
      <alignment wrapText="1"/>
    </xf>
    <xf numFmtId="0" fontId="32" fillId="7" borderId="80" xfId="16" applyFont="1" applyFill="1" applyBorder="1" applyAlignment="1">
      <alignment vertical="top"/>
    </xf>
    <xf numFmtId="0" fontId="32" fillId="7" borderId="81" xfId="16" applyFont="1" applyFill="1" applyBorder="1" applyAlignment="1">
      <alignment vertical="top"/>
    </xf>
    <xf numFmtId="0" fontId="32" fillId="7" borderId="74" xfId="16" applyFont="1" applyFill="1" applyBorder="1" applyAlignment="1">
      <alignment horizontal="center" vertical="center" wrapText="1"/>
    </xf>
    <xf numFmtId="0" fontId="36" fillId="7" borderId="83" xfId="16" applyFont="1" applyFill="1" applyBorder="1" applyAlignment="1">
      <alignment horizontal="center" vertical="center" wrapText="1"/>
    </xf>
    <xf numFmtId="0" fontId="32" fillId="7" borderId="75" xfId="16" applyFont="1" applyFill="1" applyBorder="1" applyAlignment="1">
      <alignment horizontal="center" vertical="center" wrapText="1"/>
    </xf>
    <xf numFmtId="0" fontId="32" fillId="7" borderId="82" xfId="16" applyFont="1" applyFill="1" applyBorder="1" applyAlignment="1">
      <alignment horizontal="center" vertical="center" wrapText="1"/>
    </xf>
    <xf numFmtId="0" fontId="32" fillId="10" borderId="0" xfId="16" applyFont="1" applyFill="1" applyAlignment="1">
      <alignment horizontal="center" vertical="top" wrapText="1"/>
    </xf>
    <xf numFmtId="0" fontId="33" fillId="10" borderId="0" xfId="16" applyFont="1" applyFill="1" applyAlignment="1">
      <alignment horizontal="center" vertical="top" wrapText="1"/>
    </xf>
    <xf numFmtId="0" fontId="33" fillId="10" borderId="0" xfId="16" applyFont="1" applyFill="1"/>
    <xf numFmtId="0" fontId="38" fillId="10" borderId="0" xfId="16" applyFont="1" applyFill="1" applyAlignment="1">
      <alignment vertical="top"/>
    </xf>
    <xf numFmtId="0" fontId="33" fillId="10" borderId="30" xfId="16" applyFont="1" applyFill="1" applyBorder="1" applyAlignment="1">
      <alignment vertical="center" wrapText="1"/>
    </xf>
    <xf numFmtId="0" fontId="33" fillId="10" borderId="86" xfId="16" applyFont="1" applyFill="1" applyBorder="1" applyAlignment="1">
      <alignment vertical="center" wrapText="1" shrinkToFit="1"/>
    </xf>
    <xf numFmtId="0" fontId="33" fillId="10" borderId="87" xfId="16" applyFont="1" applyFill="1" applyBorder="1" applyAlignment="1">
      <alignment vertical="center" wrapText="1" shrinkToFit="1"/>
    </xf>
    <xf numFmtId="0" fontId="33" fillId="10" borderId="88" xfId="16" applyFont="1" applyFill="1" applyBorder="1" applyAlignment="1">
      <alignment vertical="center" wrapText="1"/>
    </xf>
    <xf numFmtId="0" fontId="35" fillId="10" borderId="0" xfId="16" applyFont="1" applyFill="1"/>
    <xf numFmtId="49" fontId="32" fillId="7" borderId="74" xfId="16" applyNumberFormat="1" applyFont="1" applyFill="1" applyBorder="1" applyAlignment="1">
      <alignment horizontal="center" vertical="center"/>
    </xf>
    <xf numFmtId="49" fontId="32" fillId="7" borderId="75" xfId="16" applyNumberFormat="1" applyFont="1" applyFill="1" applyBorder="1" applyAlignment="1">
      <alignment horizontal="center" vertical="center"/>
    </xf>
    <xf numFmtId="49" fontId="32" fillId="7" borderId="75" xfId="16" applyNumberFormat="1" applyFont="1" applyFill="1" applyBorder="1" applyAlignment="1">
      <alignment horizontal="center" vertical="center" wrapText="1"/>
    </xf>
    <xf numFmtId="49" fontId="32" fillId="7" borderId="76" xfId="16" applyNumberFormat="1" applyFont="1" applyFill="1" applyBorder="1" applyAlignment="1">
      <alignment horizontal="center" vertical="center" wrapText="1"/>
    </xf>
    <xf numFmtId="0" fontId="1" fillId="10" borderId="0" xfId="19" applyFill="1"/>
    <xf numFmtId="0" fontId="5" fillId="10" borderId="7" xfId="19" applyFont="1" applyFill="1" applyBorder="1"/>
    <xf numFmtId="0" fontId="1" fillId="10" borderId="8" xfId="19" applyFill="1" applyBorder="1"/>
    <xf numFmtId="0" fontId="1" fillId="10" borderId="9" xfId="19" applyFill="1" applyBorder="1"/>
    <xf numFmtId="0" fontId="1" fillId="10" borderId="6" xfId="19" applyFill="1" applyBorder="1"/>
    <xf numFmtId="0" fontId="1" fillId="10" borderId="5" xfId="19" applyFill="1" applyBorder="1"/>
    <xf numFmtId="0" fontId="14" fillId="10" borderId="0" xfId="19" applyFont="1" applyFill="1" applyAlignment="1">
      <alignment horizontal="center"/>
    </xf>
    <xf numFmtId="0" fontId="2" fillId="10" borderId="0" xfId="19" applyFont="1" applyFill="1"/>
    <xf numFmtId="0" fontId="26" fillId="10" borderId="0" xfId="21" applyFont="1" applyFill="1" applyAlignment="1">
      <alignment vertical="center"/>
    </xf>
    <xf numFmtId="0" fontId="29" fillId="10" borderId="0" xfId="21" applyFont="1" applyFill="1" applyAlignment="1">
      <alignment horizontal="center" vertical="center"/>
    </xf>
    <xf numFmtId="49" fontId="29" fillId="10" borderId="0" xfId="21" applyNumberFormat="1" applyFont="1" applyFill="1" applyAlignment="1">
      <alignment horizontal="center" vertical="center"/>
    </xf>
    <xf numFmtId="0" fontId="29" fillId="10" borderId="0" xfId="21" applyFont="1" applyFill="1" applyAlignment="1">
      <alignment horizontal="left" vertical="center"/>
    </xf>
    <xf numFmtId="0" fontId="26" fillId="10" borderId="0" xfId="21" applyFont="1" applyFill="1" applyAlignment="1">
      <alignment horizontal="center" vertical="center"/>
    </xf>
    <xf numFmtId="49" fontId="26" fillId="10" borderId="0" xfId="21" applyNumberFormat="1" applyFont="1" applyFill="1" applyAlignment="1">
      <alignment vertical="center"/>
    </xf>
    <xf numFmtId="0" fontId="26" fillId="10" borderId="0" xfId="21" applyFont="1" applyFill="1" applyAlignment="1">
      <alignment horizontal="left" vertical="center"/>
    </xf>
    <xf numFmtId="49" fontId="26" fillId="10" borderId="0" xfId="21" applyNumberFormat="1" applyFont="1" applyFill="1" applyAlignment="1">
      <alignment horizontal="left" vertical="center"/>
    </xf>
    <xf numFmtId="0" fontId="26" fillId="10" borderId="0" xfId="21" quotePrefix="1" applyFont="1" applyFill="1" applyAlignment="1">
      <alignment horizontal="left" vertical="center"/>
    </xf>
    <xf numFmtId="20" fontId="26" fillId="10" borderId="0" xfId="21" applyNumberFormat="1" applyFont="1" applyFill="1" applyAlignment="1">
      <alignment horizontal="left" vertical="center"/>
    </xf>
    <xf numFmtId="49" fontId="26" fillId="10" borderId="0" xfId="21" applyNumberFormat="1" applyFont="1" applyFill="1" applyAlignment="1">
      <alignment horizontal="center" vertical="center"/>
    </xf>
    <xf numFmtId="0" fontId="26" fillId="10" borderId="0" xfId="21" quotePrefix="1" applyFont="1" applyFill="1" applyAlignment="1">
      <alignment vertical="center"/>
    </xf>
    <xf numFmtId="0" fontId="28" fillId="10" borderId="0" xfId="21" applyFont="1" applyFill="1" applyAlignment="1">
      <alignment horizontal="left" vertical="center"/>
    </xf>
    <xf numFmtId="0" fontId="28" fillId="10" borderId="0" xfId="21" applyFont="1" applyFill="1" applyAlignment="1">
      <alignment vertical="center"/>
    </xf>
    <xf numFmtId="0" fontId="33" fillId="0" borderId="89" xfId="16" applyFont="1" applyBorder="1" applyAlignment="1">
      <alignment vertical="center" shrinkToFit="1"/>
    </xf>
    <xf numFmtId="0" fontId="33" fillId="0" borderId="43" xfId="16" applyFont="1" applyBorder="1" applyAlignment="1">
      <alignment vertical="center" wrapText="1"/>
    </xf>
    <xf numFmtId="0" fontId="33" fillId="0" borderId="32" xfId="16" applyFont="1" applyBorder="1" applyAlignment="1">
      <alignment vertical="center" wrapText="1"/>
    </xf>
    <xf numFmtId="0" fontId="33" fillId="8" borderId="89" xfId="16" applyFont="1" applyFill="1" applyBorder="1" applyAlignment="1">
      <alignment vertical="center" wrapText="1"/>
    </xf>
    <xf numFmtId="0" fontId="32" fillId="7" borderId="29" xfId="16" applyFont="1" applyFill="1" applyBorder="1" applyAlignment="1">
      <alignment vertical="top" wrapText="1"/>
    </xf>
    <xf numFmtId="0" fontId="33" fillId="7" borderId="29" xfId="16" applyFont="1" applyFill="1" applyBorder="1" applyAlignment="1">
      <alignment vertical="top" wrapText="1"/>
    </xf>
    <xf numFmtId="0" fontId="32" fillId="7" borderId="61" xfId="16" applyFont="1" applyFill="1" applyBorder="1" applyAlignment="1">
      <alignment horizontal="right" vertical="center" wrapText="1"/>
    </xf>
    <xf numFmtId="0" fontId="32" fillId="7" borderId="58" xfId="16" applyFont="1" applyFill="1" applyBorder="1" applyAlignment="1">
      <alignment wrapText="1"/>
    </xf>
    <xf numFmtId="0" fontId="32" fillId="7" borderId="62" xfId="16" applyFont="1" applyFill="1" applyBorder="1" applyAlignment="1">
      <alignment vertical="top"/>
    </xf>
    <xf numFmtId="0" fontId="32" fillId="7" borderId="91" xfId="16" applyFont="1" applyFill="1" applyBorder="1" applyAlignment="1">
      <alignment vertical="top"/>
    </xf>
    <xf numFmtId="0" fontId="30" fillId="10" borderId="0" xfId="16" applyFont="1" applyFill="1" applyAlignment="1">
      <alignment vertical="top" wrapText="1"/>
    </xf>
    <xf numFmtId="0" fontId="31" fillId="10" borderId="0" xfId="16" applyFont="1" applyFill="1" applyAlignment="1">
      <alignment horizontal="center" vertical="top" wrapText="1"/>
    </xf>
    <xf numFmtId="0" fontId="30" fillId="10" borderId="0" xfId="16" applyFont="1" applyFill="1" applyAlignment="1">
      <alignment horizontal="center" vertical="top" wrapText="1"/>
    </xf>
    <xf numFmtId="0" fontId="26" fillId="10" borderId="0" xfId="16" applyFont="1" applyFill="1"/>
    <xf numFmtId="0" fontId="34" fillId="10" borderId="0" xfId="16" applyFont="1" applyFill="1"/>
    <xf numFmtId="0" fontId="30" fillId="7" borderId="29" xfId="16" applyFont="1" applyFill="1" applyBorder="1" applyAlignment="1">
      <alignment vertical="top" wrapText="1"/>
    </xf>
    <xf numFmtId="0" fontId="30" fillId="7" borderId="90" xfId="16" applyFont="1" applyFill="1" applyBorder="1" applyAlignment="1">
      <alignment vertical="top" wrapText="1"/>
    </xf>
    <xf numFmtId="0" fontId="31" fillId="7" borderId="71" xfId="16" applyFont="1" applyFill="1" applyBorder="1" applyAlignment="1">
      <alignment horizontal="center" vertical="top" wrapText="1"/>
    </xf>
    <xf numFmtId="0" fontId="31" fillId="7" borderId="72" xfId="16" applyFont="1" applyFill="1" applyBorder="1" applyAlignment="1">
      <alignment horizontal="center" vertical="top" wrapText="1"/>
    </xf>
    <xf numFmtId="0" fontId="30" fillId="7" borderId="0" xfId="16" applyFont="1" applyFill="1" applyAlignment="1">
      <alignment vertical="top" wrapText="1"/>
    </xf>
    <xf numFmtId="0" fontId="30" fillId="7" borderId="23" xfId="16" applyFont="1" applyFill="1" applyBorder="1" applyAlignment="1">
      <alignment vertical="top" wrapText="1"/>
    </xf>
    <xf numFmtId="9" fontId="33" fillId="10" borderId="31" xfId="16" applyNumberFormat="1" applyFont="1" applyFill="1" applyBorder="1" applyAlignment="1">
      <alignment vertical="top" wrapText="1"/>
    </xf>
    <xf numFmtId="0" fontId="33" fillId="10" borderId="31" xfId="16" applyFont="1" applyFill="1" applyBorder="1" applyAlignment="1">
      <alignment vertical="top" wrapText="1"/>
    </xf>
    <xf numFmtId="0" fontId="33" fillId="10" borderId="39" xfId="16" applyFont="1" applyFill="1" applyBorder="1" applyAlignment="1">
      <alignment vertical="top" wrapText="1"/>
    </xf>
    <xf numFmtId="0" fontId="33" fillId="8" borderId="54" xfId="16" applyFont="1" applyFill="1" applyBorder="1" applyAlignment="1">
      <alignment vertical="top" wrapText="1"/>
    </xf>
    <xf numFmtId="0" fontId="33" fillId="0" borderId="39" xfId="16" quotePrefix="1" applyFont="1" applyBorder="1" applyAlignment="1">
      <alignment horizontal="center" vertical="center" wrapText="1"/>
    </xf>
    <xf numFmtId="0" fontId="33" fillId="0" borderId="95" xfId="16" applyFont="1" applyBorder="1" applyAlignment="1">
      <alignment horizontal="center" vertical="center" wrapText="1"/>
    </xf>
    <xf numFmtId="0" fontId="33" fillId="0" borderId="54" xfId="16" applyFont="1" applyBorder="1" applyAlignment="1">
      <alignment horizontal="center" vertical="center" wrapText="1"/>
    </xf>
    <xf numFmtId="0" fontId="33" fillId="10" borderId="54" xfId="16" applyFont="1" applyFill="1" applyBorder="1" applyAlignment="1">
      <alignment vertical="top" wrapText="1" shrinkToFit="1"/>
    </xf>
    <xf numFmtId="0" fontId="33" fillId="10" borderId="96" xfId="16" applyFont="1" applyFill="1" applyBorder="1" applyAlignment="1">
      <alignment vertical="top" wrapText="1"/>
    </xf>
    <xf numFmtId="0" fontId="33" fillId="10" borderId="28" xfId="16" applyFont="1" applyFill="1" applyBorder="1" applyAlignment="1">
      <alignment vertical="top" wrapText="1" shrinkToFit="1"/>
    </xf>
    <xf numFmtId="0" fontId="33" fillId="10" borderId="93" xfId="16" applyFont="1" applyFill="1" applyBorder="1" applyAlignment="1">
      <alignment vertical="top" wrapText="1"/>
    </xf>
    <xf numFmtId="0" fontId="33" fillId="10" borderId="22" xfId="16" applyFont="1" applyFill="1" applyBorder="1" applyAlignment="1">
      <alignment vertical="top" wrapText="1" shrinkToFit="1"/>
    </xf>
    <xf numFmtId="0" fontId="33" fillId="10" borderId="40" xfId="16" applyFont="1" applyFill="1" applyBorder="1" applyAlignment="1">
      <alignment vertical="top" wrapText="1" shrinkToFit="1"/>
    </xf>
    <xf numFmtId="0" fontId="33" fillId="10" borderId="22" xfId="16" applyFont="1" applyFill="1" applyBorder="1" applyAlignment="1">
      <alignment vertical="top" shrinkToFit="1"/>
    </xf>
    <xf numFmtId="0" fontId="33" fillId="0" borderId="36" xfId="16" applyFont="1" applyBorder="1" applyAlignment="1">
      <alignment vertical="top" wrapText="1"/>
    </xf>
    <xf numFmtId="0" fontId="33" fillId="10" borderId="88" xfId="16" applyFont="1" applyFill="1" applyBorder="1" applyAlignment="1">
      <alignment vertical="top" wrapText="1"/>
    </xf>
    <xf numFmtId="0" fontId="33" fillId="10" borderId="89" xfId="16" applyFont="1" applyFill="1" applyBorder="1" applyAlignment="1">
      <alignment vertical="top" wrapText="1" shrinkToFit="1"/>
    </xf>
    <xf numFmtId="0" fontId="30" fillId="7" borderId="33" xfId="16" applyFont="1" applyFill="1" applyBorder="1" applyAlignment="1">
      <alignment vertical="top" wrapText="1"/>
    </xf>
    <xf numFmtId="0" fontId="30" fillId="7" borderId="34" xfId="16" applyFont="1" applyFill="1" applyBorder="1" applyAlignment="1">
      <alignment vertical="top" wrapText="1"/>
    </xf>
    <xf numFmtId="0" fontId="33" fillId="0" borderId="0" xfId="18" applyFont="1"/>
    <xf numFmtId="56" fontId="33" fillId="0" borderId="0" xfId="18" applyNumberFormat="1" applyFont="1"/>
    <xf numFmtId="0" fontId="33" fillId="10" borderId="0" xfId="18" applyFont="1" applyFill="1"/>
    <xf numFmtId="0" fontId="33" fillId="10" borderId="0" xfId="0" applyFont="1" applyFill="1"/>
    <xf numFmtId="0" fontId="33" fillId="10" borderId="0" xfId="18" applyFont="1" applyFill="1" applyAlignment="1">
      <alignment vertical="center"/>
    </xf>
    <xf numFmtId="0" fontId="33" fillId="10" borderId="0" xfId="18" applyFont="1" applyFill="1" applyAlignment="1">
      <alignment horizontal="center" vertical="center"/>
    </xf>
    <xf numFmtId="0" fontId="32" fillId="10" borderId="0" xfId="18" applyFont="1" applyFill="1" applyAlignment="1">
      <alignment vertical="center"/>
    </xf>
    <xf numFmtId="0" fontId="38" fillId="10" borderId="0" xfId="18" applyFont="1" applyFill="1" applyAlignment="1">
      <alignment vertical="center"/>
    </xf>
    <xf numFmtId="0" fontId="38" fillId="10" borderId="0" xfId="18" applyFont="1" applyFill="1" applyAlignment="1">
      <alignment horizontal="left" vertical="center"/>
    </xf>
    <xf numFmtId="0" fontId="32" fillId="11" borderId="45" xfId="18" applyFont="1" applyFill="1" applyBorder="1" applyAlignment="1">
      <alignment horizontal="center" vertical="center"/>
    </xf>
    <xf numFmtId="0" fontId="32" fillId="11" borderId="32" xfId="18" applyFont="1" applyFill="1" applyBorder="1" applyAlignment="1">
      <alignment horizontal="center" vertical="center" wrapText="1"/>
    </xf>
    <xf numFmtId="0" fontId="32" fillId="11" borderId="32" xfId="18" applyFont="1" applyFill="1" applyBorder="1" applyAlignment="1">
      <alignment horizontal="center" vertical="center"/>
    </xf>
    <xf numFmtId="0" fontId="32" fillId="11" borderId="41" xfId="18" applyFont="1" applyFill="1" applyBorder="1" applyAlignment="1">
      <alignment horizontal="center" vertical="center"/>
    </xf>
    <xf numFmtId="0" fontId="33" fillId="0" borderId="31" xfId="0" applyFont="1" applyBorder="1" applyAlignment="1">
      <alignment vertical="center" wrapText="1"/>
    </xf>
    <xf numFmtId="0" fontId="33" fillId="0" borderId="31" xfId="18" applyFont="1" applyBorder="1" applyAlignment="1">
      <alignment vertical="center" wrapText="1"/>
    </xf>
    <xf numFmtId="0" fontId="33" fillId="0" borderId="57" xfId="0" applyFont="1" applyBorder="1" applyAlignment="1">
      <alignment vertical="center" wrapText="1"/>
    </xf>
    <xf numFmtId="0" fontId="33" fillId="0" borderId="39" xfId="0" applyFont="1" applyBorder="1" applyAlignment="1">
      <alignment vertical="center" wrapText="1"/>
    </xf>
    <xf numFmtId="0" fontId="33" fillId="10" borderId="39" xfId="0" applyFont="1" applyFill="1" applyBorder="1" applyAlignment="1">
      <alignment vertical="center" wrapText="1"/>
    </xf>
    <xf numFmtId="0" fontId="33" fillId="0" borderId="39" xfId="18" applyFont="1" applyBorder="1" applyAlignment="1">
      <alignment vertical="center" wrapText="1"/>
    </xf>
    <xf numFmtId="181" fontId="33" fillId="0" borderId="54" xfId="18" applyNumberFormat="1" applyFont="1" applyBorder="1" applyAlignment="1">
      <alignment horizontal="center" vertical="center"/>
    </xf>
    <xf numFmtId="0" fontId="33" fillId="0" borderId="55" xfId="18" applyFont="1" applyBorder="1"/>
    <xf numFmtId="0" fontId="33" fillId="0" borderId="37" xfId="18" applyFont="1" applyBorder="1"/>
    <xf numFmtId="0" fontId="33" fillId="0" borderId="101" xfId="18" applyFont="1" applyBorder="1"/>
    <xf numFmtId="14" fontId="33" fillId="0" borderId="52" xfId="18" applyNumberFormat="1" applyFont="1" applyBorder="1" applyAlignment="1">
      <alignment horizontal="center" vertical="center"/>
    </xf>
    <xf numFmtId="0" fontId="33" fillId="0" borderId="99" xfId="18" applyFont="1" applyBorder="1" applyAlignment="1">
      <alignment vertical="center" wrapText="1"/>
    </xf>
    <xf numFmtId="0" fontId="33" fillId="0" borderId="95" xfId="18" applyFont="1" applyBorder="1" applyAlignment="1">
      <alignment vertical="center" wrapText="1"/>
    </xf>
    <xf numFmtId="0" fontId="33" fillId="0" borderId="95" xfId="18" applyFont="1" applyBorder="1" applyAlignment="1">
      <alignment vertical="center"/>
    </xf>
    <xf numFmtId="0" fontId="33" fillId="10" borderId="95" xfId="18" applyFont="1" applyFill="1" applyBorder="1" applyAlignment="1">
      <alignment vertical="center" wrapText="1"/>
    </xf>
    <xf numFmtId="0" fontId="39" fillId="0" borderId="95" xfId="18" applyFont="1" applyBorder="1" applyAlignment="1">
      <alignment vertical="center" wrapText="1"/>
    </xf>
    <xf numFmtId="14" fontId="33" fillId="0" borderId="54" xfId="18" applyNumberFormat="1" applyFont="1" applyBorder="1" applyAlignment="1">
      <alignment horizontal="center" vertical="center"/>
    </xf>
    <xf numFmtId="0" fontId="33" fillId="8" borderId="94" xfId="0" applyFont="1" applyFill="1" applyBorder="1" applyAlignment="1">
      <alignment vertical="center" wrapText="1"/>
    </xf>
    <xf numFmtId="0" fontId="33" fillId="8" borderId="54" xfId="0" applyFont="1" applyFill="1" applyBorder="1" applyAlignment="1">
      <alignment vertical="center" wrapText="1"/>
    </xf>
    <xf numFmtId="0" fontId="33" fillId="0" borderId="100" xfId="0" applyFont="1" applyBorder="1" applyAlignment="1">
      <alignment vertical="center"/>
    </xf>
    <xf numFmtId="0" fontId="33" fillId="0" borderId="103" xfId="0" applyFont="1" applyBorder="1" applyAlignment="1">
      <alignment vertical="center"/>
    </xf>
    <xf numFmtId="0" fontId="33" fillId="10" borderId="53" xfId="16" applyFont="1" applyFill="1" applyBorder="1" applyAlignment="1">
      <alignment vertical="center" wrapText="1" shrinkToFit="1"/>
    </xf>
    <xf numFmtId="0" fontId="33" fillId="10" borderId="48" xfId="16" applyFont="1" applyFill="1" applyBorder="1" applyAlignment="1">
      <alignment vertical="center" wrapText="1"/>
    </xf>
    <xf numFmtId="0" fontId="33" fillId="10" borderId="35" xfId="16" applyFont="1" applyFill="1" applyBorder="1" applyAlignment="1">
      <alignment vertical="center" wrapText="1"/>
    </xf>
    <xf numFmtId="0" fontId="33" fillId="10" borderId="54" xfId="16" applyFont="1" applyFill="1" applyBorder="1" applyAlignment="1">
      <alignment vertical="center" shrinkToFit="1"/>
    </xf>
    <xf numFmtId="0" fontId="33" fillId="10" borderId="36" xfId="16" applyFont="1" applyFill="1" applyBorder="1" applyAlignment="1">
      <alignment vertical="center" wrapText="1"/>
    </xf>
    <xf numFmtId="0" fontId="33" fillId="10" borderId="54" xfId="16" applyFont="1" applyFill="1" applyBorder="1" applyAlignment="1">
      <alignment vertical="center" wrapText="1" shrinkToFit="1"/>
    </xf>
    <xf numFmtId="0" fontId="33" fillId="10" borderId="89" xfId="16" applyFont="1" applyFill="1" applyBorder="1" applyAlignment="1">
      <alignment vertical="center" shrinkToFit="1"/>
    </xf>
    <xf numFmtId="0" fontId="33" fillId="10" borderId="28" xfId="16" applyFont="1" applyFill="1" applyBorder="1" applyAlignment="1">
      <alignment vertical="center" shrinkToFit="1"/>
    </xf>
    <xf numFmtId="0" fontId="33" fillId="10" borderId="53" xfId="16" applyFont="1" applyFill="1" applyBorder="1" applyAlignment="1">
      <alignment vertical="center" shrinkToFit="1"/>
    </xf>
    <xf numFmtId="0" fontId="33" fillId="10" borderId="103" xfId="0" applyFont="1" applyFill="1" applyBorder="1" applyAlignment="1">
      <alignment vertical="center"/>
    </xf>
    <xf numFmtId="0" fontId="33" fillId="10" borderId="31" xfId="0" applyFont="1" applyFill="1" applyBorder="1" applyAlignment="1">
      <alignment vertical="center" wrapText="1"/>
    </xf>
    <xf numFmtId="0" fontId="39" fillId="10" borderId="95" xfId="18" applyFont="1" applyFill="1" applyBorder="1" applyAlignment="1">
      <alignment vertical="center"/>
    </xf>
    <xf numFmtId="0" fontId="33" fillId="0" borderId="56" xfId="0" applyFont="1" applyBorder="1" applyAlignment="1">
      <alignment vertical="center" wrapText="1"/>
    </xf>
    <xf numFmtId="0" fontId="33" fillId="0" borderId="53" xfId="16" applyFont="1" applyBorder="1" applyAlignment="1">
      <alignment vertical="center" shrinkToFit="1"/>
    </xf>
    <xf numFmtId="0" fontId="33" fillId="10" borderId="0" xfId="18" applyFont="1" applyFill="1" applyAlignment="1">
      <alignment horizontal="center"/>
    </xf>
    <xf numFmtId="0" fontId="33" fillId="10" borderId="0" xfId="18" quotePrefix="1" applyFont="1" applyFill="1"/>
    <xf numFmtId="0" fontId="36" fillId="0" borderId="94" xfId="0" applyFont="1" applyBorder="1" applyAlignment="1">
      <alignment horizontal="right" vertical="center"/>
    </xf>
    <xf numFmtId="0" fontId="36" fillId="0" borderId="54" xfId="0" applyFont="1" applyBorder="1" applyAlignment="1">
      <alignment horizontal="right" vertical="center"/>
    </xf>
    <xf numFmtId="0" fontId="36" fillId="0" borderId="80" xfId="0" applyFont="1" applyBorder="1" applyAlignment="1">
      <alignment horizontal="right" vertical="center"/>
    </xf>
    <xf numFmtId="0" fontId="33" fillId="10" borderId="95" xfId="18" applyFont="1" applyFill="1" applyBorder="1" applyAlignment="1">
      <alignment vertical="center"/>
    </xf>
    <xf numFmtId="0" fontId="36" fillId="7" borderId="75" xfId="16" applyFont="1" applyFill="1" applyBorder="1" applyAlignment="1">
      <alignment horizontal="center" vertical="center" wrapText="1"/>
    </xf>
    <xf numFmtId="0" fontId="32" fillId="7" borderId="94" xfId="16" applyFont="1" applyFill="1" applyBorder="1" applyAlignment="1">
      <alignment horizontal="right" vertical="center" wrapText="1"/>
    </xf>
    <xf numFmtId="0" fontId="32" fillId="7" borderId="54" xfId="16" applyFont="1" applyFill="1" applyBorder="1" applyAlignment="1">
      <alignment horizontal="right" vertical="center" wrapText="1"/>
    </xf>
    <xf numFmtId="0" fontId="32" fillId="7" borderId="83" xfId="16" applyFont="1" applyFill="1" applyBorder="1" applyAlignment="1">
      <alignment horizontal="right" vertical="center" wrapText="1"/>
    </xf>
    <xf numFmtId="176" fontId="33" fillId="0" borderId="38" xfId="16" applyNumberFormat="1" applyFont="1" applyBorder="1" applyAlignment="1">
      <alignment horizontal="center" vertical="center" wrapText="1"/>
    </xf>
    <xf numFmtId="0" fontId="33" fillId="0" borderId="48" xfId="16" applyFont="1" applyBorder="1" applyAlignment="1">
      <alignment vertical="top" wrapText="1"/>
    </xf>
    <xf numFmtId="9" fontId="33" fillId="10" borderId="35" xfId="16" applyNumberFormat="1" applyFont="1" applyFill="1" applyBorder="1" applyAlignment="1">
      <alignment vertical="top" wrapText="1"/>
    </xf>
    <xf numFmtId="0" fontId="33" fillId="10" borderId="35" xfId="16" applyFont="1" applyFill="1" applyBorder="1" applyAlignment="1">
      <alignment vertical="top" wrapText="1"/>
    </xf>
    <xf numFmtId="0" fontId="33" fillId="10" borderId="49" xfId="16" applyFont="1" applyFill="1" applyBorder="1" applyAlignment="1">
      <alignment vertical="top" wrapText="1"/>
    </xf>
    <xf numFmtId="0" fontId="33" fillId="8" borderId="53" xfId="16" applyFont="1" applyFill="1" applyBorder="1" applyAlignment="1">
      <alignment vertical="top" wrapText="1"/>
    </xf>
    <xf numFmtId="0" fontId="33" fillId="0" borderId="49" xfId="16" quotePrefix="1" applyFont="1" applyBorder="1" applyAlignment="1">
      <alignment horizontal="center" vertical="center" wrapText="1"/>
    </xf>
    <xf numFmtId="176" fontId="30" fillId="0" borderId="48" xfId="16" applyNumberFormat="1" applyFont="1" applyBorder="1" applyAlignment="1">
      <alignment horizontal="center" vertical="center" wrapText="1"/>
    </xf>
    <xf numFmtId="176" fontId="33" fillId="0" borderId="47" xfId="16" applyNumberFormat="1" applyFont="1" applyBorder="1" applyAlignment="1">
      <alignment horizontal="center" vertical="center" wrapText="1"/>
    </xf>
    <xf numFmtId="0" fontId="33" fillId="0" borderId="53" xfId="16" applyFont="1" applyBorder="1" applyAlignment="1">
      <alignment horizontal="center" vertical="center" wrapText="1"/>
    </xf>
    <xf numFmtId="0" fontId="33" fillId="0" borderId="112" xfId="16" applyFont="1" applyBorder="1" applyAlignment="1">
      <alignment horizontal="center" vertical="center" wrapText="1"/>
    </xf>
    <xf numFmtId="0" fontId="32" fillId="7" borderId="101" xfId="16" applyFont="1" applyFill="1" applyBorder="1" applyAlignment="1">
      <alignment horizontal="center" vertical="center" wrapText="1"/>
    </xf>
    <xf numFmtId="49" fontId="32" fillId="7" borderId="73" xfId="16" applyNumberFormat="1" applyFont="1" applyFill="1" applyBorder="1" applyAlignment="1">
      <alignment horizontal="center" vertical="center" wrapText="1"/>
    </xf>
    <xf numFmtId="0" fontId="32" fillId="7" borderId="113" xfId="16" applyFont="1" applyFill="1" applyBorder="1" applyAlignment="1">
      <alignment horizontal="center" vertical="center" wrapText="1"/>
    </xf>
    <xf numFmtId="0" fontId="35" fillId="10" borderId="95" xfId="18" applyFont="1" applyFill="1" applyBorder="1" applyAlignment="1">
      <alignment vertical="center" wrapText="1"/>
    </xf>
    <xf numFmtId="0" fontId="33" fillId="10" borderId="114" xfId="16" applyFont="1" applyFill="1" applyBorder="1" applyAlignment="1">
      <alignment vertical="center" wrapText="1" shrinkToFit="1"/>
    </xf>
    <xf numFmtId="0" fontId="33" fillId="10" borderId="28" xfId="16" applyFont="1" applyFill="1" applyBorder="1" applyAlignment="1">
      <alignment vertical="center" wrapText="1" shrinkToFit="1"/>
    </xf>
    <xf numFmtId="0" fontId="33" fillId="10" borderId="115" xfId="16" applyFont="1" applyFill="1" applyBorder="1" applyAlignment="1">
      <alignment vertical="center" wrapText="1" shrinkToFit="1"/>
    </xf>
    <xf numFmtId="0" fontId="33" fillId="10" borderId="42" xfId="16" applyFont="1" applyFill="1" applyBorder="1" applyAlignment="1">
      <alignment vertical="center" wrapText="1" shrinkToFit="1"/>
    </xf>
    <xf numFmtId="0" fontId="33" fillId="10" borderId="89" xfId="16" applyFont="1" applyFill="1" applyBorder="1" applyAlignment="1">
      <alignment vertical="center" wrapText="1" shrinkToFit="1"/>
    </xf>
    <xf numFmtId="0" fontId="33" fillId="10" borderId="30" xfId="16" applyFont="1" applyFill="1" applyBorder="1" applyAlignment="1">
      <alignment vertical="top" wrapText="1"/>
    </xf>
    <xf numFmtId="49" fontId="32" fillId="7" borderId="75" xfId="16" quotePrefix="1" applyNumberFormat="1" applyFont="1" applyFill="1" applyBorder="1" applyAlignment="1">
      <alignment horizontal="center" vertical="center" wrapText="1"/>
    </xf>
    <xf numFmtId="49" fontId="32" fillId="7" borderId="75" xfId="16" quotePrefix="1" applyNumberFormat="1" applyFont="1" applyFill="1" applyBorder="1" applyAlignment="1">
      <alignment horizontal="center" vertical="center"/>
    </xf>
    <xf numFmtId="49" fontId="32" fillId="7" borderId="76" xfId="16" quotePrefix="1" applyNumberFormat="1" applyFont="1" applyFill="1" applyBorder="1" applyAlignment="1">
      <alignment horizontal="center" vertical="center" wrapText="1"/>
    </xf>
    <xf numFmtId="0" fontId="33" fillId="10" borderId="116" xfId="16" applyFont="1" applyFill="1" applyBorder="1" applyAlignment="1">
      <alignment vertical="center" wrapText="1"/>
    </xf>
    <xf numFmtId="0" fontId="33" fillId="12" borderId="88" xfId="16" applyFont="1" applyFill="1" applyBorder="1" applyAlignment="1">
      <alignment vertical="center" wrapText="1"/>
    </xf>
    <xf numFmtId="0" fontId="33" fillId="12" borderId="86" xfId="16" applyFont="1" applyFill="1" applyBorder="1" applyAlignment="1">
      <alignment vertical="center" wrapText="1" shrinkToFit="1"/>
    </xf>
    <xf numFmtId="0" fontId="33" fillId="12" borderId="28" xfId="16" applyFont="1" applyFill="1" applyBorder="1" applyAlignment="1">
      <alignment vertical="center" shrinkToFit="1"/>
    </xf>
    <xf numFmtId="0" fontId="33" fillId="12" borderId="36" xfId="16" applyFont="1" applyFill="1" applyBorder="1" applyAlignment="1">
      <alignment vertical="center" wrapText="1"/>
    </xf>
    <xf numFmtId="0" fontId="33" fillId="12" borderId="31" xfId="16" applyFont="1" applyFill="1" applyBorder="1" applyAlignment="1">
      <alignment vertical="center" wrapText="1"/>
    </xf>
    <xf numFmtId="0" fontId="33" fillId="12" borderId="54" xfId="16" applyFont="1" applyFill="1" applyBorder="1" applyAlignment="1">
      <alignment vertical="center" wrapText="1"/>
    </xf>
    <xf numFmtId="0" fontId="33" fillId="12" borderId="31" xfId="16" quotePrefix="1" applyFont="1" applyFill="1" applyBorder="1" applyAlignment="1">
      <alignment horizontal="center" vertical="center" wrapText="1"/>
    </xf>
    <xf numFmtId="0" fontId="33" fillId="12" borderId="38" xfId="16" quotePrefix="1" applyFont="1" applyFill="1" applyBorder="1" applyAlignment="1">
      <alignment horizontal="center" vertical="center" wrapText="1"/>
    </xf>
    <xf numFmtId="176" fontId="33" fillId="12" borderId="36" xfId="16" applyNumberFormat="1" applyFont="1" applyFill="1" applyBorder="1" applyAlignment="1">
      <alignment horizontal="center" vertical="center" wrapText="1"/>
    </xf>
    <xf numFmtId="176" fontId="33" fillId="12" borderId="31" xfId="16" applyNumberFormat="1" applyFont="1" applyFill="1" applyBorder="1" applyAlignment="1">
      <alignment horizontal="center" vertical="center" wrapText="1"/>
    </xf>
    <xf numFmtId="176" fontId="33" fillId="12" borderId="39" xfId="16" applyNumberFormat="1" applyFont="1" applyFill="1" applyBorder="1" applyAlignment="1">
      <alignment horizontal="center" vertical="center" wrapText="1"/>
    </xf>
    <xf numFmtId="0" fontId="33" fillId="12" borderId="50" xfId="16" applyFont="1" applyFill="1" applyBorder="1" applyAlignment="1">
      <alignment horizontal="center" vertical="center" wrapText="1"/>
    </xf>
    <xf numFmtId="0" fontId="33" fillId="12" borderId="65" xfId="16" applyFont="1" applyFill="1" applyBorder="1" applyAlignment="1">
      <alignment horizontal="left" vertical="center" wrapText="1"/>
    </xf>
    <xf numFmtId="0" fontId="33" fillId="12" borderId="30" xfId="16" applyFont="1" applyFill="1" applyBorder="1" applyAlignment="1">
      <alignment vertical="top" wrapText="1"/>
    </xf>
    <xf numFmtId="0" fontId="33" fillId="12" borderId="54" xfId="16" applyFont="1" applyFill="1" applyBorder="1" applyAlignment="1">
      <alignment vertical="center" shrinkToFit="1"/>
    </xf>
    <xf numFmtId="0" fontId="33" fillId="12" borderId="30" xfId="16" applyFont="1" applyFill="1" applyBorder="1" applyAlignment="1">
      <alignment vertical="center" wrapText="1"/>
    </xf>
    <xf numFmtId="0" fontId="33" fillId="12" borderId="89" xfId="16" applyFont="1" applyFill="1" applyBorder="1" applyAlignment="1">
      <alignment vertical="center" wrapText="1" shrinkToFit="1"/>
    </xf>
    <xf numFmtId="0" fontId="35" fillId="12" borderId="65" xfId="16" applyFont="1" applyFill="1" applyBorder="1" applyAlignment="1">
      <alignment horizontal="left" vertical="center" wrapText="1"/>
    </xf>
    <xf numFmtId="0" fontId="33" fillId="12" borderId="87" xfId="16" applyFont="1" applyFill="1" applyBorder="1" applyAlignment="1">
      <alignment vertical="center" wrapText="1" shrinkToFit="1"/>
    </xf>
    <xf numFmtId="0" fontId="33" fillId="12" borderId="89" xfId="16" applyFont="1" applyFill="1" applyBorder="1" applyAlignment="1">
      <alignment vertical="center" shrinkToFit="1"/>
    </xf>
    <xf numFmtId="0" fontId="33" fillId="12" borderId="43" xfId="16" applyFont="1" applyFill="1" applyBorder="1" applyAlignment="1">
      <alignment vertical="center" wrapText="1"/>
    </xf>
    <xf numFmtId="0" fontId="33" fillId="12" borderId="32" xfId="16" applyFont="1" applyFill="1" applyBorder="1" applyAlignment="1">
      <alignment vertical="center" wrapText="1"/>
    </xf>
    <xf numFmtId="0" fontId="33" fillId="12" borderId="89" xfId="16" applyFont="1" applyFill="1" applyBorder="1" applyAlignment="1">
      <alignment vertical="center" wrapText="1"/>
    </xf>
    <xf numFmtId="0" fontId="33" fillId="12" borderId="45" xfId="16" applyFont="1" applyFill="1" applyBorder="1" applyAlignment="1">
      <alignment horizontal="center" vertical="center" wrapText="1"/>
    </xf>
    <xf numFmtId="0" fontId="33" fillId="12" borderId="32" xfId="16" quotePrefix="1" applyFont="1" applyFill="1" applyBorder="1" applyAlignment="1">
      <alignment horizontal="center" vertical="center" wrapText="1"/>
    </xf>
    <xf numFmtId="0" fontId="33" fillId="12" borderId="32" xfId="16" applyFont="1" applyFill="1" applyBorder="1" applyAlignment="1">
      <alignment horizontal="center" vertical="center" wrapText="1"/>
    </xf>
    <xf numFmtId="0" fontId="33" fillId="12" borderId="44" xfId="16" quotePrefix="1" applyFont="1" applyFill="1" applyBorder="1" applyAlignment="1">
      <alignment horizontal="center" vertical="center" wrapText="1"/>
    </xf>
    <xf numFmtId="176" fontId="33" fillId="12" borderId="43" xfId="16" applyNumberFormat="1" applyFont="1" applyFill="1" applyBorder="1" applyAlignment="1">
      <alignment horizontal="center" vertical="center" wrapText="1"/>
    </xf>
    <xf numFmtId="176" fontId="33" fillId="12" borderId="32" xfId="16" applyNumberFormat="1" applyFont="1" applyFill="1" applyBorder="1" applyAlignment="1">
      <alignment horizontal="center" vertical="center" wrapText="1"/>
    </xf>
    <xf numFmtId="176" fontId="33" fillId="12" borderId="41" xfId="16" applyNumberFormat="1" applyFont="1" applyFill="1" applyBorder="1" applyAlignment="1">
      <alignment horizontal="center" vertical="center" wrapText="1"/>
    </xf>
    <xf numFmtId="0" fontId="33" fillId="12" borderId="42" xfId="16" applyFont="1" applyFill="1" applyBorder="1" applyAlignment="1">
      <alignment horizontal="center" vertical="center" wrapText="1"/>
    </xf>
    <xf numFmtId="0" fontId="33" fillId="12" borderId="66" xfId="16" applyFont="1" applyFill="1" applyBorder="1" applyAlignment="1">
      <alignment horizontal="left" vertical="center" wrapText="1"/>
    </xf>
    <xf numFmtId="0" fontId="33" fillId="10" borderId="117" xfId="16" applyFont="1" applyFill="1" applyBorder="1" applyAlignment="1">
      <alignment vertical="center" wrapText="1"/>
    </xf>
    <xf numFmtId="0" fontId="33" fillId="12" borderId="117" xfId="16" applyFont="1" applyFill="1" applyBorder="1" applyAlignment="1">
      <alignment vertical="center" wrapText="1"/>
    </xf>
    <xf numFmtId="0" fontId="35" fillId="10" borderId="28" xfId="16" applyFont="1" applyFill="1" applyBorder="1" applyAlignment="1">
      <alignment vertical="center" wrapText="1" shrinkToFit="1"/>
    </xf>
    <xf numFmtId="0" fontId="35" fillId="10" borderId="114" xfId="16" applyFont="1" applyFill="1" applyBorder="1" applyAlignment="1">
      <alignment vertical="center" wrapText="1" shrinkToFit="1"/>
    </xf>
    <xf numFmtId="0" fontId="33" fillId="10" borderId="118" xfId="16" applyFont="1" applyFill="1" applyBorder="1" applyAlignment="1">
      <alignment vertical="center" wrapText="1" shrinkToFit="1"/>
    </xf>
    <xf numFmtId="0" fontId="33" fillId="10" borderId="96" xfId="16" applyFont="1" applyFill="1" applyBorder="1" applyAlignment="1">
      <alignment vertical="center" wrapText="1"/>
    </xf>
    <xf numFmtId="0" fontId="33" fillId="13" borderId="0" xfId="16" applyFont="1" applyFill="1"/>
    <xf numFmtId="0" fontId="33" fillId="0" borderId="0" xfId="16" applyFont="1" applyAlignment="1">
      <alignment vertical="top" wrapText="1"/>
    </xf>
    <xf numFmtId="0" fontId="33" fillId="0" borderId="30" xfId="16" applyFont="1" applyBorder="1" applyAlignment="1">
      <alignment vertical="center" wrapText="1"/>
    </xf>
    <xf numFmtId="0" fontId="33" fillId="0" borderId="86" xfId="16" applyFont="1" applyBorder="1" applyAlignment="1">
      <alignment vertical="center" wrapText="1" shrinkToFit="1"/>
    </xf>
    <xf numFmtId="0" fontId="35" fillId="0" borderId="0" xfId="16" applyFont="1"/>
    <xf numFmtId="0" fontId="33" fillId="12" borderId="114" xfId="16" applyFont="1" applyFill="1" applyBorder="1" applyAlignment="1">
      <alignment vertical="center" wrapText="1" shrinkToFit="1"/>
    </xf>
    <xf numFmtId="0" fontId="33" fillId="9" borderId="87" xfId="16" applyFont="1" applyFill="1" applyBorder="1" applyAlignment="1">
      <alignment vertical="center" wrapText="1" shrinkToFit="1"/>
    </xf>
    <xf numFmtId="0" fontId="33" fillId="9" borderId="31" xfId="16" applyFont="1" applyFill="1" applyBorder="1" applyAlignment="1">
      <alignment horizontal="center" vertical="center" wrapText="1"/>
    </xf>
    <xf numFmtId="0" fontId="33" fillId="9" borderId="50" xfId="16" applyFont="1" applyFill="1" applyBorder="1" applyAlignment="1">
      <alignment horizontal="center" vertical="center" wrapText="1"/>
    </xf>
    <xf numFmtId="0" fontId="33" fillId="0" borderId="0" xfId="16" applyFont="1"/>
    <xf numFmtId="0" fontId="33" fillId="0" borderId="28" xfId="16" applyFont="1" applyBorder="1" applyAlignment="1">
      <alignment vertical="center" shrinkToFit="1"/>
    </xf>
    <xf numFmtId="0" fontId="33" fillId="9" borderId="53" xfId="16" applyFont="1" applyFill="1" applyBorder="1" applyAlignment="1">
      <alignment vertical="center" wrapText="1" shrinkToFit="1"/>
    </xf>
    <xf numFmtId="0" fontId="35" fillId="9" borderId="65" xfId="16" applyFont="1" applyFill="1" applyBorder="1" applyAlignment="1">
      <alignment horizontal="left" vertical="center" wrapText="1"/>
    </xf>
    <xf numFmtId="0" fontId="33" fillId="9" borderId="28" xfId="16" applyFont="1" applyFill="1" applyBorder="1" applyAlignment="1">
      <alignment vertical="center" wrapText="1" shrinkToFit="1"/>
    </xf>
    <xf numFmtId="0" fontId="33" fillId="9" borderId="54" xfId="16" applyFont="1" applyFill="1" applyBorder="1" applyAlignment="1">
      <alignment vertical="center" wrapText="1" shrinkToFit="1"/>
    </xf>
    <xf numFmtId="176" fontId="33" fillId="9" borderId="48" xfId="16" applyNumberFormat="1" applyFont="1" applyFill="1" applyBorder="1" applyAlignment="1">
      <alignment horizontal="center" vertical="center" wrapText="1"/>
    </xf>
    <xf numFmtId="0" fontId="33" fillId="9" borderId="86" xfId="16" applyFont="1" applyFill="1" applyBorder="1" applyAlignment="1">
      <alignment vertical="center" wrapText="1" shrinkToFit="1"/>
    </xf>
    <xf numFmtId="0" fontId="33" fillId="9" borderId="89" xfId="16" applyFont="1" applyFill="1" applyBorder="1" applyAlignment="1">
      <alignment vertical="center" shrinkToFit="1"/>
    </xf>
    <xf numFmtId="0" fontId="33" fillId="9" borderId="28" xfId="16" applyFont="1" applyFill="1" applyBorder="1" applyAlignment="1">
      <alignment vertical="center" shrinkToFit="1"/>
    </xf>
    <xf numFmtId="0" fontId="33" fillId="9" borderId="39" xfId="16" applyFont="1" applyFill="1" applyBorder="1" applyAlignment="1">
      <alignment vertical="center" wrapText="1"/>
    </xf>
    <xf numFmtId="9" fontId="35" fillId="10" borderId="31" xfId="16" applyNumberFormat="1" applyFont="1" applyFill="1" applyBorder="1" applyAlignment="1">
      <alignment vertical="top" wrapText="1"/>
    </xf>
    <xf numFmtId="0" fontId="33" fillId="0" borderId="53" xfId="16" applyFont="1" applyBorder="1" applyAlignment="1">
      <alignment vertical="center" wrapText="1" shrinkToFit="1"/>
    </xf>
    <xf numFmtId="0" fontId="33" fillId="0" borderId="28" xfId="16" applyFont="1" applyBorder="1" applyAlignment="1">
      <alignment vertical="center" wrapText="1" shrinkToFit="1"/>
    </xf>
    <xf numFmtId="0" fontId="33" fillId="9" borderId="53" xfId="16" applyFont="1" applyFill="1" applyBorder="1" applyAlignment="1">
      <alignment vertical="center" shrinkToFit="1"/>
    </xf>
    <xf numFmtId="0" fontId="43" fillId="8" borderId="54" xfId="16" applyFont="1" applyFill="1" applyBorder="1" applyAlignment="1">
      <alignment vertical="center" wrapText="1"/>
    </xf>
    <xf numFmtId="0" fontId="33" fillId="10" borderId="31" xfId="16" quotePrefix="1" applyFont="1" applyFill="1" applyBorder="1" applyAlignment="1">
      <alignment horizontal="center" vertical="center" wrapText="1"/>
    </xf>
    <xf numFmtId="176" fontId="33" fillId="10" borderId="31" xfId="16" applyNumberFormat="1" applyFont="1" applyFill="1" applyBorder="1" applyAlignment="1">
      <alignment horizontal="center" vertical="center" wrapText="1"/>
    </xf>
    <xf numFmtId="0" fontId="33" fillId="10" borderId="65" xfId="16" applyFont="1" applyFill="1" applyBorder="1" applyAlignment="1">
      <alignment horizontal="left" vertical="center" wrapText="1"/>
    </xf>
    <xf numFmtId="0" fontId="35" fillId="10" borderId="65" xfId="16" applyFont="1" applyFill="1" applyBorder="1" applyAlignment="1">
      <alignment horizontal="left" vertical="center" wrapText="1"/>
    </xf>
    <xf numFmtId="0" fontId="33" fillId="10" borderId="38" xfId="16" quotePrefix="1" applyFont="1" applyFill="1" applyBorder="1" applyAlignment="1">
      <alignment horizontal="center" vertical="center" wrapText="1"/>
    </xf>
    <xf numFmtId="0" fontId="33" fillId="9" borderId="65" xfId="16" applyFont="1" applyFill="1" applyBorder="1" applyAlignment="1">
      <alignment vertical="center" wrapText="1"/>
    </xf>
    <xf numFmtId="0" fontId="33" fillId="9" borderId="30" xfId="16" applyFont="1" applyFill="1" applyBorder="1" applyAlignment="1">
      <alignment vertical="center" wrapText="1"/>
    </xf>
    <xf numFmtId="0" fontId="33" fillId="9" borderId="0" xfId="16" applyFont="1" applyFill="1"/>
    <xf numFmtId="0" fontId="37" fillId="0" borderId="55" xfId="18" applyFont="1" applyBorder="1" applyAlignment="1">
      <alignment horizontal="center" vertical="center"/>
    </xf>
    <xf numFmtId="0" fontId="37" fillId="0" borderId="56" xfId="18" applyFont="1" applyBorder="1" applyAlignment="1">
      <alignment horizontal="center" vertical="center"/>
    </xf>
    <xf numFmtId="0" fontId="37" fillId="0" borderId="57" xfId="18" applyFont="1" applyBorder="1" applyAlignment="1">
      <alignment horizontal="center" vertical="center"/>
    </xf>
    <xf numFmtId="0" fontId="37" fillId="0" borderId="37" xfId="18" applyFont="1" applyBorder="1" applyAlignment="1">
      <alignment horizontal="center" vertical="center"/>
    </xf>
    <xf numFmtId="0" fontId="37" fillId="0" borderId="31" xfId="18" applyFont="1" applyBorder="1" applyAlignment="1">
      <alignment horizontal="center" vertical="center"/>
    </xf>
    <xf numFmtId="0" fontId="37" fillId="0" borderId="39" xfId="18" applyFont="1" applyBorder="1" applyAlignment="1">
      <alignment horizontal="center" vertical="center"/>
    </xf>
    <xf numFmtId="0" fontId="37" fillId="9" borderId="37" xfId="18" applyFont="1" applyFill="1" applyBorder="1" applyAlignment="1">
      <alignment horizontal="center" vertical="center"/>
    </xf>
    <xf numFmtId="0" fontId="37" fillId="9" borderId="31" xfId="18" applyFont="1" applyFill="1" applyBorder="1" applyAlignment="1">
      <alignment horizontal="center" vertical="center"/>
    </xf>
    <xf numFmtId="0" fontId="37" fillId="9" borderId="39" xfId="18" applyFont="1" applyFill="1" applyBorder="1" applyAlignment="1">
      <alignment horizontal="center" vertical="center"/>
    </xf>
    <xf numFmtId="0" fontId="37" fillId="10" borderId="31" xfId="18" applyFont="1" applyFill="1" applyBorder="1" applyAlignment="1">
      <alignment horizontal="center" vertical="center"/>
    </xf>
    <xf numFmtId="0" fontId="37" fillId="10" borderId="39" xfId="18" applyFont="1" applyFill="1" applyBorder="1" applyAlignment="1">
      <alignment horizontal="center" vertical="center"/>
    </xf>
    <xf numFmtId="0" fontId="37" fillId="10" borderId="37" xfId="18" applyFont="1" applyFill="1" applyBorder="1" applyAlignment="1">
      <alignment horizontal="center" vertical="center"/>
    </xf>
    <xf numFmtId="0" fontId="33" fillId="9" borderId="103" xfId="0" applyFont="1" applyFill="1" applyBorder="1" applyAlignment="1">
      <alignment vertical="center"/>
    </xf>
    <xf numFmtId="0" fontId="33" fillId="9" borderId="31" xfId="0" applyFont="1" applyFill="1" applyBorder="1" applyAlignment="1">
      <alignment vertical="center" wrapText="1"/>
    </xf>
    <xf numFmtId="0" fontId="33" fillId="9" borderId="39" xfId="0" applyFont="1" applyFill="1" applyBorder="1" applyAlignment="1">
      <alignment vertical="center" wrapText="1"/>
    </xf>
    <xf numFmtId="0" fontId="33" fillId="9" borderId="54" xfId="0" applyFont="1" applyFill="1" applyBorder="1" applyAlignment="1">
      <alignment vertical="center" wrapText="1"/>
    </xf>
    <xf numFmtId="181" fontId="33" fillId="9" borderId="54" xfId="18" applyNumberFormat="1" applyFont="1" applyFill="1" applyBorder="1" applyAlignment="1">
      <alignment horizontal="center" vertical="center"/>
    </xf>
    <xf numFmtId="14" fontId="33" fillId="9" borderId="52" xfId="18" applyNumberFormat="1" applyFont="1" applyFill="1" applyBorder="1" applyAlignment="1">
      <alignment horizontal="center" vertical="center"/>
    </xf>
    <xf numFmtId="56" fontId="33" fillId="9" borderId="54" xfId="18" applyNumberFormat="1" applyFont="1" applyFill="1" applyBorder="1" applyAlignment="1">
      <alignment horizontal="center" vertical="center"/>
    </xf>
    <xf numFmtId="0" fontId="33" fillId="9" borderId="95" xfId="18" applyFont="1" applyFill="1" applyBorder="1" applyAlignment="1">
      <alignment vertical="center"/>
    </xf>
    <xf numFmtId="0" fontId="33" fillId="10" borderId="69" xfId="16" applyFont="1" applyFill="1" applyBorder="1" applyAlignment="1">
      <alignment vertical="top" wrapText="1"/>
    </xf>
    <xf numFmtId="0" fontId="33" fillId="10" borderId="36" xfId="16" applyFont="1" applyFill="1" applyBorder="1" applyAlignment="1">
      <alignment vertical="top" wrapText="1"/>
    </xf>
    <xf numFmtId="0" fontId="33" fillId="10" borderId="39" xfId="16" quotePrefix="1" applyFont="1" applyFill="1" applyBorder="1" applyAlignment="1">
      <alignment horizontal="center" vertical="center" wrapText="1"/>
    </xf>
    <xf numFmtId="176" fontId="30" fillId="10" borderId="36" xfId="16" applyNumberFormat="1" applyFont="1" applyFill="1" applyBorder="1" applyAlignment="1">
      <alignment horizontal="center" vertical="center" wrapText="1"/>
    </xf>
    <xf numFmtId="176" fontId="33" fillId="10" borderId="38" xfId="16" applyNumberFormat="1" applyFont="1" applyFill="1" applyBorder="1" applyAlignment="1">
      <alignment horizontal="center" vertical="center" wrapText="1"/>
    </xf>
    <xf numFmtId="0" fontId="33" fillId="10" borderId="54" xfId="16" applyFont="1" applyFill="1" applyBorder="1" applyAlignment="1">
      <alignment horizontal="center" vertical="center" wrapText="1"/>
    </xf>
    <xf numFmtId="0" fontId="33" fillId="10" borderId="95" xfId="16" applyFont="1" applyFill="1" applyBorder="1" applyAlignment="1">
      <alignment horizontal="center" vertical="center" wrapText="1"/>
    </xf>
    <xf numFmtId="181" fontId="33" fillId="9" borderId="54" xfId="18" quotePrefix="1" applyNumberFormat="1" applyFont="1" applyFill="1" applyBorder="1" applyAlignment="1">
      <alignment horizontal="center" vertical="center"/>
    </xf>
    <xf numFmtId="14" fontId="33" fillId="9" borderId="52" xfId="18" quotePrefix="1" applyNumberFormat="1" applyFont="1" applyFill="1" applyBorder="1" applyAlignment="1">
      <alignment horizontal="center" vertical="center"/>
    </xf>
    <xf numFmtId="0" fontId="39" fillId="9" borderId="95" xfId="18" applyFont="1" applyFill="1" applyBorder="1" applyAlignment="1">
      <alignment vertical="center"/>
    </xf>
    <xf numFmtId="0" fontId="33" fillId="10" borderId="37" xfId="16" applyFont="1" applyFill="1" applyBorder="1" applyAlignment="1">
      <alignment horizontal="center" vertical="center" wrapText="1"/>
    </xf>
    <xf numFmtId="0" fontId="33" fillId="10" borderId="31" xfId="16" applyFont="1" applyFill="1" applyBorder="1" applyAlignment="1">
      <alignment horizontal="center" vertical="center" wrapText="1"/>
    </xf>
    <xf numFmtId="176" fontId="33" fillId="9" borderId="35" xfId="16" applyNumberFormat="1" applyFont="1" applyFill="1" applyBorder="1" applyAlignment="1">
      <alignment horizontal="center" vertical="center" wrapText="1"/>
    </xf>
    <xf numFmtId="176" fontId="33" fillId="9" borderId="49" xfId="16" applyNumberFormat="1" applyFont="1" applyFill="1" applyBorder="1" applyAlignment="1">
      <alignment horizontal="center" vertical="center" wrapText="1"/>
    </xf>
    <xf numFmtId="0" fontId="35" fillId="9" borderId="28" xfId="16" applyFont="1" applyFill="1" applyBorder="1" applyAlignment="1">
      <alignment vertical="center" wrapText="1" shrinkToFit="1"/>
    </xf>
    <xf numFmtId="0" fontId="35" fillId="9" borderId="114" xfId="16" applyFont="1" applyFill="1" applyBorder="1" applyAlignment="1">
      <alignment vertical="center" wrapText="1" shrinkToFit="1"/>
    </xf>
    <xf numFmtId="0" fontId="33" fillId="9" borderId="65" xfId="16" applyFont="1" applyFill="1" applyBorder="1" applyAlignment="1">
      <alignment horizontal="left" vertical="center"/>
    </xf>
    <xf numFmtId="0" fontId="33" fillId="9" borderId="48" xfId="16" applyFont="1" applyFill="1" applyBorder="1" applyAlignment="1">
      <alignment vertical="center" wrapText="1"/>
    </xf>
    <xf numFmtId="0" fontId="33" fillId="9" borderId="35" xfId="16" applyFont="1" applyFill="1" applyBorder="1" applyAlignment="1">
      <alignment vertical="center" wrapText="1"/>
    </xf>
    <xf numFmtId="0" fontId="33" fillId="9" borderId="53" xfId="16" applyFont="1" applyFill="1" applyBorder="1" applyAlignment="1">
      <alignment vertical="center" wrapText="1"/>
    </xf>
    <xf numFmtId="0" fontId="33" fillId="9" borderId="89" xfId="16" applyFont="1" applyFill="1" applyBorder="1" applyAlignment="1">
      <alignment vertical="center" wrapText="1" shrinkToFit="1"/>
    </xf>
    <xf numFmtId="0" fontId="33" fillId="9" borderId="88" xfId="16" applyFont="1" applyFill="1" applyBorder="1" applyAlignment="1">
      <alignment vertical="center" wrapText="1"/>
    </xf>
    <xf numFmtId="0" fontId="43" fillId="9" borderId="54" xfId="16" applyFont="1" applyFill="1" applyBorder="1" applyAlignment="1">
      <alignment vertical="center" wrapText="1"/>
    </xf>
    <xf numFmtId="0" fontId="39" fillId="10" borderId="95" xfId="18" applyFont="1" applyFill="1" applyBorder="1" applyAlignment="1">
      <alignment vertical="center" wrapText="1"/>
    </xf>
    <xf numFmtId="0" fontId="0" fillId="0" borderId="3" xfId="0" applyBorder="1"/>
    <xf numFmtId="9" fontId="0" fillId="0" borderId="3" xfId="0" applyNumberFormat="1" applyBorder="1"/>
    <xf numFmtId="0" fontId="0" fillId="0" borderId="119" xfId="0" applyBorder="1"/>
    <xf numFmtId="9" fontId="0" fillId="0" borderId="119" xfId="0" applyNumberFormat="1" applyBorder="1"/>
    <xf numFmtId="0" fontId="0" fillId="14" borderId="120" xfId="0" applyFill="1" applyBorder="1"/>
    <xf numFmtId="182" fontId="0" fillId="0" borderId="121" xfId="0" applyNumberFormat="1" applyBorder="1"/>
    <xf numFmtId="182" fontId="0" fillId="0" borderId="3" xfId="0" applyNumberFormat="1" applyBorder="1"/>
    <xf numFmtId="182" fontId="0" fillId="0" borderId="119" xfId="0" applyNumberFormat="1" applyBorder="1"/>
    <xf numFmtId="182" fontId="44" fillId="0" borderId="120" xfId="0" applyNumberFormat="1" applyFont="1" applyBorder="1"/>
    <xf numFmtId="9" fontId="44" fillId="0" borderId="120" xfId="0" applyNumberFormat="1" applyFont="1" applyBorder="1"/>
    <xf numFmtId="0" fontId="44" fillId="14" borderId="122" xfId="0" applyFont="1" applyFill="1" applyBorder="1"/>
    <xf numFmtId="0" fontId="0" fillId="14" borderId="3" xfId="0" applyFill="1" applyBorder="1"/>
    <xf numFmtId="182" fontId="0" fillId="14" borderId="3" xfId="0" applyNumberFormat="1" applyFill="1" applyBorder="1"/>
    <xf numFmtId="9" fontId="0" fillId="14" borderId="3" xfId="0" applyNumberFormat="1" applyFill="1" applyBorder="1"/>
    <xf numFmtId="176" fontId="33" fillId="10" borderId="36" xfId="16" applyNumberFormat="1" applyFont="1" applyFill="1" applyBorder="1" applyAlignment="1">
      <alignment horizontal="center" vertical="center" wrapText="1"/>
    </xf>
    <xf numFmtId="176" fontId="33" fillId="10" borderId="39" xfId="16" applyNumberFormat="1" applyFont="1" applyFill="1" applyBorder="1" applyAlignment="1">
      <alignment horizontal="center" vertical="center" wrapText="1"/>
    </xf>
    <xf numFmtId="0" fontId="33" fillId="10" borderId="40" xfId="16" applyFont="1" applyFill="1" applyBorder="1" applyAlignment="1">
      <alignment horizontal="center" vertical="center" wrapText="1"/>
    </xf>
    <xf numFmtId="0" fontId="0" fillId="0" borderId="121" xfId="0" applyBorder="1"/>
    <xf numFmtId="9" fontId="0" fillId="0" borderId="121" xfId="0" applyNumberFormat="1" applyBorder="1"/>
    <xf numFmtId="0" fontId="33" fillId="9" borderId="46" xfId="16" applyFont="1" applyFill="1" applyBorder="1" applyAlignment="1">
      <alignment horizontal="center" vertical="center" wrapText="1"/>
    </xf>
    <xf numFmtId="0" fontId="33" fillId="9" borderId="35" xfId="16" quotePrefix="1" applyFont="1" applyFill="1" applyBorder="1" applyAlignment="1">
      <alignment horizontal="center" vertical="center" wrapText="1"/>
    </xf>
    <xf numFmtId="0" fontId="33" fillId="9" borderId="47" xfId="16" quotePrefix="1" applyFont="1" applyFill="1" applyBorder="1" applyAlignment="1">
      <alignment horizontal="center" vertical="center" wrapText="1"/>
    </xf>
    <xf numFmtId="0" fontId="35" fillId="9" borderId="64" xfId="16" applyFont="1" applyFill="1" applyBorder="1" applyAlignment="1">
      <alignment horizontal="left" vertical="center" wrapText="1"/>
    </xf>
    <xf numFmtId="49" fontId="33" fillId="10" borderId="0" xfId="16" applyNumberFormat="1" applyFont="1" applyFill="1" applyAlignment="1">
      <alignment vertical="top" wrapText="1"/>
    </xf>
    <xf numFmtId="0" fontId="33" fillId="7" borderId="90" xfId="16" applyFont="1" applyFill="1" applyBorder="1" applyAlignment="1">
      <alignment vertical="top" wrapText="1"/>
    </xf>
    <xf numFmtId="0" fontId="33" fillId="7" borderId="34" xfId="16" applyFont="1" applyFill="1" applyBorder="1" applyAlignment="1">
      <alignment vertical="top" wrapText="1"/>
    </xf>
    <xf numFmtId="0" fontId="33" fillId="9" borderId="30" xfId="16" applyFont="1" applyFill="1" applyBorder="1" applyAlignment="1">
      <alignment vertical="top" wrapText="1"/>
    </xf>
    <xf numFmtId="0" fontId="35" fillId="9" borderId="54" xfId="16" applyFont="1" applyFill="1" applyBorder="1" applyAlignment="1">
      <alignment vertical="center" wrapText="1"/>
    </xf>
    <xf numFmtId="0" fontId="35" fillId="0" borderId="64" xfId="16" applyFont="1" applyBorder="1" applyAlignment="1">
      <alignment horizontal="left" vertical="center" wrapText="1"/>
    </xf>
    <xf numFmtId="0" fontId="35" fillId="0" borderId="66" xfId="16" applyFont="1" applyBorder="1" applyAlignment="1">
      <alignment horizontal="left" vertical="center" wrapText="1"/>
    </xf>
    <xf numFmtId="0" fontId="46" fillId="7" borderId="91" xfId="16" applyFont="1" applyFill="1" applyBorder="1" applyAlignment="1">
      <alignment vertical="top"/>
    </xf>
    <xf numFmtId="0" fontId="46" fillId="7" borderId="68" xfId="16" applyFont="1" applyFill="1" applyBorder="1" applyAlignment="1">
      <alignment vertical="top"/>
    </xf>
    <xf numFmtId="0" fontId="46" fillId="7" borderId="81" xfId="16" applyFont="1" applyFill="1" applyBorder="1" applyAlignment="1">
      <alignment vertical="top"/>
    </xf>
    <xf numFmtId="176" fontId="33" fillId="8" borderId="36" xfId="16" applyNumberFormat="1" applyFont="1" applyFill="1" applyBorder="1" applyAlignment="1">
      <alignment horizontal="center" vertical="center" wrapText="1"/>
    </xf>
    <xf numFmtId="176" fontId="33" fillId="8" borderId="31" xfId="16" applyNumberFormat="1" applyFont="1" applyFill="1" applyBorder="1" applyAlignment="1">
      <alignment horizontal="center" vertical="center" wrapText="1"/>
    </xf>
    <xf numFmtId="176" fontId="33" fillId="8" borderId="39" xfId="16" applyNumberFormat="1" applyFont="1" applyFill="1" applyBorder="1" applyAlignment="1">
      <alignment horizontal="center" vertical="center" wrapText="1"/>
    </xf>
    <xf numFmtId="0" fontId="46" fillId="0" borderId="65" xfId="16" applyFont="1" applyBorder="1" applyAlignment="1">
      <alignment horizontal="left" vertical="center" wrapText="1"/>
    </xf>
    <xf numFmtId="176" fontId="33" fillId="0" borderId="48" xfId="16" applyNumberFormat="1" applyFont="1" applyFill="1" applyBorder="1" applyAlignment="1">
      <alignment horizontal="center" vertical="center" wrapText="1"/>
    </xf>
    <xf numFmtId="176" fontId="33" fillId="0" borderId="35" xfId="16" applyNumberFormat="1" applyFont="1" applyFill="1" applyBorder="1" applyAlignment="1">
      <alignment horizontal="center" vertical="center" wrapText="1"/>
    </xf>
    <xf numFmtId="176" fontId="33" fillId="0" borderId="49" xfId="16" applyNumberFormat="1" applyFont="1" applyFill="1" applyBorder="1" applyAlignment="1">
      <alignment horizontal="center" vertical="center" wrapText="1"/>
    </xf>
    <xf numFmtId="176" fontId="33" fillId="0" borderId="36" xfId="16" applyNumberFormat="1" applyFont="1" applyFill="1" applyBorder="1" applyAlignment="1">
      <alignment horizontal="center" vertical="center" wrapText="1"/>
    </xf>
    <xf numFmtId="176" fontId="33" fillId="0" borderId="31" xfId="16" applyNumberFormat="1" applyFont="1" applyFill="1" applyBorder="1" applyAlignment="1">
      <alignment horizontal="center" vertical="center" wrapText="1"/>
    </xf>
    <xf numFmtId="176" fontId="33" fillId="0" borderId="39" xfId="16" applyNumberFormat="1" applyFont="1" applyFill="1" applyBorder="1" applyAlignment="1">
      <alignment horizontal="center" vertical="center" wrapText="1"/>
    </xf>
    <xf numFmtId="0" fontId="13" fillId="10" borderId="6" xfId="19" applyFont="1" applyFill="1" applyBorder="1" applyAlignment="1">
      <alignment horizontal="center"/>
    </xf>
    <xf numFmtId="0" fontId="13" fillId="10" borderId="0" xfId="19" applyFont="1" applyFill="1" applyAlignment="1">
      <alignment horizontal="center"/>
    </xf>
    <xf numFmtId="0" fontId="13" fillId="10" borderId="5" xfId="19" applyFont="1" applyFill="1" applyBorder="1" applyAlignment="1">
      <alignment horizontal="center"/>
    </xf>
    <xf numFmtId="49" fontId="14" fillId="10" borderId="10" xfId="19" applyNumberFormat="1" applyFont="1" applyFill="1" applyBorder="1" applyAlignment="1">
      <alignment horizontal="center"/>
    </xf>
    <xf numFmtId="0" fontId="14" fillId="10" borderId="11" xfId="19" applyFont="1" applyFill="1" applyBorder="1" applyAlignment="1">
      <alignment horizontal="center"/>
    </xf>
    <xf numFmtId="0" fontId="14" fillId="10" borderId="12" xfId="19" applyFont="1" applyFill="1" applyBorder="1" applyAlignment="1">
      <alignment horizontal="center"/>
    </xf>
    <xf numFmtId="0" fontId="5" fillId="10" borderId="0" xfId="20" applyFont="1" applyFill="1" applyAlignment="1">
      <alignment horizontal="center" vertical="center"/>
    </xf>
    <xf numFmtId="0" fontId="5" fillId="10" borderId="0" xfId="19" applyFont="1" applyFill="1" applyAlignment="1">
      <alignment horizontal="center" vertical="center"/>
    </xf>
    <xf numFmtId="0" fontId="26" fillId="0" borderId="16" xfId="21" applyFont="1" applyBorder="1" applyAlignment="1">
      <alignment horizontal="center" vertical="center"/>
    </xf>
    <xf numFmtId="0" fontId="26" fillId="0" borderId="17" xfId="21" applyFont="1" applyBorder="1" applyAlignment="1">
      <alignment horizontal="center" vertical="center"/>
    </xf>
    <xf numFmtId="0" fontId="26" fillId="0" borderId="18" xfId="21" applyFont="1" applyBorder="1" applyAlignment="1">
      <alignment horizontal="center" vertical="center"/>
    </xf>
    <xf numFmtId="0" fontId="26" fillId="0" borderId="19" xfId="21" applyFont="1" applyBorder="1" applyAlignment="1">
      <alignment horizontal="center" vertical="center"/>
    </xf>
    <xf numFmtId="0" fontId="26" fillId="0" borderId="20" xfId="21" applyFont="1" applyBorder="1" applyAlignment="1">
      <alignment horizontal="center" vertical="center"/>
    </xf>
    <xf numFmtId="0" fontId="26" fillId="0" borderId="21" xfId="21" applyFont="1" applyBorder="1" applyAlignment="1">
      <alignment horizontal="center" vertical="center"/>
    </xf>
    <xf numFmtId="0" fontId="26" fillId="5" borderId="15" xfId="21" applyFont="1" applyFill="1" applyBorder="1" applyAlignment="1">
      <alignment horizontal="center" vertical="center"/>
    </xf>
    <xf numFmtId="0" fontId="26" fillId="5" borderId="2" xfId="21" applyFont="1" applyFill="1" applyBorder="1" applyAlignment="1">
      <alignment horizontal="center" vertical="center"/>
    </xf>
    <xf numFmtId="0" fontId="26" fillId="0" borderId="15" xfId="21" applyFont="1" applyBorder="1" applyAlignment="1">
      <alignment horizontal="center" vertical="center"/>
    </xf>
    <xf numFmtId="0" fontId="26" fillId="0" borderId="2" xfId="21" applyFont="1" applyBorder="1" applyAlignment="1">
      <alignment horizontal="center" vertical="center"/>
    </xf>
    <xf numFmtId="0" fontId="26" fillId="5" borderId="7" xfId="21" applyFont="1" applyFill="1" applyBorder="1" applyAlignment="1">
      <alignment horizontal="center" vertical="center"/>
    </xf>
    <xf numFmtId="0" fontId="26" fillId="5" borderId="8" xfId="21" applyFont="1" applyFill="1" applyBorder="1" applyAlignment="1">
      <alignment horizontal="center" vertical="center"/>
    </xf>
    <xf numFmtId="0" fontId="26" fillId="5" borderId="9" xfId="21" applyFont="1" applyFill="1" applyBorder="1" applyAlignment="1">
      <alignment horizontal="center" vertical="center"/>
    </xf>
    <xf numFmtId="0" fontId="26" fillId="5" borderId="13" xfId="21" applyFont="1" applyFill="1" applyBorder="1" applyAlignment="1">
      <alignment horizontal="center" vertical="center"/>
    </xf>
    <xf numFmtId="0" fontId="26" fillId="5" borderId="14" xfId="21" applyFont="1" applyFill="1" applyBorder="1" applyAlignment="1">
      <alignment horizontal="center" vertical="center"/>
    </xf>
    <xf numFmtId="0" fontId="26" fillId="0" borderId="13" xfId="21" applyFont="1" applyBorder="1" applyAlignment="1">
      <alignment horizontal="center" vertical="center"/>
    </xf>
    <xf numFmtId="0" fontId="26" fillId="0" borderId="14" xfId="21" applyFont="1" applyBorder="1" applyAlignment="1">
      <alignment horizontal="center" vertical="center"/>
    </xf>
    <xf numFmtId="0" fontId="26" fillId="5" borderId="10" xfId="21" applyFont="1" applyFill="1" applyBorder="1" applyAlignment="1">
      <alignment horizontal="center" vertical="center"/>
    </xf>
    <xf numFmtId="0" fontId="26" fillId="5" borderId="11" xfId="21" applyFont="1" applyFill="1" applyBorder="1" applyAlignment="1">
      <alignment horizontal="center" vertical="center"/>
    </xf>
    <xf numFmtId="0" fontId="26" fillId="5" borderId="12" xfId="21" applyFont="1" applyFill="1" applyBorder="1" applyAlignment="1">
      <alignment horizontal="center" vertical="center"/>
    </xf>
    <xf numFmtId="14" fontId="26" fillId="10" borderId="0" xfId="21" applyNumberFormat="1" applyFont="1" applyFill="1" applyAlignment="1">
      <alignment horizontal="center" vertical="center"/>
    </xf>
    <xf numFmtId="0" fontId="26" fillId="10" borderId="0" xfId="21" applyFont="1" applyFill="1" applyAlignment="1">
      <alignment horizontal="left" vertical="center"/>
    </xf>
    <xf numFmtId="0" fontId="26" fillId="6" borderId="25" xfId="21" applyFont="1" applyFill="1" applyBorder="1" applyAlignment="1">
      <alignment horizontal="center" vertical="center"/>
    </xf>
    <xf numFmtId="0" fontId="26" fillId="6" borderId="17" xfId="21" applyFont="1" applyFill="1" applyBorder="1" applyAlignment="1">
      <alignment horizontal="center" vertical="center"/>
    </xf>
    <xf numFmtId="0" fontId="26" fillId="6" borderId="18" xfId="21" applyFont="1" applyFill="1" applyBorder="1" applyAlignment="1">
      <alignment horizontal="center" vertical="center"/>
    </xf>
    <xf numFmtId="0" fontId="26" fillId="6" borderId="27" xfId="21" applyFont="1" applyFill="1" applyBorder="1" applyAlignment="1">
      <alignment horizontal="center" vertical="center"/>
    </xf>
    <xf numFmtId="0" fontId="26" fillId="6" borderId="20" xfId="21" applyFont="1" applyFill="1" applyBorder="1" applyAlignment="1">
      <alignment horizontal="center" vertical="center"/>
    </xf>
    <xf numFmtId="0" fontId="26" fillId="6" borderId="21" xfId="21" applyFont="1" applyFill="1" applyBorder="1" applyAlignment="1">
      <alignment horizontal="center" vertical="center"/>
    </xf>
    <xf numFmtId="0" fontId="26" fillId="6" borderId="16" xfId="21" applyFont="1" applyFill="1" applyBorder="1" applyAlignment="1">
      <alignment horizontal="center" vertical="center"/>
    </xf>
    <xf numFmtId="0" fontId="26" fillId="6" borderId="24" xfId="21" applyFont="1" applyFill="1" applyBorder="1" applyAlignment="1">
      <alignment horizontal="center" vertical="center"/>
    </xf>
    <xf numFmtId="0" fontId="26" fillId="6" borderId="19" xfId="21" applyFont="1" applyFill="1" applyBorder="1" applyAlignment="1">
      <alignment horizontal="center" vertical="center"/>
    </xf>
    <xf numFmtId="0" fontId="26" fillId="6" borderId="26" xfId="21" applyFont="1" applyFill="1" applyBorder="1" applyAlignment="1">
      <alignment horizontal="center" vertical="center"/>
    </xf>
    <xf numFmtId="49" fontId="26" fillId="6" borderId="25" xfId="21" applyNumberFormat="1" applyFont="1" applyFill="1" applyBorder="1" applyAlignment="1">
      <alignment horizontal="center" vertical="center"/>
    </xf>
    <xf numFmtId="49" fontId="26" fillId="6" borderId="17" xfId="21" applyNumberFormat="1" applyFont="1" applyFill="1" applyBorder="1" applyAlignment="1">
      <alignment horizontal="center" vertical="center"/>
    </xf>
    <xf numFmtId="49" fontId="26" fillId="6" borderId="24" xfId="21" applyNumberFormat="1" applyFont="1" applyFill="1" applyBorder="1" applyAlignment="1">
      <alignment horizontal="center" vertical="center"/>
    </xf>
    <xf numFmtId="49" fontId="26" fillId="6" borderId="27" xfId="21" applyNumberFormat="1" applyFont="1" applyFill="1" applyBorder="1" applyAlignment="1">
      <alignment horizontal="center" vertical="center"/>
    </xf>
    <xf numFmtId="49" fontId="26" fillId="6" borderId="20" xfId="21" applyNumberFormat="1" applyFont="1" applyFill="1" applyBorder="1" applyAlignment="1">
      <alignment horizontal="center" vertical="center"/>
    </xf>
    <xf numFmtId="49" fontId="26" fillId="6" borderId="26" xfId="21" applyNumberFormat="1" applyFont="1" applyFill="1" applyBorder="1" applyAlignment="1">
      <alignment horizontal="center" vertical="center"/>
    </xf>
    <xf numFmtId="14" fontId="26" fillId="4" borderId="16" xfId="21" applyNumberFormat="1" applyFont="1" applyFill="1" applyBorder="1" applyAlignment="1">
      <alignment horizontal="center" vertical="center"/>
    </xf>
    <xf numFmtId="14" fontId="26" fillId="4" borderId="17" xfId="21" applyNumberFormat="1" applyFont="1" applyFill="1" applyBorder="1" applyAlignment="1">
      <alignment horizontal="center" vertical="center"/>
    </xf>
    <xf numFmtId="14" fontId="26" fillId="4" borderId="24" xfId="21" applyNumberFormat="1" applyFont="1" applyFill="1" applyBorder="1" applyAlignment="1">
      <alignment horizontal="center" vertical="center"/>
    </xf>
    <xf numFmtId="14" fontId="26" fillId="4" borderId="19" xfId="21" applyNumberFormat="1" applyFont="1" applyFill="1" applyBorder="1" applyAlignment="1">
      <alignment horizontal="center" vertical="center"/>
    </xf>
    <xf numFmtId="14" fontId="26" fillId="4" borderId="20" xfId="21" applyNumberFormat="1" applyFont="1" applyFill="1" applyBorder="1" applyAlignment="1">
      <alignment horizontal="center" vertical="center"/>
    </xf>
    <xf numFmtId="14" fontId="26" fillId="4" borderId="26" xfId="21" applyNumberFormat="1" applyFont="1" applyFill="1" applyBorder="1" applyAlignment="1">
      <alignment horizontal="center" vertical="center"/>
    </xf>
    <xf numFmtId="180" fontId="26" fillId="4" borderId="25" xfId="21" applyNumberFormat="1" applyFont="1" applyFill="1" applyBorder="1" applyAlignment="1">
      <alignment horizontal="center" vertical="center"/>
    </xf>
    <xf numFmtId="180" fontId="26" fillId="4" borderId="24" xfId="21" applyNumberFormat="1" applyFont="1" applyFill="1" applyBorder="1" applyAlignment="1">
      <alignment horizontal="center" vertical="center"/>
    </xf>
    <xf numFmtId="180" fontId="26" fillId="4" borderId="27" xfId="21" applyNumberFormat="1" applyFont="1" applyFill="1" applyBorder="1" applyAlignment="1">
      <alignment horizontal="center" vertical="center"/>
    </xf>
    <xf numFmtId="180" fontId="26" fillId="4" borderId="26" xfId="21" applyNumberFormat="1" applyFont="1" applyFill="1" applyBorder="1" applyAlignment="1">
      <alignment horizontal="center" vertical="center"/>
    </xf>
    <xf numFmtId="0" fontId="26" fillId="4" borderId="25" xfId="21" applyFont="1" applyFill="1" applyBorder="1" applyAlignment="1">
      <alignment horizontal="center" vertical="center"/>
    </xf>
    <xf numFmtId="0" fontId="26" fillId="4" borderId="17" xfId="21" applyFont="1" applyFill="1" applyBorder="1" applyAlignment="1">
      <alignment horizontal="center" vertical="center"/>
    </xf>
    <xf numFmtId="0" fontId="26" fillId="4" borderId="18" xfId="21" applyFont="1" applyFill="1" applyBorder="1" applyAlignment="1">
      <alignment horizontal="center" vertical="center"/>
    </xf>
    <xf numFmtId="0" fontId="26" fillId="4" borderId="27" xfId="21" applyFont="1" applyFill="1" applyBorder="1" applyAlignment="1">
      <alignment horizontal="center" vertical="center"/>
    </xf>
    <xf numFmtId="0" fontId="26" fillId="4" borderId="20" xfId="21" applyFont="1" applyFill="1" applyBorder="1" applyAlignment="1">
      <alignment horizontal="center" vertical="center"/>
    </xf>
    <xf numFmtId="0" fontId="26" fillId="4" borderId="21" xfId="21" applyFont="1" applyFill="1" applyBorder="1" applyAlignment="1">
      <alignment horizontal="center" vertical="center"/>
    </xf>
    <xf numFmtId="0" fontId="26" fillId="10" borderId="0" xfId="21" applyFont="1" applyFill="1" applyAlignment="1">
      <alignment horizontal="center" vertical="center"/>
    </xf>
    <xf numFmtId="179" fontId="26" fillId="10" borderId="0" xfId="21" applyNumberFormat="1" applyFont="1" applyFill="1" applyAlignment="1">
      <alignment horizontal="center" vertical="center"/>
    </xf>
    <xf numFmtId="0" fontId="36" fillId="7" borderId="55" xfId="16" applyFont="1" applyFill="1" applyBorder="1" applyAlignment="1">
      <alignment horizontal="center" vertical="center" wrapText="1"/>
    </xf>
    <xf numFmtId="0" fontId="36" fillId="7" borderId="56" xfId="16" applyFont="1" applyFill="1" applyBorder="1" applyAlignment="1">
      <alignment horizontal="center" vertical="center" wrapText="1"/>
    </xf>
    <xf numFmtId="0" fontId="36" fillId="7" borderId="57" xfId="16" applyFont="1" applyFill="1" applyBorder="1" applyAlignment="1">
      <alignment horizontal="center" vertical="center" wrapText="1"/>
    </xf>
    <xf numFmtId="0" fontId="36" fillId="7" borderId="60" xfId="16" applyFont="1" applyFill="1" applyBorder="1" applyAlignment="1">
      <alignment horizontal="center" vertical="center" wrapText="1"/>
    </xf>
    <xf numFmtId="0" fontId="36" fillId="7" borderId="61" xfId="16" applyFont="1" applyFill="1" applyBorder="1" applyAlignment="1">
      <alignment horizontal="center" vertical="center" wrapText="1"/>
    </xf>
    <xf numFmtId="0" fontId="36" fillId="7" borderId="63" xfId="16" applyFont="1" applyFill="1" applyBorder="1" applyAlignment="1">
      <alignment horizontal="center" vertical="center" wrapText="1"/>
    </xf>
    <xf numFmtId="0" fontId="36" fillId="7" borderId="84" xfId="16" applyFont="1" applyFill="1" applyBorder="1" applyAlignment="1">
      <alignment horizontal="center" vertical="center" wrapText="1"/>
    </xf>
    <xf numFmtId="0" fontId="36" fillId="7" borderId="62" xfId="16" applyFont="1" applyFill="1" applyBorder="1" applyAlignment="1">
      <alignment horizontal="center" vertical="center" wrapText="1"/>
    </xf>
    <xf numFmtId="0" fontId="36" fillId="7" borderId="80" xfId="16" applyFont="1" applyFill="1" applyBorder="1" applyAlignment="1">
      <alignment horizontal="center" vertical="center" wrapText="1"/>
    </xf>
    <xf numFmtId="0" fontId="36" fillId="7" borderId="51" xfId="16" applyFont="1" applyFill="1" applyBorder="1" applyAlignment="1">
      <alignment horizontal="right"/>
    </xf>
    <xf numFmtId="0" fontId="36" fillId="7" borderId="71" xfId="16" applyFont="1" applyFill="1" applyBorder="1" applyAlignment="1">
      <alignment horizontal="right"/>
    </xf>
    <xf numFmtId="0" fontId="36" fillId="7" borderId="29" xfId="16" applyFont="1" applyFill="1" applyBorder="1" applyAlignment="1">
      <alignment horizontal="right"/>
    </xf>
    <xf numFmtId="0" fontId="36" fillId="7" borderId="33" xfId="16" applyFont="1" applyFill="1" applyBorder="1" applyAlignment="1">
      <alignment horizontal="right"/>
    </xf>
    <xf numFmtId="0" fontId="36" fillId="7" borderId="29" xfId="16" applyFont="1" applyFill="1" applyBorder="1" applyAlignment="1">
      <alignment horizontal="center" vertical="center"/>
    </xf>
    <xf numFmtId="0" fontId="36" fillId="7" borderId="33" xfId="16" applyFont="1" applyFill="1" applyBorder="1" applyAlignment="1">
      <alignment horizontal="center" vertical="center"/>
    </xf>
    <xf numFmtId="0" fontId="32" fillId="7" borderId="45" xfId="16" applyFont="1" applyFill="1" applyBorder="1" applyAlignment="1">
      <alignment horizontal="center"/>
    </xf>
    <xf numFmtId="0" fontId="32" fillId="7" borderId="77" xfId="16" applyFont="1" applyFill="1" applyBorder="1" applyAlignment="1">
      <alignment horizontal="center"/>
    </xf>
    <xf numFmtId="0" fontId="32" fillId="7" borderId="32" xfId="16" applyFont="1" applyFill="1" applyBorder="1" applyAlignment="1">
      <alignment horizontal="center"/>
    </xf>
    <xf numFmtId="0" fontId="32" fillId="7" borderId="78" xfId="16" applyFont="1" applyFill="1" applyBorder="1" applyAlignment="1">
      <alignment horizontal="center"/>
    </xf>
    <xf numFmtId="0" fontId="32" fillId="7" borderId="41" xfId="16" applyFont="1" applyFill="1" applyBorder="1" applyAlignment="1">
      <alignment horizontal="center"/>
    </xf>
    <xf numFmtId="0" fontId="32" fillId="7" borderId="79" xfId="16" applyFont="1" applyFill="1" applyBorder="1" applyAlignment="1">
      <alignment horizontal="center"/>
    </xf>
    <xf numFmtId="49" fontId="36" fillId="7" borderId="58" xfId="16" applyNumberFormat="1" applyFont="1" applyFill="1" applyBorder="1" applyAlignment="1">
      <alignment horizontal="center" vertical="center"/>
    </xf>
    <xf numFmtId="49" fontId="36" fillId="7" borderId="56" xfId="16" applyNumberFormat="1" applyFont="1" applyFill="1" applyBorder="1" applyAlignment="1">
      <alignment horizontal="center" vertical="center"/>
    </xf>
    <xf numFmtId="49" fontId="36" fillId="7" borderId="59" xfId="16" applyNumberFormat="1" applyFont="1" applyFill="1" applyBorder="1" applyAlignment="1">
      <alignment horizontal="center" vertical="center"/>
    </xf>
    <xf numFmtId="0" fontId="36" fillId="7" borderId="85" xfId="16" applyFont="1" applyFill="1" applyBorder="1" applyAlignment="1">
      <alignment horizontal="center" vertical="center" wrapText="1"/>
    </xf>
    <xf numFmtId="0" fontId="36" fillId="7" borderId="70" xfId="16" applyFont="1" applyFill="1" applyBorder="1" applyAlignment="1">
      <alignment horizontal="center" vertical="center" wrapText="1"/>
    </xf>
    <xf numFmtId="0" fontId="36" fillId="7" borderId="85" xfId="16" applyFont="1" applyFill="1" applyBorder="1" applyAlignment="1">
      <alignment horizontal="right"/>
    </xf>
    <xf numFmtId="0" fontId="36" fillId="7" borderId="67" xfId="16" applyFont="1" applyFill="1" applyBorder="1" applyAlignment="1">
      <alignment horizontal="right"/>
    </xf>
    <xf numFmtId="0" fontId="36" fillId="7" borderId="69" xfId="16" applyFont="1" applyFill="1" applyBorder="1" applyAlignment="1">
      <alignment horizontal="right"/>
    </xf>
    <xf numFmtId="0" fontId="36" fillId="7" borderId="70" xfId="16" applyFont="1" applyFill="1" applyBorder="1" applyAlignment="1">
      <alignment horizontal="right"/>
    </xf>
    <xf numFmtId="0" fontId="42" fillId="0" borderId="44" xfId="18" applyFont="1" applyBorder="1" applyAlignment="1">
      <alignment horizontal="right"/>
    </xf>
    <xf numFmtId="0" fontId="42" fillId="0" borderId="110" xfId="18" applyFont="1" applyBorder="1" applyAlignment="1">
      <alignment horizontal="right"/>
    </xf>
    <xf numFmtId="0" fontId="42" fillId="0" borderId="108" xfId="18" applyFont="1" applyBorder="1" applyAlignment="1">
      <alignment horizontal="center" vertical="center"/>
    </xf>
    <xf numFmtId="0" fontId="42" fillId="0" borderId="35" xfId="18" applyFont="1" applyBorder="1" applyAlignment="1">
      <alignment horizontal="center" vertical="center"/>
    </xf>
    <xf numFmtId="0" fontId="42" fillId="0" borderId="32" xfId="18" applyFont="1" applyBorder="1" applyAlignment="1">
      <alignment horizontal="center" vertical="center"/>
    </xf>
    <xf numFmtId="0" fontId="42" fillId="0" borderId="78" xfId="18" applyFont="1" applyBorder="1" applyAlignment="1">
      <alignment horizontal="center" vertical="center"/>
    </xf>
    <xf numFmtId="0" fontId="42" fillId="0" borderId="97" xfId="18" applyFont="1" applyBorder="1" applyAlignment="1">
      <alignment horizontal="center" vertical="center" wrapText="1"/>
    </xf>
    <xf numFmtId="0" fontId="42" fillId="0" borderId="22" xfId="18" applyFont="1" applyBorder="1" applyAlignment="1">
      <alignment horizontal="center" vertical="center"/>
    </xf>
    <xf numFmtId="0" fontId="42" fillId="0" borderId="105" xfId="18" applyFont="1" applyBorder="1" applyAlignment="1">
      <alignment horizontal="center" vertical="center"/>
    </xf>
    <xf numFmtId="0" fontId="36" fillId="11" borderId="94" xfId="18" applyFont="1" applyFill="1" applyBorder="1" applyAlignment="1">
      <alignment horizontal="center" vertical="center"/>
    </xf>
    <xf numFmtId="0" fontId="36" fillId="11" borderId="89" xfId="18" applyFont="1" applyFill="1" applyBorder="1" applyAlignment="1">
      <alignment horizontal="center" vertical="center"/>
    </xf>
    <xf numFmtId="0" fontId="33" fillId="0" borderId="91" xfId="18" applyFont="1" applyBorder="1" applyAlignment="1">
      <alignment horizontal="center" vertical="center" wrapText="1"/>
    </xf>
    <xf numFmtId="0" fontId="33" fillId="0" borderId="68" xfId="18" applyFont="1" applyBorder="1" applyAlignment="1">
      <alignment horizontal="center" vertical="center" wrapText="1"/>
    </xf>
    <xf numFmtId="0" fontId="33" fillId="0" borderId="81" xfId="18" applyFont="1" applyBorder="1" applyAlignment="1">
      <alignment horizontal="center" vertical="center" wrapText="1"/>
    </xf>
    <xf numFmtId="0" fontId="36" fillId="0" borderId="98" xfId="0" applyFont="1" applyBorder="1" applyAlignment="1">
      <alignment horizontal="right" vertical="center"/>
    </xf>
    <xf numFmtId="0" fontId="36" fillId="0" borderId="52" xfId="0" applyFont="1" applyBorder="1" applyAlignment="1">
      <alignment horizontal="right" vertical="center"/>
    </xf>
    <xf numFmtId="0" fontId="36" fillId="0" borderId="111" xfId="0" applyFont="1" applyBorder="1" applyAlignment="1">
      <alignment horizontal="right" vertical="center"/>
    </xf>
    <xf numFmtId="0" fontId="36" fillId="0" borderId="73" xfId="0" applyFont="1" applyBorder="1" applyAlignment="1">
      <alignment horizontal="right" vertical="center"/>
    </xf>
    <xf numFmtId="0" fontId="36" fillId="11" borderId="102" xfId="18" applyFont="1" applyFill="1" applyBorder="1" applyAlignment="1">
      <alignment horizontal="center" vertical="center"/>
    </xf>
    <xf numFmtId="0" fontId="36" fillId="11" borderId="66" xfId="18" applyFont="1" applyFill="1" applyBorder="1" applyAlignment="1">
      <alignment horizontal="center" vertical="center"/>
    </xf>
    <xf numFmtId="0" fontId="36" fillId="11" borderId="94" xfId="0" applyFont="1" applyFill="1" applyBorder="1" applyAlignment="1">
      <alignment horizontal="center" vertical="center"/>
    </xf>
    <xf numFmtId="0" fontId="36" fillId="11" borderId="89" xfId="0" applyFont="1" applyFill="1" applyBorder="1" applyAlignment="1">
      <alignment horizontal="center" vertical="center"/>
    </xf>
    <xf numFmtId="0" fontId="36" fillId="0" borderId="104" xfId="0" applyFont="1" applyBorder="1" applyAlignment="1">
      <alignment horizontal="right" vertical="center"/>
    </xf>
    <xf numFmtId="0" fontId="36" fillId="0" borderId="61" xfId="0" applyFont="1" applyBorder="1" applyAlignment="1">
      <alignment horizontal="right" vertical="center"/>
    </xf>
    <xf numFmtId="0" fontId="36" fillId="11" borderId="106" xfId="18" applyFont="1" applyFill="1" applyBorder="1" applyAlignment="1">
      <alignment horizontal="center" vertical="center"/>
    </xf>
    <xf numFmtId="0" fontId="36" fillId="11" borderId="107" xfId="18" applyFont="1" applyFill="1" applyBorder="1" applyAlignment="1">
      <alignment horizontal="center" vertical="center"/>
    </xf>
    <xf numFmtId="0" fontId="36" fillId="11" borderId="108" xfId="18" applyFont="1" applyFill="1" applyBorder="1" applyAlignment="1">
      <alignment horizontal="center" vertical="center"/>
    </xf>
    <xf numFmtId="0" fontId="36" fillId="11" borderId="78" xfId="18" applyFont="1" applyFill="1" applyBorder="1" applyAlignment="1">
      <alignment horizontal="center" vertical="center"/>
    </xf>
    <xf numFmtId="0" fontId="36" fillId="11" borderId="109" xfId="18" applyFont="1" applyFill="1" applyBorder="1" applyAlignment="1">
      <alignment horizontal="center" vertical="center"/>
    </xf>
    <xf numFmtId="0" fontId="36" fillId="11" borderId="110" xfId="18" applyFont="1" applyFill="1" applyBorder="1" applyAlignment="1">
      <alignment horizontal="center" vertical="center"/>
    </xf>
    <xf numFmtId="0" fontId="36" fillId="11" borderId="55" xfId="18" applyFont="1" applyFill="1" applyBorder="1" applyAlignment="1">
      <alignment horizontal="center" vertical="center"/>
    </xf>
    <xf numFmtId="0" fontId="36" fillId="11" borderId="56" xfId="18" applyFont="1" applyFill="1" applyBorder="1" applyAlignment="1">
      <alignment horizontal="center" vertical="center"/>
    </xf>
    <xf numFmtId="0" fontId="36" fillId="11" borderId="57" xfId="18" applyFont="1" applyFill="1" applyBorder="1" applyAlignment="1">
      <alignment horizontal="center" vertical="center"/>
    </xf>
    <xf numFmtId="0" fontId="42" fillId="0" borderId="109" xfId="18" applyFont="1" applyBorder="1" applyAlignment="1">
      <alignment horizontal="right"/>
    </xf>
    <xf numFmtId="0" fontId="42" fillId="0" borderId="47" xfId="18" applyFont="1" applyBorder="1" applyAlignment="1">
      <alignment horizontal="right"/>
    </xf>
    <xf numFmtId="0" fontId="45" fillId="7" borderId="63" xfId="16" applyFont="1" applyFill="1" applyBorder="1" applyAlignment="1">
      <alignment horizontal="center" vertical="center" wrapText="1"/>
    </xf>
    <xf numFmtId="0" fontId="45" fillId="7" borderId="84" xfId="16" applyFont="1" applyFill="1" applyBorder="1" applyAlignment="1">
      <alignment horizontal="center" vertical="center" wrapText="1"/>
    </xf>
    <xf numFmtId="0" fontId="36" fillId="7" borderId="92" xfId="16" applyFont="1" applyFill="1" applyBorder="1" applyAlignment="1">
      <alignment horizontal="center" vertical="center" wrapText="1"/>
    </xf>
    <xf numFmtId="0" fontId="36" fillId="7" borderId="75" xfId="16" applyFont="1" applyFill="1" applyBorder="1" applyAlignment="1">
      <alignment horizontal="center" vertical="center" wrapText="1"/>
    </xf>
    <xf numFmtId="0" fontId="36" fillId="7" borderId="82" xfId="16" applyFont="1" applyFill="1" applyBorder="1" applyAlignment="1">
      <alignment horizontal="center" vertical="center" wrapText="1"/>
    </xf>
    <xf numFmtId="49" fontId="36" fillId="7" borderId="60" xfId="16" applyNumberFormat="1" applyFont="1" applyFill="1" applyBorder="1" applyAlignment="1">
      <alignment horizontal="center" vertical="center"/>
    </xf>
    <xf numFmtId="49" fontId="36" fillId="7" borderId="61" xfId="16" applyNumberFormat="1" applyFont="1" applyFill="1" applyBorder="1" applyAlignment="1">
      <alignment horizontal="center" vertical="center"/>
    </xf>
    <xf numFmtId="0" fontId="36" fillId="7" borderId="93" xfId="16" applyFont="1" applyFill="1" applyBorder="1" applyAlignment="1">
      <alignment horizontal="right"/>
    </xf>
    <xf numFmtId="0" fontId="36" fillId="7" borderId="0" xfId="16" applyFont="1" applyFill="1" applyAlignment="1">
      <alignment horizontal="right"/>
    </xf>
  </cellXfs>
  <cellStyles count="22">
    <cellStyle name="Calc Currency (0)" xfId="1" xr:uid="{00000000-0005-0000-0000-000000000000}"/>
    <cellStyle name="entry" xfId="2" xr:uid="{00000000-0005-0000-0000-000001000000}"/>
    <cellStyle name="Grey" xfId="3" xr:uid="{00000000-0005-0000-0000-000002000000}"/>
    <cellStyle name="Header1" xfId="4" xr:uid="{00000000-0005-0000-0000-000003000000}"/>
    <cellStyle name="Header2" xfId="5" xr:uid="{00000000-0005-0000-0000-000004000000}"/>
    <cellStyle name="Input [yellow]" xfId="6" xr:uid="{00000000-0005-0000-0000-000005000000}"/>
    <cellStyle name="Normal - Style1" xfId="7" xr:uid="{00000000-0005-0000-0000-000006000000}"/>
    <cellStyle name="Normal_#18-Internet" xfId="8" xr:uid="{00000000-0005-0000-0000-000007000000}"/>
    <cellStyle name="Percent [2]" xfId="9" xr:uid="{00000000-0005-0000-0000-000008000000}"/>
    <cellStyle name="price" xfId="10" xr:uid="{00000000-0005-0000-0000-000009000000}"/>
    <cellStyle name="revised" xfId="11" xr:uid="{00000000-0005-0000-0000-00000A000000}"/>
    <cellStyle name="section" xfId="12" xr:uid="{00000000-0005-0000-0000-00000B000000}"/>
    <cellStyle name="title" xfId="13" xr:uid="{00000000-0005-0000-0000-00000C000000}"/>
    <cellStyle name="センター" xfId="14" xr:uid="{00000000-0005-0000-0000-00000D000000}"/>
    <cellStyle name="下点線" xfId="15" xr:uid="{00000000-0005-0000-0000-00000E000000}"/>
    <cellStyle name="標準" xfId="0" builtinId="0"/>
    <cellStyle name="標準 2" xfId="16" xr:uid="{00000000-0005-0000-0000-000010000000}"/>
    <cellStyle name="標準_【GSV7エンハンス】UI規約2.3" xfId="17" xr:uid="{00000000-0005-0000-0000-000011000000}"/>
    <cellStyle name="標準_GS_ST仕様書" xfId="18" xr:uid="{00000000-0005-0000-0000-000013000000}"/>
    <cellStyle name="標準_GSアオキ殿消費税対応ST仕様書兼完了報告書(適用確認)" xfId="19" xr:uid="{00000000-0005-0000-0000-000014000000}"/>
    <cellStyle name="標準_ST仕様書兼完了報告書(領収証・掛伝票印字ﾌｫｰﾏｯﾄ変更)" xfId="20" xr:uid="{00000000-0005-0000-0000-000015000000}"/>
    <cellStyle name="標準_松阪屋実施計画" xfId="21" xr:uid="{00000000-0005-0000-0000-000016000000}"/>
  </cellStyles>
  <dxfs count="0"/>
  <tableStyles count="0" defaultTableStyle="TableStyleMedium2" defaultPivotStyle="PivotStyleLight16"/>
  <colors>
    <mruColors>
      <color rgb="FFCCFFCC"/>
      <color rgb="FF99FF99"/>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externalLink" Target="externalLinks/externalLink4.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sheetMetadata" Target="metadata.xml"/><Relationship Id="rId30" Type="http://schemas.openxmlformats.org/officeDocument/2006/relationships/customXml" Target="../customXml/item1.xml"/></Relationships>
</file>

<file path=xl/activeX/activeX1.xml><?xml version="1.0" encoding="utf-8"?>
<ax:ocx xmlns:ax="http://schemas.microsoft.com/office/2006/activeX" xmlns:r="http://schemas.openxmlformats.org/officeDocument/2006/relationships" ax:classid="{D9347033-9612-11D1-9D75-00C04FCC8CDC}" ax:persistence="persistPropertyBag">
  <ax:ocxPr ax:name="_cx" ax:value="12721"/>
  <ax:ocxPr ax:name="_cy" ax:value="4085"/>
  <ax:ocxPr ax:name="Style" ax:value="2"/>
  <ax:ocxPr ax:name="SubStyle" ax:value="0"/>
  <ax:ocxPr ax:name="Validation" ax:value="0"/>
  <ax:ocxPr ax:name="LineWeight" ax:value="3"/>
  <ax:ocxPr ax:name="Direction" ax:value="0"/>
  <ax:ocxPr ax:name="ShowData" ax:value="1"/>
  <ax:ocxPr ax:name="Value" ax:value="2899999999994"/>
  <ax:ocxPr ax:name="ForeColor" ax:value="0"/>
  <ax:ocxPr ax:name="BackColor" ax:value="16777215"/>
</ax:ocx>
</file>

<file path=xl/activeX/activeX2.xml><?xml version="1.0" encoding="utf-8"?>
<ax:ocx xmlns:ax="http://schemas.microsoft.com/office/2006/activeX" xmlns:r="http://schemas.openxmlformats.org/officeDocument/2006/relationships" ax:classid="{D9347033-9612-11D1-9D75-00C04FCC8CDC}" ax:persistence="persistPropertyBag">
  <ax:ocxPr ax:name="_cx" ax:value="12298"/>
  <ax:ocxPr ax:name="_cy" ax:value="3874"/>
  <ax:ocxPr ax:name="Style" ax:value="2"/>
  <ax:ocxPr ax:name="SubStyle" ax:value="0"/>
  <ax:ocxPr ax:name="Validation" ax:value="0"/>
  <ax:ocxPr ax:name="LineWeight" ax:value="3"/>
  <ax:ocxPr ax:name="Direction" ax:value="0"/>
  <ax:ocxPr ax:name="ShowData" ax:value="1"/>
  <ax:ocxPr ax:name="Value" ax:value="2818208658799"/>
  <ax:ocxPr ax:name="ForeColor" ax:value="0"/>
  <ax:ocxPr ax:name="BackColor" ax:value="16777215"/>
</ax:ocx>
</file>

<file path=xl/activeX/activeX3.xml><?xml version="1.0" encoding="utf-8"?>
<ax:ocx xmlns:ax="http://schemas.microsoft.com/office/2006/activeX" xmlns:r="http://schemas.openxmlformats.org/officeDocument/2006/relationships" ax:classid="{D9347033-9612-11D1-9D75-00C04FCC8CDC}" ax:persistence="persistPropertyBag">
  <ax:ocxPr ax:name="_cx" ax:value="10901"/>
  <ax:ocxPr ax:name="_cy" ax:value="3048"/>
  <ax:ocxPr ax:name="Style" ax:value="2"/>
  <ax:ocxPr ax:name="SubStyle" ax:value="0"/>
  <ax:ocxPr ax:name="Validation" ax:value="0"/>
  <ax:ocxPr ax:name="LineWeight" ax:value="3"/>
  <ax:ocxPr ax:name="Direction" ax:value="0"/>
  <ax:ocxPr ax:name="ShowData" ax:value="1"/>
  <ax:ocxPr ax:name="Value" ax:value="1701991234502"/>
  <ax:ocxPr ax:name="ForeColor" ax:value="0"/>
  <ax:ocxPr ax:name="BackColor" ax:value="16777215"/>
</ax:ocx>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18</xdr:col>
      <xdr:colOff>0</xdr:colOff>
      <xdr:row>1</xdr:row>
      <xdr:rowOff>0</xdr:rowOff>
    </xdr:from>
    <xdr:to>
      <xdr:col>18</xdr:col>
      <xdr:colOff>0</xdr:colOff>
      <xdr:row>1</xdr:row>
      <xdr:rowOff>0</xdr:rowOff>
    </xdr:to>
    <xdr:sp macro="" textlink="">
      <xdr:nvSpPr>
        <xdr:cNvPr id="42592" name="Line 1">
          <a:extLst>
            <a:ext uri="{FF2B5EF4-FFF2-40B4-BE49-F238E27FC236}">
              <a16:creationId xmlns:a16="http://schemas.microsoft.com/office/drawing/2014/main" id="{00000000-0008-0000-0700-000060A60000}"/>
            </a:ext>
          </a:extLst>
        </xdr:cNvPr>
        <xdr:cNvSpPr>
          <a:spLocks noChangeShapeType="1"/>
        </xdr:cNvSpPr>
      </xdr:nvSpPr>
      <xdr:spPr bwMode="auto">
        <a:xfrm>
          <a:off x="16703040" y="101346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1</xdr:row>
      <xdr:rowOff>0</xdr:rowOff>
    </xdr:from>
    <xdr:to>
      <xdr:col>18</xdr:col>
      <xdr:colOff>0</xdr:colOff>
      <xdr:row>1</xdr:row>
      <xdr:rowOff>0</xdr:rowOff>
    </xdr:to>
    <xdr:sp macro="" textlink="">
      <xdr:nvSpPr>
        <xdr:cNvPr id="42593" name="Line 2">
          <a:extLst>
            <a:ext uri="{FF2B5EF4-FFF2-40B4-BE49-F238E27FC236}">
              <a16:creationId xmlns:a16="http://schemas.microsoft.com/office/drawing/2014/main" id="{00000000-0008-0000-0700-000061A60000}"/>
            </a:ext>
          </a:extLst>
        </xdr:cNvPr>
        <xdr:cNvSpPr>
          <a:spLocks noChangeShapeType="1"/>
        </xdr:cNvSpPr>
      </xdr:nvSpPr>
      <xdr:spPr bwMode="auto">
        <a:xfrm>
          <a:off x="16703040" y="101346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272415</xdr:colOff>
      <xdr:row>3</xdr:row>
      <xdr:rowOff>161925</xdr:rowOff>
    </xdr:from>
    <xdr:to>
      <xdr:col>30</xdr:col>
      <xdr:colOff>142875</xdr:colOff>
      <xdr:row>5</xdr:row>
      <xdr:rowOff>0</xdr:rowOff>
    </xdr:to>
    <xdr:sp macro="" textlink="">
      <xdr:nvSpPr>
        <xdr:cNvPr id="35867" name="Rectangle 27">
          <a:extLst>
            <a:ext uri="{FF2B5EF4-FFF2-40B4-BE49-F238E27FC236}">
              <a16:creationId xmlns:a16="http://schemas.microsoft.com/office/drawing/2014/main" id="{00000000-0008-0000-0700-00001B8C0000}"/>
            </a:ext>
          </a:extLst>
        </xdr:cNvPr>
        <xdr:cNvSpPr>
          <a:spLocks noChangeArrowheads="1"/>
        </xdr:cNvSpPr>
      </xdr:nvSpPr>
      <xdr:spPr bwMode="auto">
        <a:xfrm>
          <a:off x="23808690" y="1314450"/>
          <a:ext cx="3328035" cy="10287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900"/>
            </a:lnSpc>
            <a:defRPr sz="1000"/>
          </a:pPr>
          <a:r>
            <a:rPr lang="ja-JP" altLang="en-US" sz="800" b="0" i="0" u="none" strike="noStrike" baseline="0">
              <a:solidFill>
                <a:srgbClr val="000000"/>
              </a:solidFill>
              <a:latin typeface="+mn-ea"/>
              <a:ea typeface="+mn-ea"/>
            </a:rPr>
            <a:t>フル項目実施時は、【○、△、□】すべての項目を行う。</a:t>
          </a:r>
        </a:p>
        <a:p>
          <a:pPr algn="l" rtl="0">
            <a:lnSpc>
              <a:spcPts val="1900"/>
            </a:lnSpc>
            <a:defRPr sz="1000"/>
          </a:pPr>
          <a:r>
            <a:rPr lang="ja-JP" altLang="en-US" sz="800" b="0" i="0" u="none" strike="noStrike" baseline="0">
              <a:solidFill>
                <a:srgbClr val="000000"/>
              </a:solidFill>
              <a:latin typeface="+mn-ea"/>
              <a:ea typeface="+mn-ea"/>
            </a:rPr>
            <a:t>簡易版項目実施時は、【○、△】の項目を行う。</a:t>
          </a:r>
        </a:p>
        <a:p>
          <a:pPr algn="l" rtl="0">
            <a:lnSpc>
              <a:spcPts val="1900"/>
            </a:lnSpc>
            <a:defRPr sz="1000"/>
          </a:pPr>
          <a:r>
            <a:rPr lang="ja-JP" altLang="en-US" sz="800" b="0" i="0" u="none" strike="noStrike" baseline="0">
              <a:solidFill>
                <a:srgbClr val="000000"/>
              </a:solidFill>
              <a:latin typeface="+mn-ea"/>
              <a:ea typeface="+mn-ea"/>
            </a:rPr>
            <a:t>超簡易版項目実施時は、【○】の項目のみ行う。</a:t>
          </a:r>
        </a:p>
        <a:p>
          <a:pPr algn="l" rtl="0">
            <a:lnSpc>
              <a:spcPts val="1800"/>
            </a:lnSpc>
            <a:defRPr sz="1000"/>
          </a:pPr>
          <a:r>
            <a:rPr lang="ja-JP" altLang="en-US" sz="800" b="0" i="0" u="none" strike="noStrike" baseline="0">
              <a:solidFill>
                <a:srgbClr val="000000"/>
              </a:solidFill>
              <a:latin typeface="+mn-ea"/>
              <a:ea typeface="+mn-ea"/>
            </a:rPr>
            <a:t>（超簡易版は許可がない限り使用禁止。少なくとも簡易版をやること）</a:t>
          </a:r>
          <a:endParaRPr lang="ja-JP" altLang="en-US" sz="300">
            <a:latin typeface="+mn-ea"/>
            <a:ea typeface="+mn-ea"/>
          </a:endParaRPr>
        </a:p>
      </xdr:txBody>
    </xdr:sp>
    <xdr:clientData/>
  </xdr:twoCellAnchor>
  <xdr:twoCellAnchor>
    <xdr:from>
      <xdr:col>24</xdr:col>
      <xdr:colOff>285751</xdr:colOff>
      <xdr:row>5</xdr:row>
      <xdr:rowOff>0</xdr:rowOff>
    </xdr:from>
    <xdr:to>
      <xdr:col>29</xdr:col>
      <xdr:colOff>1</xdr:colOff>
      <xdr:row>5</xdr:row>
      <xdr:rowOff>247650</xdr:rowOff>
    </xdr:to>
    <xdr:sp macro="" textlink="">
      <xdr:nvSpPr>
        <xdr:cNvPr id="35869" name="Rectangle 29">
          <a:extLst>
            <a:ext uri="{FF2B5EF4-FFF2-40B4-BE49-F238E27FC236}">
              <a16:creationId xmlns:a16="http://schemas.microsoft.com/office/drawing/2014/main" id="{00000000-0008-0000-0700-00001D8C0000}"/>
            </a:ext>
          </a:extLst>
        </xdr:cNvPr>
        <xdr:cNvSpPr>
          <a:spLocks noChangeArrowheads="1"/>
        </xdr:cNvSpPr>
      </xdr:nvSpPr>
      <xdr:spPr bwMode="auto">
        <a:xfrm>
          <a:off x="23822026" y="2505075"/>
          <a:ext cx="2552700" cy="3048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n-ea"/>
              <a:ea typeface="+mn-ea"/>
            </a:rPr>
            <a:t>確認後は、○→●、△→▲、□→■としてください。</a:t>
          </a:r>
          <a:endParaRPr lang="ja-JP" altLang="en-US" sz="800">
            <a:latin typeface="+mn-ea"/>
            <a:ea typeface="+mn-ea"/>
          </a:endParaRPr>
        </a:p>
      </xdr:txBody>
    </xdr:sp>
    <xdr:clientData/>
  </xdr:twoCellAnchor>
  <xdr:twoCellAnchor>
    <xdr:from>
      <xdr:col>4</xdr:col>
      <xdr:colOff>1352550</xdr:colOff>
      <xdr:row>6</xdr:row>
      <xdr:rowOff>66675</xdr:rowOff>
    </xdr:from>
    <xdr:to>
      <xdr:col>5</xdr:col>
      <xdr:colOff>2524125</xdr:colOff>
      <xdr:row>8</xdr:row>
      <xdr:rowOff>400050</xdr:rowOff>
    </xdr:to>
    <xdr:sp macro="" textlink="">
      <xdr:nvSpPr>
        <xdr:cNvPr id="2" name="正方形/長方形 1">
          <a:extLst>
            <a:ext uri="{FF2B5EF4-FFF2-40B4-BE49-F238E27FC236}">
              <a16:creationId xmlns:a16="http://schemas.microsoft.com/office/drawing/2014/main" id="{41A53584-D44A-1B57-ACAD-F9C51A725449}"/>
            </a:ext>
          </a:extLst>
        </xdr:cNvPr>
        <xdr:cNvSpPr/>
      </xdr:nvSpPr>
      <xdr:spPr bwMode="auto">
        <a:xfrm>
          <a:off x="4943475" y="2762250"/>
          <a:ext cx="3543300" cy="1362075"/>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青果売変追加</a:t>
          </a:r>
          <a:endParaRPr kumimoji="1" lang="en-US" altLang="ja-JP" sz="1100"/>
        </a:p>
        <a:p>
          <a:pPr algn="l"/>
          <a:r>
            <a:rPr kumimoji="1" lang="ja-JP" altLang="en-US" sz="1100"/>
            <a:t>企画設定</a:t>
          </a:r>
          <a:endParaRPr kumimoji="1" lang="en-US" altLang="ja-JP"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47624</xdr:colOff>
      <xdr:row>44</xdr:row>
      <xdr:rowOff>180975</xdr:rowOff>
    </xdr:from>
    <xdr:to>
      <xdr:col>19</xdr:col>
      <xdr:colOff>247649</xdr:colOff>
      <xdr:row>46</xdr:row>
      <xdr:rowOff>38100</xdr:rowOff>
    </xdr:to>
    <xdr:sp macro="" textlink="">
      <xdr:nvSpPr>
        <xdr:cNvPr id="2" name="吹き出し: 折線 1">
          <a:extLst>
            <a:ext uri="{FF2B5EF4-FFF2-40B4-BE49-F238E27FC236}">
              <a16:creationId xmlns:a16="http://schemas.microsoft.com/office/drawing/2014/main" id="{00000000-0008-0000-0800-000002000000}"/>
            </a:ext>
          </a:extLst>
        </xdr:cNvPr>
        <xdr:cNvSpPr/>
      </xdr:nvSpPr>
      <xdr:spPr bwMode="auto">
        <a:xfrm>
          <a:off x="14658974" y="15754350"/>
          <a:ext cx="1343025" cy="58102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2" name="吹き出し: 折線 1">
          <a:extLst>
            <a:ext uri="{FF2B5EF4-FFF2-40B4-BE49-F238E27FC236}">
              <a16:creationId xmlns:a16="http://schemas.microsoft.com/office/drawing/2014/main" id="{00000000-0008-0000-0A00-000002000000}"/>
            </a:ext>
          </a:extLst>
        </xdr:cNvPr>
        <xdr:cNvSpPr/>
      </xdr:nvSpPr>
      <xdr:spPr bwMode="auto">
        <a:xfrm>
          <a:off x="14782800" y="11868150"/>
          <a:ext cx="1343025" cy="58102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3" name="吹き出し: 折線 1">
          <a:extLst>
            <a:ext uri="{FF2B5EF4-FFF2-40B4-BE49-F238E27FC236}">
              <a16:creationId xmlns:a16="http://schemas.microsoft.com/office/drawing/2014/main" id="{00000000-0008-0000-0B00-000003000000}"/>
            </a:ext>
          </a:extLst>
        </xdr:cNvPr>
        <xdr:cNvSpPr/>
      </xdr:nvSpPr>
      <xdr:spPr bwMode="auto">
        <a:xfrm>
          <a:off x="14771370" y="11782425"/>
          <a:ext cx="1343025" cy="57340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2" name="吹き出し: 折線 1">
          <a:extLst>
            <a:ext uri="{FF2B5EF4-FFF2-40B4-BE49-F238E27FC236}">
              <a16:creationId xmlns:a16="http://schemas.microsoft.com/office/drawing/2014/main" id="{5437E100-158A-4061-A141-03970FE46998}"/>
            </a:ext>
          </a:extLst>
        </xdr:cNvPr>
        <xdr:cNvSpPr/>
      </xdr:nvSpPr>
      <xdr:spPr bwMode="auto">
        <a:xfrm>
          <a:off x="14771370" y="11759565"/>
          <a:ext cx="1343025" cy="57340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342900</xdr:colOff>
          <xdr:row>3</xdr:row>
          <xdr:rowOff>7620</xdr:rowOff>
        </xdr:from>
        <xdr:to>
          <xdr:col>8</xdr:col>
          <xdr:colOff>45720</xdr:colOff>
          <xdr:row>11</xdr:row>
          <xdr:rowOff>137160</xdr:rowOff>
        </xdr:to>
        <xdr:sp macro="" textlink="">
          <xdr:nvSpPr>
            <xdr:cNvPr id="13313" name="BarCodeCtrl1" hidden="1">
              <a:extLst>
                <a:ext uri="{63B3BB69-23CF-44E3-9099-C40C66FF867C}">
                  <a14:compatExt spid="_x0000_s13313"/>
                </a:ext>
                <a:ext uri="{FF2B5EF4-FFF2-40B4-BE49-F238E27FC236}">
                  <a16:creationId xmlns:a16="http://schemas.microsoft.com/office/drawing/2014/main" id="{00000000-0008-0000-0D00-000001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312420</xdr:colOff>
          <xdr:row>3</xdr:row>
          <xdr:rowOff>53340</xdr:rowOff>
        </xdr:from>
        <xdr:to>
          <xdr:col>15</xdr:col>
          <xdr:colOff>198120</xdr:colOff>
          <xdr:row>11</xdr:row>
          <xdr:rowOff>106680</xdr:rowOff>
        </xdr:to>
        <xdr:sp macro="" textlink="">
          <xdr:nvSpPr>
            <xdr:cNvPr id="13314" name="BarCodeCtrl2" hidden="1">
              <a:extLst>
                <a:ext uri="{63B3BB69-23CF-44E3-9099-C40C66FF867C}">
                  <a14:compatExt spid="_x0000_s13314"/>
                </a:ext>
                <a:ext uri="{FF2B5EF4-FFF2-40B4-BE49-F238E27FC236}">
                  <a16:creationId xmlns:a16="http://schemas.microsoft.com/office/drawing/2014/main" id="{00000000-0008-0000-0D00-000002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350520</xdr:colOff>
          <xdr:row>17</xdr:row>
          <xdr:rowOff>83820</xdr:rowOff>
        </xdr:from>
        <xdr:to>
          <xdr:col>5</xdr:col>
          <xdr:colOff>441960</xdr:colOff>
          <xdr:row>22</xdr:row>
          <xdr:rowOff>121920</xdr:rowOff>
        </xdr:to>
        <xdr:sp macro="" textlink="">
          <xdr:nvSpPr>
            <xdr:cNvPr id="13315" name="BarCodeCtrl3" hidden="1">
              <a:extLst>
                <a:ext uri="{63B3BB69-23CF-44E3-9099-C40C66FF867C}">
                  <a14:compatExt spid="_x0000_s13315"/>
                </a:ext>
                <a:ext uri="{FF2B5EF4-FFF2-40B4-BE49-F238E27FC236}">
                  <a16:creationId xmlns:a16="http://schemas.microsoft.com/office/drawing/2014/main" id="{00000000-0008-0000-0D00-000003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5</xdr:col>
      <xdr:colOff>428624</xdr:colOff>
      <xdr:row>3</xdr:row>
      <xdr:rowOff>152400</xdr:rowOff>
    </xdr:from>
    <xdr:to>
      <xdr:col>8</xdr:col>
      <xdr:colOff>2952750</xdr:colOff>
      <xdr:row>5</xdr:row>
      <xdr:rowOff>1009650</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bwMode="auto">
        <a:xfrm>
          <a:off x="3762374" y="1066800"/>
          <a:ext cx="6362701" cy="2876550"/>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solidFill>
                <a:schemeClr val="bg1"/>
              </a:solidFill>
            </a:rPr>
            <a:t>送り込み、文言の確認のため</a:t>
          </a:r>
          <a:endParaRPr kumimoji="1" lang="en-US" altLang="ja-JP" sz="1800">
            <a:solidFill>
              <a:schemeClr val="bg1"/>
            </a:solidFill>
          </a:endParaRPr>
        </a:p>
        <a:p>
          <a:pPr algn="ctr"/>
          <a:r>
            <a:rPr kumimoji="1" lang="ja-JP" altLang="en-US" sz="1800">
              <a:solidFill>
                <a:schemeClr val="bg1"/>
              </a:solidFill>
            </a:rPr>
            <a:t>本シート未実施</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psq001\sonybank\Documents%20and%20Settings\kawana.OHSAKI\My%20Documents\&#20316;&#26989;&#20013;\DB&#65288;CT&#652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RETAIL\&#65423;&#65394;&#65398;&#65433;Prj\&#20316;&#26989;&#22577;&#21578;\&#31038;&#20869;&#23450;&#20363;&#20250;\20010131&#65288;&#31532;13&#22238;&#65289;\&#35895;&#24029;&#26234;&#26124;\GlobalSTORE\&#37327;&#36009;&#12539;&#23554;&#38272;\&#24615;&#33021;&#28204;&#23450;\&#24615;&#33021;&#28204;&#23450;\1&#27425;%20200003~\&#22577;&#21578;&#26360;\&#24615;&#33021;&#35336;&#30011;VOL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ossv\OSL&#20849;&#26377;\GlobalSTORE\&#35373;&#35336;&#26360;&#65288;&#12456;&#12531;&#12495;&#12531;&#12473;&#23550;&#24540;&#65289;\GS-FSP\3&#27425;\FSPDiscoun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ikb.solnet.se.fujitsu.co.jp/godo/&#12521;&#12483;&#12463;&#25645;&#36617;/&#12521;&#12483;&#12463;&#25645;&#36617;&#26368;&#26032;&#24115;&#31080;/2)&#12498;&#12450;&#12522;&#12531;&#12464;&#26178;/&#12521;&#12483;&#12463;&#25645;&#36617;&#20986;&#33655;&#12471;&#12540;&#12488;&#26696;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59.157.100\gs&#27161;&#28310;pkg\TEMP\&#26908;&#26619;&#22577;&#21578;&#26360;(&#19981;&#20633;&#25351;&#25688;&#19968;&#3523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arth3\FJTS\WINNT\Profiles\y_kodaka\Personal\GS%20V04&#35336;&#30011;&#65288;&#65318;&#65322;&#65332;&#65331;&#6528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upiter1\V07_DOC\Documents%20and%20Settings\RYUJI_HASHIMOTO\Local%20Settings\Temporary%20Internet%20Files\OLK5\&#26085;&#29983;&#21332;&#27583;&#35500;&#26126;&#36039;&#26009;2003030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arth3\FJTS\C0%20&#65421;&#65438;&#65394;&#65404;&#65393;\01%20UI\01%20&#19968;&#27425;-01%20UI&#20181;&#27096;&#26360;(&#31532;2&#29256;&#65289;%20CODE128&#21830;&#21697;&#30331;&#3768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現行DB一覧1"/>
      <sheetName val="現行DB一覧2(CT)"/>
      <sheetName val="Sheet1"/>
      <sheetName val="Sheet4"/>
      <sheetName val="Sheet2"/>
      <sheetName val="Sheet3"/>
      <sheetName val="テストパターン一覧"/>
      <sheetName val="メッセージ文言取込(Web21TOP)"/>
      <sheetName val="メッセージ文言取込(総合振込)"/>
      <sheetName val="メッセージ文言取込(給与・賞与振込)"/>
      <sheetName val="メッセージ文言取込(取引口座照会)"/>
      <sheetName val="メッセージ文言取込(個人地方税)"/>
      <sheetName val="メッセージ文言取込(振込振替)"/>
      <sheetName val="メッセージ文言取込(口座情報・事前設定)"/>
      <sheetName val="メッセージ文言取込(セキュリティ管理)"/>
      <sheetName val="マスタデータ（DB格納用）"/>
      <sheetName val="ﾍﾞｰｽ"/>
      <sheetName val="はじめに"/>
      <sheetName val="一覧表"/>
      <sheetName val="法1"/>
      <sheetName val="法2"/>
      <sheetName val="法3"/>
      <sheetName val="法4"/>
      <sheetName val="法5"/>
      <sheetName val="法6"/>
      <sheetName val="法7"/>
      <sheetName val="法8"/>
      <sheetName val="法9"/>
      <sheetName val="学1"/>
      <sheetName val="学2"/>
      <sheetName val="学3"/>
      <sheetName val="学4"/>
      <sheetName val="学5"/>
      <sheetName val="学6"/>
      <sheetName val="学7"/>
      <sheetName val="学8"/>
      <sheetName val="学9"/>
      <sheetName val="学10"/>
      <sheetName val="system-hojin-kikan"/>
      <sheetName val="system-gakno-kikan"/>
      <sheetName val="現行DB一覧2_CT_"/>
      <sheetName val="SDB(1)"/>
      <sheetName val="上期"/>
      <sheetName val="コンソール接続"/>
      <sheetName val="ハードウェアリスト"/>
      <sheetName val="設定値"/>
      <sheetName val="原因区分"/>
      <sheetName val="ヘッダ"/>
      <sheetName val="ルール表"/>
      <sheetName val="概算見積書"/>
      <sheetName val="学ǘ"/>
      <sheetName val="リスト"/>
      <sheetName val="サンプル(原因分類)"/>
      <sheetName val="ステータス"/>
      <sheetName val="条件"/>
      <sheetName val="問合せ一覧"/>
      <sheetName val="サマリ"/>
      <sheetName val="単票"/>
      <sheetName val="マスタ"/>
      <sheetName val="9.ﾄﾞｷｭﾒﾝﾄ(記入）"/>
      <sheetName val="#REF"/>
      <sheetName val="金融機関別"/>
      <sheetName val="環境設定"/>
      <sheetName val="CQ台帳"/>
      <sheetName val="ｺﾞﾝﾍﾟﾙﾂ曲線"/>
      <sheetName val="原紙２"/>
      <sheetName val="tmp"/>
      <sheetName val="資料用作図２"/>
      <sheetName val="【元ねた】Ⅰ年間計画書"/>
      <sheetName val="資料（テレホン）"/>
      <sheetName val="選択"/>
      <sheetName val="コメント選択肢"/>
      <sheetName val="設定シート"/>
      <sheetName val="表紙"/>
      <sheetName val="修正履歴"/>
      <sheetName val="ＰＴ障害管理台帳"/>
      <sheetName val="説明資料"/>
      <sheetName val="パラメタ"/>
      <sheetName val="原因分類管理シート"/>
      <sheetName val="Ｓ級職sheet"/>
      <sheetName val="基準テーブル（変更不可）"/>
      <sheetName val="DB（CT）"/>
      <sheetName val="印刷不要）対応難易度の定義"/>
      <sheetName val="MST"/>
      <sheetName val="リソース"/>
      <sheetName val="コード表"/>
      <sheetName val="原因サブ・機能"/>
      <sheetName val="工程・タスク定義"/>
      <sheetName val="障害区分・種別"/>
      <sheetName val="名称マスタ"/>
      <sheetName val="LIST"/>
      <sheetName val="テンプレート"/>
      <sheetName val="原因分類"/>
      <sheetName val="申請マスタ"/>
      <sheetName val="命名規約"/>
      <sheetName val="命名規約・I列記載ルール"/>
      <sheetName val="命名規約・記載ルール"/>
      <sheetName val="リスト内容"/>
      <sheetName val="WORK"/>
      <sheetName val="法©"/>
      <sheetName val="Profile"/>
      <sheetName val="テンプレート名リスト"/>
      <sheetName val="1"/>
      <sheetName val="2"/>
      <sheetName val="3"/>
      <sheetName val="7"/>
      <sheetName val="件数"/>
      <sheetName val="項目マスタシート"/>
      <sheetName val="機器マスタ"/>
      <sheetName val="101表紙"/>
      <sheetName val="102改版履歴"/>
      <sheetName val="103依頼事項"/>
      <sheetName val="104詳細スケジュール"/>
      <sheetName val="105_フロアレイアウト図"/>
      <sheetName val="106ネットワーク図"/>
      <sheetName val="107回線一覧"/>
      <sheetName val="201_サーバ構成"/>
      <sheetName val="202_導入機器一覧(設置諸元)"/>
      <sheetName val="203_ハード・ソフト構成一覧表"/>
      <sheetName val="205_電源接続図(手書き)"/>
      <sheetName val="206_工事全配線表（○UTPFC電源_手書き） (その他)"/>
      <sheetName val="206_工事全配線表(●電源)"/>
      <sheetName val="204_ラック搭載図 (B棟C43) "/>
      <sheetName val="204_ラック搭載図 (3F)"/>
      <sheetName val="ノードマスタ"/>
      <sheetName val="入力規則"/>
      <sheetName val="リストボックス"/>
      <sheetName val="データ類"/>
      <sheetName val="不具合分析グラフ"/>
      <sheetName val="ＦＢ外為データ項目一覧"/>
      <sheetName val="SK"/>
      <sheetName val="ＴＫＣ"/>
      <sheetName val="AS計算テーブル"/>
      <sheetName val="リスト(消さないでください）"/>
      <sheetName val="見積"/>
      <sheetName val="分類"/>
      <sheetName val="ﾚｰﾀﾞｰﾁｬｰﾄ計算用"/>
      <sheetName val="計画ﾚｰﾀﾞｰﾁｬｰﾄ計算用"/>
      <sheetName val="※指摘率（参考値）"/>
      <sheetName val="Webダウン取引仕様"/>
      <sheetName val="総合件数一覧"/>
      <sheetName val="運用ルール"/>
      <sheetName val="メール宛先"/>
      <sheetName val="設定"/>
      <sheetName val="対象システムリスト"/>
      <sheetName val="B.インフラ構築プロジェクト対応（WorkOrder）_管理表"/>
      <sheetName val="総括表貼付"/>
      <sheetName val="累積データ"/>
      <sheetName val="営業会議1604"/>
      <sheetName val="区分"/>
      <sheetName val="【リスト内容】"/>
      <sheetName val="更新履歴"/>
      <sheetName val="チェックシート（機能単位）"/>
      <sheetName val="チェックシート（テーブル単位_複数の場合はシートコピー）"/>
      <sheetName val="申請マスタ (2)"/>
      <sheetName val="第四階層設定"/>
      <sheetName val="201603"/>
      <sheetName val="201602"/>
      <sheetName val="201601"/>
      <sheetName val="201512"/>
      <sheetName val="201511"/>
      <sheetName val="201510"/>
      <sheetName val="201509"/>
      <sheetName val="201508"/>
      <sheetName val="201507"/>
      <sheetName val="201506"/>
      <sheetName val="201505"/>
      <sheetName val="201504"/>
      <sheetName val="HW業者との役務分担"/>
      <sheetName val="1.テスト項目一覧"/>
      <sheetName val="プルダウン参照"/>
      <sheetName val="別紙1_作業分類"/>
      <sheetName val="選択肢"/>
      <sheetName val="機器設置申請書入力規制項目（裏リスト）"/>
      <sheetName val="区分値"/>
      <sheetName val="管理情報"/>
      <sheetName val="業務区分"/>
      <sheetName val="原因分類_不具合内容"/>
      <sheetName val="処理種別"/>
      <sheetName val="原因工程"/>
      <sheetName val="日付ﾃｰﾌﾞﾙ"/>
      <sheetName val="ステータスと記載運用"/>
      <sheetName val="提示用医科薬剤作表用ｙ-flag"/>
      <sheetName val="各種データ"/>
      <sheetName val="概念テーブル一覧(Table List)"/>
      <sheetName val="ジャーナル番号一覧"/>
      <sheetName val="受領一覧"/>
      <sheetName val="払出済みLCP_価格表"/>
      <sheetName val="RFS"/>
      <sheetName val="通報パターン表"/>
      <sheetName val="プロファイル"/>
      <sheetName val="入力補助"/>
      <sheetName val="ＤＢ"/>
      <sheetName val="参照"/>
      <sheetName val="記述要領"/>
      <sheetName val="ﾃﾚﾊﾞﾝRTGS共用"/>
      <sheetName val="(別紙属性名一覧)"/>
      <sheetName val="6"/>
      <sheetName val="JobNet定義"/>
      <sheetName val="勘定系ｵﾝﾗｲﾝ性能"/>
      <sheetName val="ＣＤＵＴ局面報告シート"/>
      <sheetName val="申請"/>
      <sheetName val="A01"/>
      <sheetName val="Sheet6"/>
      <sheetName val="メイン"/>
      <sheetName val="所管別１"/>
      <sheetName val="PR"/>
      <sheetName val="見積額計算表"/>
      <sheetName val="item"/>
      <sheetName val="基本システム"/>
      <sheetName val="概要"/>
      <sheetName val="リスト項目"/>
      <sheetName val="名称ﾏｽﾀ"/>
      <sheetName val="画面項目仕様 (ph2_org)"/>
      <sheetName val="画面項目仕様 (ph1)"/>
      <sheetName val="使い方"/>
      <sheetName val="【雛型】"/>
      <sheetName val="次期システム（受託）"/>
      <sheetName val="凡例"/>
      <sheetName val="プルダウンリスト候補"/>
      <sheetName val="要因分析"/>
      <sheetName val="定義情報"/>
      <sheetName val="処理詳細内容表"/>
      <sheetName val="４．レイアウト・記入要領"/>
      <sheetName val="御見積"/>
      <sheetName val="プルダウン選択候補定義"/>
      <sheetName val="見積連絡表"/>
      <sheetName val="用語定義(ドロップダウンリスト)"/>
      <sheetName val="データ"/>
      <sheetName val="予算消化状況"/>
      <sheetName val="コード定義"/>
      <sheetName val="コード類"/>
      <sheetName val="初期表示"/>
      <sheetName val="検索"/>
      <sheetName val="承認"/>
      <sheetName val="帳票NOアンカー"/>
      <sheetName val="頁ジャンプ"/>
      <sheetName val="JS"/>
      <sheetName val="補足"/>
      <sheetName val="補足２"/>
      <sheetName val="社員リスト"/>
      <sheetName val="default"/>
      <sheetName val="データ辞書"/>
      <sheetName val="選択リスト"/>
      <sheetName val="◇選択分類"/>
      <sheetName val="レコード一覧"/>
      <sheetName val="disc_class_lvl"/>
      <sheetName val="CONFIG"/>
      <sheetName val="分類説明"/>
      <sheetName val="分析６"/>
      <sheetName val="担当者リスト・大分類リスト"/>
      <sheetName val="ヘッジ比率(月次)"/>
      <sheetName val="課題・リスク把握経路"/>
      <sheetName val="リスク分類"/>
      <sheetName val="品目発生源グループ"/>
      <sheetName val="プラント"/>
      <sheetName val="保管場所"/>
      <sheetName val="外部品目グループ"/>
      <sheetName val="研究室・設計室"/>
      <sheetName val="利益センタ"/>
      <sheetName val="メッセージ文言取込(給与・賞与振込_x0000_"/>
      <sheetName val="入力候補"/>
      <sheetName val="プルダウン"/>
      <sheetName val="Summary"/>
      <sheetName val="施設作業（単価表）"/>
      <sheetName val="リスト一覧"/>
      <sheetName val="拠点コード一覧"/>
      <sheetName val="2019年度区分コード表"/>
      <sheetName val="名称"/>
      <sheetName val="基礎データ定義"/>
      <sheetName val="入力一覧"/>
      <sheetName val="ライセンスの種類"/>
      <sheetName val="parameters"/>
      <sheetName val="品目一覧"/>
      <sheetName val="報告種類・情報源・調査区分"/>
      <sheetName val="患者情報"/>
      <sheetName val="マスタリスト"/>
      <sheetName val="TDC"/>
      <sheetName val="EXA"/>
      <sheetName val="補足資料_進捗_リスト"/>
      <sheetName val="項目"/>
      <sheetName val="分類コード"/>
      <sheetName val="選択値"/>
      <sheetName val="障害票の項目と値"/>
      <sheetName val="プルダウンリスト"/>
      <sheetName val="プルダウン用"/>
      <sheetName val="わーく"/>
      <sheetName val="スケジュール"/>
      <sheetName val="担当者一覧"/>
      <sheetName val="標準工程"/>
      <sheetName val="管理台帳"/>
      <sheetName val="システムコード一覧"/>
      <sheetName val="リンクシート"/>
      <sheetName val="基本情報"/>
      <sheetName val="m_master"/>
      <sheetName val="チーム名一覧"/>
      <sheetName val="件数集計"/>
      <sheetName val="４処理概要（添付）"/>
      <sheetName val="テスト結果報告書（単体試験）"/>
      <sheetName val="付録1. サーバ共通情報"/>
      <sheetName val="画面レイアウト"/>
      <sheetName val="Pivot"/>
      <sheetName val="マスター"/>
      <sheetName val="画面項目詳細"/>
      <sheetName val="ハードウェア一覧"/>
      <sheetName val="参考_一覧1018版"/>
      <sheetName val="システム一覧"/>
      <sheetName val="各種設定"/>
      <sheetName val="ｽﾌﾟﾚｯﾄﾞﾌﾟﾛｾｽ管理表"/>
      <sheetName val="テスト概要"/>
      <sheetName val="取引ID検索"/>
      <sheetName val="検索結果"/>
      <sheetName val="画面一覧データ"/>
      <sheetName val="１．４．１．仮想基盤サーバ (編集用)"/>
      <sheetName val="１．４．３．バックアップサーバ  (編集用)"/>
      <sheetName val="１．４．４．ADサーバ (編集用)"/>
      <sheetName val="データシート"/>
      <sheetName val="ダイアログ"/>
      <sheetName val="画面種別"/>
      <sheetName val="サポート台帳分類マスタ"/>
      <sheetName val="テストケース"/>
      <sheetName val="テスト項目(IT1-0110013-01)"/>
      <sheetName val="テスト項目(IT1-0110013-02)"/>
      <sheetName val="2015年1月度移管対象 (チェック結果)"/>
      <sheetName val="リスト用"/>
      <sheetName val="千葉ITﾃﾞｰﾀ"/>
      <sheetName val="ACTION"/>
      <sheetName val="リスト１"/>
      <sheetName val="削除不可"/>
      <sheetName val="★リスト★"/>
      <sheetName val="ステータス名"/>
      <sheetName val="構成リスト"/>
      <sheetName val="_"/>
      <sheetName val="店舗展開ｽｹｼﾞｭｰﾙ"/>
      <sheetName val="店舗機器一覧"/>
      <sheetName val="data"/>
      <sheetName val="DAT"/>
      <sheetName val="目次"/>
      <sheetName val="2_1"/>
      <sheetName val="2_6"/>
      <sheetName val="記述ﾙｰﾙ"/>
      <sheetName val="2_3"/>
      <sheetName val="2_4"/>
      <sheetName val="2_5"/>
      <sheetName val="2‐3_タスク_SIEMアラート（編集中"/>
      <sheetName val="図（２）印刷不要"/>
      <sheetName val="対象PG分類項目"/>
      <sheetName val="ワーク"/>
      <sheetName val="TABLES"/>
      <sheetName val="A3 Resource Plan by Person"/>
      <sheetName val="学ċ"/>
      <sheetName val="データリスト"/>
      <sheetName val="memo"/>
      <sheetName val="栄子ｼｰﾄ"/>
      <sheetName val="ドロップダウンリスト"/>
      <sheetName val="ホストインタフェース設定表 (FC-CA) "/>
      <sheetName val="PUT工数"/>
      <sheetName val="大連作成"/>
      <sheetName val="画面一覧_古い"/>
      <sheetName val="画面一覧"/>
      <sheetName val="対象一覧"/>
      <sheetName val="伝送ﾌｧｲﾙ一覧(最新)"/>
    </sheetNames>
    <sheetDataSet>
      <sheetData sheetId="0"/>
      <sheetData sheetId="1" refreshError="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sheetData sheetId="312"/>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refreshError="1"/>
      <sheetData sheetId="328" refreshError="1"/>
      <sheetData sheetId="329" refreshError="1"/>
      <sheetData sheetId="330" refreshError="1"/>
      <sheetData sheetId="331" refreshError="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sheetData sheetId="358"/>
      <sheetData sheetId="359"/>
      <sheetData sheetId="360"/>
      <sheetData sheetId="36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性能計画VOL2"/>
      <sheetName val="pfm002"/>
      <sheetName val="【品質総括】"/>
      <sheetName val="テスト項目数・消化件数"/>
      <sheetName val="選択リスト"/>
      <sheetName val="担当者"/>
      <sheetName val="HEADER"/>
      <sheetName val="原因区分"/>
      <sheetName val="PARAMETER"/>
      <sheetName val="リス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_CLASS_LVL"/>
      <sheetName val="FSP Discount"/>
      <sheetName val="Sheet1"/>
      <sheetName val="Sheet2"/>
      <sheetName val="Sheet3"/>
      <sheetName val="選択"/>
      <sheetName val="１．全体編"/>
    </sheetNames>
    <sheetDataSet>
      <sheetData sheetId="0"/>
      <sheetData sheetId="1"/>
      <sheetData sheetId="2"/>
      <sheetData sheetId="3"/>
      <sheetData sheetId="4"/>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搭載図"/>
      <sheetName val="装置データ"/>
      <sheetName val="装置データold"/>
      <sheetName val="ケーブル接続表(案3)"/>
      <sheetName val="ケーブル接続表(案2)"/>
      <sheetName val="ケーブル接続表(案1)"/>
      <sheetName val="A.5-3 VMボリューム構成"/>
      <sheetName val="コード表"/>
      <sheetName val="管理ＩＤ"/>
      <sheetName val="機能大中分類"/>
      <sheetName val="機能中小分類"/>
      <sheetName val="工程・タスク定義"/>
      <sheetName val="概算見積書"/>
      <sheetName val="ｼｽﾃﾑ全体概要"/>
      <sheetName val="ラック搭載出荷シート案02"/>
      <sheetName val="設定"/>
      <sheetName val="付録2. サーバ共通情報"/>
      <sheetName val="データ"/>
    </sheetNames>
    <sheetDataSet>
      <sheetData sheetId="0" refreshError="1"/>
      <sheetData sheetId="1" refreshError="1"/>
      <sheetData sheetId="2" refreshError="1">
        <row r="78">
          <cell r="D78" t="str">
            <v>(ラックの型名を選択してください)</v>
          </cell>
        </row>
        <row r="79">
          <cell r="D79" t="str">
            <v>GP7B7RK3</v>
          </cell>
        </row>
        <row r="80">
          <cell r="D80" t="str">
            <v>GP7B7RK4</v>
          </cell>
        </row>
        <row r="81">
          <cell r="D81" t="str">
            <v>GP7B7RK1</v>
          </cell>
        </row>
        <row r="82">
          <cell r="D82" t="str">
            <v>GP7B7RK2</v>
          </cell>
        </row>
        <row r="83">
          <cell r="D83" t="str">
            <v>GP727RK1</v>
          </cell>
        </row>
        <row r="84">
          <cell r="D84" t="str">
            <v>GP727RK2</v>
          </cell>
        </row>
        <row r="85">
          <cell r="D85" t="str">
            <v>GP7N7RK1</v>
          </cell>
        </row>
        <row r="86">
          <cell r="D86" t="str">
            <v>GP7N7RK2</v>
          </cell>
        </row>
        <row r="87">
          <cell r="D87" t="str">
            <v>F7977RK1</v>
          </cell>
        </row>
        <row r="88">
          <cell r="D88" t="str">
            <v>F7977RK2</v>
          </cell>
        </row>
        <row r="89">
          <cell r="D89" t="str">
            <v>GP-D*RK*1</v>
          </cell>
        </row>
        <row r="90">
          <cell r="D90" t="str">
            <v>X9610A</v>
          </cell>
        </row>
        <row r="91">
          <cell r="D91" t="str">
            <v>XS-RACK1</v>
          </cell>
        </row>
        <row r="92">
          <cell r="D92" t="str">
            <v>その他(下のセルにメーカ名、型名を記入してください。)</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不備指摘一覧"/>
      <sheetName val="リスト・分析"/>
      <sheetName val="分析グラフ"/>
      <sheetName val="リスト_分析"/>
      <sheetName val="設定"/>
    </sheetNames>
    <sheetDataSet>
      <sheetData sheetId="0"/>
      <sheetData sheetId="1" refreshError="1">
        <row r="4">
          <cell r="B4" t="str">
            <v>重度</v>
          </cell>
          <cell r="F4" t="str">
            <v>【重度】</v>
          </cell>
          <cell r="I4" t="str">
            <v>プログラム修正</v>
          </cell>
          <cell r="L4" t="str">
            <v>標準</v>
          </cell>
          <cell r="O4" t="str">
            <v>ＦＪＴＳ</v>
          </cell>
        </row>
        <row r="5">
          <cell r="B5" t="str">
            <v>中度</v>
          </cell>
          <cell r="F5" t="str">
            <v>システムダウンＡ</v>
          </cell>
          <cell r="I5" t="str">
            <v>マニュアル修正</v>
          </cell>
          <cell r="L5" t="str">
            <v>カストマイズ</v>
          </cell>
          <cell r="O5" t="str">
            <v>ＯＫＳ</v>
          </cell>
        </row>
        <row r="6">
          <cell r="B6" t="str">
            <v>軽度</v>
          </cell>
          <cell r="F6" t="str">
            <v>ダンマリ・暴走</v>
          </cell>
          <cell r="I6" t="str">
            <v>環境不備</v>
          </cell>
          <cell r="L6" t="str">
            <v>ハードウェア</v>
          </cell>
          <cell r="O6" t="str">
            <v>ＦＧＳ</v>
          </cell>
        </row>
        <row r="7">
          <cell r="F7" t="str">
            <v>起動不可</v>
          </cell>
          <cell r="I7" t="str">
            <v>次版修正</v>
          </cell>
          <cell r="O7" t="str">
            <v>ＰＡＬ</v>
          </cell>
        </row>
        <row r="8">
          <cell r="F8" t="str">
            <v>集計データ違算</v>
          </cell>
          <cell r="I8" t="str">
            <v>仕様通り</v>
          </cell>
          <cell r="O8" t="str">
            <v>標準ＳＩ</v>
          </cell>
        </row>
        <row r="9">
          <cell r="F9" t="str">
            <v>明細違算</v>
          </cell>
          <cell r="I9" t="str">
            <v>その他</v>
          </cell>
          <cell r="O9" t="str">
            <v>ＧＳＳＣ</v>
          </cell>
        </row>
        <row r="10">
          <cell r="F10" t="str">
            <v>インストール不可</v>
          </cell>
          <cell r="I10" t="str">
            <v>調査中</v>
          </cell>
          <cell r="O10" t="str">
            <v>技術部</v>
          </cell>
        </row>
        <row r="11">
          <cell r="F11" t="str">
            <v>オフラインＡ</v>
          </cell>
        </row>
        <row r="12">
          <cell r="F12" t="str">
            <v>回線データ冗脱</v>
          </cell>
        </row>
        <row r="13">
          <cell r="F13" t="str">
            <v>性能ダウン・大幅未達</v>
          </cell>
        </row>
        <row r="14">
          <cell r="F14" t="str">
            <v>処理結果不具合Ａ</v>
          </cell>
        </row>
        <row r="15">
          <cell r="F15" t="str">
            <v>レベルダウン</v>
          </cell>
        </row>
        <row r="16">
          <cell r="F16" t="str">
            <v>その他Ａ</v>
          </cell>
        </row>
        <row r="17">
          <cell r="F17" t="str">
            <v>【中度】</v>
          </cell>
        </row>
        <row r="18">
          <cell r="F18" t="str">
            <v>システムダウンＢ</v>
          </cell>
        </row>
        <row r="19">
          <cell r="F19" t="str">
            <v>オフラインＢ</v>
          </cell>
        </row>
        <row r="20">
          <cell r="F20" t="str">
            <v>性能未達</v>
          </cell>
        </row>
        <row r="21">
          <cell r="F21" t="str">
            <v>入力機器制御不良</v>
          </cell>
        </row>
        <row r="22">
          <cell r="F22" t="str">
            <v>画面制御不良</v>
          </cell>
        </row>
        <row r="23">
          <cell r="F23" t="str">
            <v>プリンタ制御不良</v>
          </cell>
        </row>
        <row r="24">
          <cell r="F24" t="str">
            <v>その他Ｉ／Ｏ制御不良</v>
          </cell>
        </row>
        <row r="25">
          <cell r="F25" t="str">
            <v>処理結果不具合</v>
          </cell>
        </row>
        <row r="26">
          <cell r="F26" t="str">
            <v>マニュアルと不整合</v>
          </cell>
        </row>
        <row r="27">
          <cell r="F27" t="str">
            <v>その他Ｂ</v>
          </cell>
        </row>
        <row r="28">
          <cell r="F28" t="str">
            <v>【軽度】</v>
          </cell>
        </row>
        <row r="29">
          <cell r="F29" t="str">
            <v>画面レイアウト不良</v>
          </cell>
        </row>
        <row r="30">
          <cell r="F30" t="str">
            <v>ガイダンス不良</v>
          </cell>
        </row>
        <row r="31">
          <cell r="F31" t="str">
            <v>エラーメッセージ不良</v>
          </cell>
        </row>
        <row r="32">
          <cell r="F32" t="str">
            <v>印字レイアウト不良</v>
          </cell>
        </row>
        <row r="33">
          <cell r="F33" t="str">
            <v>印字メッセージ不良</v>
          </cell>
        </row>
        <row r="34">
          <cell r="F34" t="str">
            <v>マニュアル誤記・脱字</v>
          </cell>
        </row>
        <row r="35">
          <cell r="F35" t="str">
            <v>その他Ｃ</v>
          </cell>
        </row>
      </sheetData>
      <sheetData sheetId="2"/>
      <sheetData sheetId="3"/>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efreshError="1"/>
      <sheetData sheetId="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前提条件"/>
      <sheetName val="仕様一覧"/>
      <sheetName val="仕様詳細"/>
      <sheetName val="組合員コード"/>
      <sheetName val="Sheet1"/>
      <sheetName val="Sheet2"/>
      <sheetName val="Sheet3"/>
      <sheetName val="選択リス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仕様詳細"/>
      <sheetName val="改版履歴"/>
      <sheetName val="改造概要"/>
      <sheetName val="全体概要"/>
      <sheetName val="動作概要"/>
      <sheetName val="画面説明"/>
      <sheetName val="範囲指定"/>
      <sheetName val="帳票イメージ"/>
      <sheetName val="帳票レイアウト"/>
      <sheetName val="ﾏｽﾀ抽出"/>
      <sheetName val="ﾌｧｲﾙﾚｲｱｳﾄ "/>
      <sheetName val="排他制御"/>
      <sheetName val="帳票サンプル"/>
      <sheetName val="ﾌｧｲﾙﾚｲｱｳﾄ・帳票関連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control" Target="../activeX/activeX1.xml"/><Relationship Id="rId7" Type="http://schemas.openxmlformats.org/officeDocument/2006/relationships/control" Target="../activeX/activeX3.xml"/><Relationship Id="rId2" Type="http://schemas.openxmlformats.org/officeDocument/2006/relationships/vmlDrawing" Target="../drawings/vmlDrawing1.vml"/><Relationship Id="rId1" Type="http://schemas.openxmlformats.org/officeDocument/2006/relationships/drawing" Target="../drawings/drawing6.xml"/><Relationship Id="rId6" Type="http://schemas.openxmlformats.org/officeDocument/2006/relationships/image" Target="../media/image2.emf"/><Relationship Id="rId5" Type="http://schemas.openxmlformats.org/officeDocument/2006/relationships/control" Target="../activeX/activeX2.xml"/><Relationship Id="rId4" Type="http://schemas.openxmlformats.org/officeDocument/2006/relationships/image" Target="../media/image1.emf"/></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358B8-EF58-4164-906D-61A5C5442D8A}">
  <sheetPr codeName="Sheet2"/>
  <dimension ref="B2:G13"/>
  <sheetViews>
    <sheetView workbookViewId="0">
      <selection activeCell="E8" sqref="E8"/>
    </sheetView>
  </sheetViews>
  <sheetFormatPr defaultRowHeight="13.2" x14ac:dyDescent="0.2"/>
  <cols>
    <col min="2" max="2" width="24.6640625" customWidth="1"/>
    <col min="3" max="6" width="13.88671875" customWidth="1"/>
  </cols>
  <sheetData>
    <row r="2" spans="2:7" ht="13.8" thickBot="1" x14ac:dyDescent="0.25">
      <c r="B2" s="401"/>
      <c r="C2" s="401" t="s">
        <v>0</v>
      </c>
      <c r="D2" s="401" t="s">
        <v>1</v>
      </c>
      <c r="E2" s="401" t="s">
        <v>2</v>
      </c>
      <c r="F2" s="401" t="s">
        <v>3</v>
      </c>
    </row>
    <row r="3" spans="2:7" ht="13.8" thickTop="1" x14ac:dyDescent="0.2">
      <c r="B3" s="408" t="s">
        <v>4</v>
      </c>
      <c r="C3" s="396">
        <f>パッケージ系!$D$109</f>
        <v>130</v>
      </c>
      <c r="D3" s="396">
        <f>パッケージ系!$D$107</f>
        <v>129</v>
      </c>
      <c r="E3" s="396">
        <f t="shared" ref="E3:E12" si="0">C3-D3</f>
        <v>1</v>
      </c>
      <c r="F3" s="409">
        <f t="shared" ref="F3:F13" si="1">D3/C3</f>
        <v>0.99230769230769234</v>
      </c>
    </row>
    <row r="4" spans="2:7" x14ac:dyDescent="0.2">
      <c r="B4" s="391" t="s">
        <v>5</v>
      </c>
      <c r="C4" s="397">
        <f>'パッケージ系 (SS)'!$D$109</f>
        <v>111</v>
      </c>
      <c r="D4" s="397">
        <f>'パッケージ系 (SS)'!$D$107</f>
        <v>111</v>
      </c>
      <c r="E4" s="397">
        <f t="shared" si="0"/>
        <v>0</v>
      </c>
      <c r="F4" s="392">
        <f t="shared" si="1"/>
        <v>1</v>
      </c>
    </row>
    <row r="5" spans="2:7" x14ac:dyDescent="0.2">
      <c r="B5" s="402" t="s">
        <v>6</v>
      </c>
      <c r="C5" s="403"/>
      <c r="D5" s="403"/>
      <c r="E5" s="403">
        <f t="shared" si="0"/>
        <v>0</v>
      </c>
      <c r="F5" s="404" t="e">
        <f t="shared" si="1"/>
        <v>#DIV/0!</v>
      </c>
      <c r="G5" t="s">
        <v>7</v>
      </c>
    </row>
    <row r="6" spans="2:7" x14ac:dyDescent="0.2">
      <c r="B6" s="391" t="s">
        <v>8</v>
      </c>
      <c r="C6" s="397">
        <f>'パッケージ系 (PS)'!$D$109</f>
        <v>130</v>
      </c>
      <c r="D6" s="397">
        <f>'パッケージ系 (PS)'!$D$107</f>
        <v>129</v>
      </c>
      <c r="E6" s="396">
        <f t="shared" si="0"/>
        <v>1</v>
      </c>
      <c r="F6" s="392">
        <f t="shared" si="1"/>
        <v>0.99230769230769234</v>
      </c>
    </row>
    <row r="7" spans="2:7" x14ac:dyDescent="0.2">
      <c r="B7" s="391" t="s">
        <v>9</v>
      </c>
      <c r="C7" s="397">
        <v>56</v>
      </c>
      <c r="D7" s="397">
        <v>56</v>
      </c>
      <c r="E7" s="397">
        <f t="shared" si="0"/>
        <v>0</v>
      </c>
      <c r="F7" s="392">
        <f t="shared" si="1"/>
        <v>1</v>
      </c>
    </row>
    <row r="8" spans="2:7" x14ac:dyDescent="0.2">
      <c r="B8" s="391" t="s">
        <v>10</v>
      </c>
      <c r="C8" s="397">
        <f>Win10対応_POS!$D$94</f>
        <v>200</v>
      </c>
      <c r="D8" s="397">
        <f>Win10対応_POS!$D$92</f>
        <v>200</v>
      </c>
      <c r="E8" s="397">
        <f t="shared" si="0"/>
        <v>0</v>
      </c>
      <c r="F8" s="392">
        <f t="shared" si="1"/>
        <v>1</v>
      </c>
    </row>
    <row r="9" spans="2:7" x14ac:dyDescent="0.2">
      <c r="B9" s="391" t="s">
        <v>11</v>
      </c>
      <c r="C9" s="397">
        <f>Win10対応_SS!$D$76</f>
        <v>47</v>
      </c>
      <c r="D9" s="397">
        <f>Win10対応_SS!$D$74</f>
        <v>47</v>
      </c>
      <c r="E9" s="397">
        <f t="shared" si="0"/>
        <v>0</v>
      </c>
      <c r="F9" s="392">
        <f t="shared" si="1"/>
        <v>1</v>
      </c>
    </row>
    <row r="10" spans="2:7" x14ac:dyDescent="0.2">
      <c r="B10" s="391" t="s">
        <v>12</v>
      </c>
      <c r="C10" s="397">
        <f>Win10対応_PS!$D$76</f>
        <v>159</v>
      </c>
      <c r="D10" s="397">
        <f>Win10対応_PS!$D$74</f>
        <v>159</v>
      </c>
      <c r="E10" s="396">
        <f t="shared" si="0"/>
        <v>0</v>
      </c>
      <c r="F10" s="392">
        <f t="shared" si="1"/>
        <v>1</v>
      </c>
    </row>
    <row r="11" spans="2:7" x14ac:dyDescent="0.2">
      <c r="B11" s="391" t="s">
        <v>13</v>
      </c>
      <c r="C11" s="397">
        <f>Win10対応_フルセルフ!$D$77</f>
        <v>184</v>
      </c>
      <c r="D11" s="397">
        <f>Win10対応_フルセルフ!$D$75</f>
        <v>184</v>
      </c>
      <c r="E11" s="396">
        <f t="shared" si="0"/>
        <v>0</v>
      </c>
      <c r="F11" s="392">
        <f t="shared" si="1"/>
        <v>1</v>
      </c>
    </row>
    <row r="12" spans="2:7" ht="13.8" thickBot="1" x14ac:dyDescent="0.25">
      <c r="B12" s="393" t="s">
        <v>14</v>
      </c>
      <c r="C12" s="398">
        <f>Win10対応_サーバ!$D$25</f>
        <v>32</v>
      </c>
      <c r="D12" s="398">
        <f>Win10対応_サーバ!$D$23</f>
        <v>32</v>
      </c>
      <c r="E12" s="398">
        <f t="shared" si="0"/>
        <v>0</v>
      </c>
      <c r="F12" s="394">
        <f t="shared" si="1"/>
        <v>1</v>
      </c>
    </row>
    <row r="13" spans="2:7" ht="13.8" thickTop="1" x14ac:dyDescent="0.2">
      <c r="B13" s="395" t="s">
        <v>15</v>
      </c>
      <c r="C13" s="399">
        <f>SUM(C3:C12)</f>
        <v>1049</v>
      </c>
      <c r="D13" s="399">
        <f>SUM(D3:D12)</f>
        <v>1047</v>
      </c>
      <c r="E13" s="399">
        <f>SUM(E3:E12)</f>
        <v>2</v>
      </c>
      <c r="F13" s="400">
        <f t="shared" si="1"/>
        <v>0.99809342230695897</v>
      </c>
    </row>
  </sheetData>
  <phoneticPr fontId="2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1:V28"/>
  <sheetViews>
    <sheetView view="pageBreakPreview" zoomScaleNormal="100" zoomScaleSheetLayoutView="100" workbookViewId="0">
      <selection activeCell="B27" sqref="B27:L27"/>
    </sheetView>
  </sheetViews>
  <sheetFormatPr defaultColWidth="8.88671875" defaultRowHeight="13.2" x14ac:dyDescent="0.2"/>
  <cols>
    <col min="1" max="16384" width="8.88671875" style="1"/>
  </cols>
  <sheetData>
    <row r="1" spans="1:22" x14ac:dyDescent="0.2">
      <c r="A1" s="131"/>
      <c r="B1" s="131"/>
      <c r="C1" s="131"/>
      <c r="D1" s="131"/>
      <c r="E1" s="131"/>
      <c r="F1" s="131"/>
      <c r="G1" s="131"/>
      <c r="H1" s="131"/>
      <c r="I1" s="131"/>
      <c r="J1" s="131"/>
      <c r="K1" s="131"/>
      <c r="L1" s="131"/>
      <c r="M1" s="131"/>
    </row>
    <row r="2" spans="1:22" x14ac:dyDescent="0.2">
      <c r="A2" s="131"/>
      <c r="B2" s="131"/>
      <c r="C2" s="131"/>
      <c r="D2" s="131"/>
      <c r="E2" s="131"/>
      <c r="F2" s="131"/>
      <c r="G2" s="131"/>
      <c r="H2" s="131"/>
      <c r="I2" s="131"/>
      <c r="J2" s="131"/>
      <c r="K2" s="131"/>
      <c r="L2" s="131"/>
      <c r="M2" s="131"/>
    </row>
    <row r="3" spans="1:22" ht="13.8" thickBot="1" x14ac:dyDescent="0.25">
      <c r="A3" s="131"/>
      <c r="B3" s="131"/>
      <c r="C3" s="131"/>
      <c r="D3" s="131"/>
      <c r="E3" s="131"/>
      <c r="F3" s="131"/>
      <c r="G3" s="131"/>
      <c r="H3" s="131"/>
      <c r="I3" s="131"/>
      <c r="J3" s="131"/>
      <c r="K3" s="131"/>
      <c r="L3" s="131"/>
      <c r="M3" s="131"/>
    </row>
    <row r="4" spans="1:22" ht="16.8" thickTop="1" x14ac:dyDescent="0.2">
      <c r="A4" s="131"/>
      <c r="B4" s="131"/>
      <c r="C4" s="132" t="s">
        <v>16</v>
      </c>
      <c r="D4" s="133"/>
      <c r="E4" s="133"/>
      <c r="F4" s="133"/>
      <c r="G4" s="133"/>
      <c r="H4" s="133"/>
      <c r="I4" s="133"/>
      <c r="J4" s="133"/>
      <c r="K4" s="134"/>
      <c r="L4" s="131"/>
      <c r="M4" s="131"/>
    </row>
    <row r="5" spans="1:22" x14ac:dyDescent="0.2">
      <c r="A5" s="131"/>
      <c r="B5" s="131"/>
      <c r="C5" s="135"/>
      <c r="D5" s="131"/>
      <c r="E5" s="131"/>
      <c r="F5" s="131"/>
      <c r="G5" s="131"/>
      <c r="H5" s="131"/>
      <c r="I5" s="131"/>
      <c r="J5" s="131"/>
      <c r="K5" s="136"/>
      <c r="L5" s="131"/>
      <c r="M5" s="131"/>
      <c r="S5" s="2"/>
      <c r="V5" s="3"/>
    </row>
    <row r="6" spans="1:22" x14ac:dyDescent="0.2">
      <c r="A6" s="131"/>
      <c r="B6" s="131"/>
      <c r="C6" s="135"/>
      <c r="D6" s="131"/>
      <c r="E6" s="131"/>
      <c r="F6" s="131"/>
      <c r="G6" s="131"/>
      <c r="H6" s="131"/>
      <c r="I6" s="131"/>
      <c r="J6" s="131"/>
      <c r="K6" s="136"/>
      <c r="L6" s="131"/>
      <c r="M6" s="131"/>
    </row>
    <row r="7" spans="1:22" ht="30" x14ac:dyDescent="0.35">
      <c r="A7" s="131"/>
      <c r="B7" s="131"/>
      <c r="C7" s="434" t="s">
        <v>17</v>
      </c>
      <c r="D7" s="435"/>
      <c r="E7" s="435"/>
      <c r="F7" s="435"/>
      <c r="G7" s="435"/>
      <c r="H7" s="435"/>
      <c r="I7" s="435"/>
      <c r="J7" s="435"/>
      <c r="K7" s="436"/>
      <c r="L7" s="131"/>
      <c r="M7" s="131"/>
      <c r="O7" s="4"/>
    </row>
    <row r="8" spans="1:22" x14ac:dyDescent="0.2">
      <c r="A8" s="131"/>
      <c r="B8" s="131"/>
      <c r="C8" s="135"/>
      <c r="D8" s="131"/>
      <c r="E8" s="131"/>
      <c r="F8" s="131"/>
      <c r="G8" s="131"/>
      <c r="H8" s="131"/>
      <c r="I8" s="131"/>
      <c r="J8" s="131"/>
      <c r="K8" s="136"/>
      <c r="L8" s="131"/>
      <c r="M8" s="131"/>
    </row>
    <row r="9" spans="1:22" ht="24" thickBot="1" x14ac:dyDescent="0.35">
      <c r="A9" s="131"/>
      <c r="B9" s="131"/>
      <c r="C9" s="437" t="s">
        <v>18</v>
      </c>
      <c r="D9" s="438"/>
      <c r="E9" s="438"/>
      <c r="F9" s="438"/>
      <c r="G9" s="438"/>
      <c r="H9" s="438"/>
      <c r="I9" s="438"/>
      <c r="J9" s="438"/>
      <c r="K9" s="439"/>
      <c r="L9" s="131"/>
      <c r="M9" s="131"/>
    </row>
    <row r="10" spans="1:22" ht="13.8" thickTop="1" x14ac:dyDescent="0.2">
      <c r="A10" s="131"/>
      <c r="B10" s="131"/>
      <c r="C10" s="131"/>
      <c r="D10" s="131"/>
      <c r="E10" s="131"/>
      <c r="F10" s="131"/>
      <c r="G10" s="131"/>
      <c r="H10" s="131"/>
      <c r="I10" s="131"/>
      <c r="J10" s="131"/>
      <c r="K10" s="131"/>
      <c r="L10" s="131"/>
      <c r="M10" s="131"/>
    </row>
    <row r="11" spans="1:22" x14ac:dyDescent="0.2">
      <c r="A11" s="131"/>
      <c r="B11" s="131"/>
      <c r="C11" s="131"/>
      <c r="D11" s="131"/>
      <c r="E11" s="131"/>
      <c r="F11" s="131"/>
      <c r="G11" s="131"/>
      <c r="H11" s="131"/>
      <c r="I11" s="131"/>
      <c r="J11" s="131"/>
      <c r="K11" s="131"/>
      <c r="L11" s="131"/>
      <c r="M11" s="131"/>
    </row>
    <row r="12" spans="1:22" x14ac:dyDescent="0.2">
      <c r="A12" s="131"/>
      <c r="B12" s="131"/>
      <c r="C12" s="131"/>
      <c r="D12" s="131"/>
      <c r="E12" s="131"/>
      <c r="F12" s="131"/>
      <c r="G12" s="131"/>
      <c r="H12" s="131"/>
      <c r="I12" s="131"/>
      <c r="J12" s="131"/>
      <c r="K12" s="131"/>
      <c r="L12" s="131"/>
      <c r="M12" s="131"/>
    </row>
    <row r="13" spans="1:22" x14ac:dyDescent="0.2">
      <c r="A13" s="131"/>
      <c r="B13" s="131"/>
      <c r="C13" s="131"/>
      <c r="D13" s="131"/>
      <c r="E13" s="131"/>
      <c r="F13" s="131"/>
      <c r="G13" s="131"/>
      <c r="H13" s="131"/>
      <c r="I13" s="131"/>
      <c r="J13" s="131"/>
      <c r="K13" s="131"/>
      <c r="L13" s="131"/>
      <c r="M13" s="131"/>
    </row>
    <row r="14" spans="1:22" x14ac:dyDescent="0.2">
      <c r="A14" s="131"/>
      <c r="B14" s="131"/>
      <c r="C14" s="131"/>
      <c r="D14" s="131"/>
      <c r="E14" s="131"/>
      <c r="F14" s="131"/>
      <c r="G14" s="131"/>
      <c r="H14" s="131"/>
      <c r="I14" s="131"/>
      <c r="J14" s="131"/>
      <c r="K14" s="131"/>
      <c r="L14" s="131"/>
      <c r="M14" s="131"/>
    </row>
    <row r="15" spans="1:22" ht="16.2" x14ac:dyDescent="0.2">
      <c r="A15" s="131"/>
      <c r="B15" s="131"/>
      <c r="C15" s="131"/>
      <c r="D15" s="131"/>
      <c r="E15" s="441" t="s">
        <v>19</v>
      </c>
      <c r="F15" s="441"/>
      <c r="G15" s="441"/>
      <c r="H15" s="441"/>
      <c r="I15" s="441"/>
      <c r="J15" s="131"/>
      <c r="K15" s="131"/>
      <c r="L15" s="131"/>
      <c r="M15" s="131"/>
    </row>
    <row r="16" spans="1:22" x14ac:dyDescent="0.2">
      <c r="A16" s="131"/>
      <c r="B16" s="131"/>
      <c r="C16" s="131"/>
      <c r="D16" s="131"/>
      <c r="E16" s="131"/>
      <c r="F16" s="131"/>
      <c r="G16" s="131"/>
      <c r="H16" s="131"/>
      <c r="I16" s="131"/>
      <c r="J16" s="131"/>
      <c r="K16" s="131"/>
      <c r="L16" s="131"/>
      <c r="M16" s="131"/>
    </row>
    <row r="17" spans="1:13" x14ac:dyDescent="0.2">
      <c r="A17" s="131"/>
      <c r="B17" s="131"/>
      <c r="C17" s="131"/>
      <c r="D17" s="131"/>
      <c r="E17" s="131"/>
      <c r="F17" s="131"/>
      <c r="G17" s="131"/>
      <c r="H17" s="131"/>
      <c r="I17" s="131"/>
      <c r="J17" s="131"/>
      <c r="K17" s="131"/>
      <c r="L17" s="131"/>
      <c r="M17" s="131"/>
    </row>
    <row r="18" spans="1:13" x14ac:dyDescent="0.2">
      <c r="A18" s="131"/>
      <c r="B18" s="131"/>
      <c r="C18" s="131"/>
      <c r="D18" s="131"/>
      <c r="E18" s="131"/>
      <c r="F18" s="131"/>
      <c r="G18" s="131"/>
      <c r="H18" s="131"/>
      <c r="I18" s="131"/>
      <c r="J18" s="131"/>
      <c r="K18" s="131"/>
      <c r="L18" s="131"/>
      <c r="M18" s="131"/>
    </row>
    <row r="19" spans="1:13" x14ac:dyDescent="0.2">
      <c r="A19" s="131"/>
      <c r="B19" s="131"/>
      <c r="C19" s="131"/>
      <c r="D19" s="131"/>
      <c r="E19" s="131"/>
      <c r="F19" s="131"/>
      <c r="G19" s="131"/>
      <c r="H19" s="131"/>
      <c r="I19" s="131"/>
      <c r="J19" s="131"/>
      <c r="K19" s="131"/>
      <c r="L19" s="131"/>
      <c r="M19" s="131"/>
    </row>
    <row r="20" spans="1:13" x14ac:dyDescent="0.2">
      <c r="A20" s="131"/>
      <c r="B20" s="131"/>
      <c r="C20" s="131"/>
      <c r="D20" s="131"/>
      <c r="E20" s="131"/>
      <c r="F20" s="131"/>
      <c r="G20" s="131"/>
      <c r="H20" s="131"/>
      <c r="I20" s="131"/>
      <c r="J20" s="131"/>
      <c r="K20" s="131"/>
      <c r="L20" s="131"/>
      <c r="M20" s="131"/>
    </row>
    <row r="21" spans="1:13" x14ac:dyDescent="0.2">
      <c r="A21" s="131"/>
      <c r="B21" s="131"/>
      <c r="C21" s="131"/>
      <c r="D21" s="131"/>
      <c r="E21" s="131"/>
      <c r="F21" s="131"/>
      <c r="G21" s="131"/>
      <c r="H21" s="131"/>
      <c r="I21" s="131"/>
      <c r="J21" s="131"/>
      <c r="K21" s="131"/>
      <c r="L21" s="131"/>
      <c r="M21" s="131"/>
    </row>
    <row r="22" spans="1:13" x14ac:dyDescent="0.2">
      <c r="A22" s="131"/>
      <c r="B22" s="131"/>
      <c r="C22" s="131"/>
      <c r="D22" s="131"/>
      <c r="E22" s="131"/>
      <c r="F22" s="131"/>
      <c r="G22" s="131"/>
      <c r="H22" s="131"/>
      <c r="I22" s="131"/>
      <c r="J22" s="131"/>
      <c r="K22" s="131"/>
      <c r="L22" s="131"/>
      <c r="M22" s="131"/>
    </row>
    <row r="23" spans="1:13" x14ac:dyDescent="0.2">
      <c r="A23" s="131"/>
      <c r="B23" s="131"/>
      <c r="C23" s="131"/>
      <c r="D23" s="131"/>
      <c r="E23" s="131"/>
      <c r="F23" s="131"/>
      <c r="G23" s="131"/>
      <c r="H23" s="131"/>
      <c r="I23" s="131"/>
      <c r="J23" s="131"/>
      <c r="K23" s="131"/>
      <c r="L23" s="131"/>
      <c r="M23" s="131"/>
    </row>
    <row r="24" spans="1:13" x14ac:dyDescent="0.2">
      <c r="A24" s="131"/>
      <c r="B24" s="131"/>
      <c r="C24" s="131"/>
      <c r="D24" s="131"/>
      <c r="E24" s="131"/>
      <c r="F24" s="131"/>
      <c r="G24" s="131"/>
      <c r="H24" s="131"/>
      <c r="I24" s="131"/>
      <c r="J24" s="131"/>
      <c r="K24" s="131"/>
      <c r="L24" s="131"/>
      <c r="M24" s="131"/>
    </row>
    <row r="25" spans="1:13" x14ac:dyDescent="0.2">
      <c r="A25" s="131"/>
      <c r="B25" s="131"/>
      <c r="C25" s="131"/>
      <c r="D25" s="131"/>
      <c r="E25" s="131"/>
      <c r="F25" s="131"/>
      <c r="G25" s="131"/>
      <c r="H25" s="131"/>
      <c r="I25" s="131"/>
      <c r="J25" s="131"/>
      <c r="K25" s="131"/>
      <c r="L25" s="131"/>
      <c r="M25" s="131"/>
    </row>
    <row r="26" spans="1:13" ht="23.4" x14ac:dyDescent="0.3">
      <c r="A26" s="131"/>
      <c r="B26" s="131"/>
      <c r="C26" s="131"/>
      <c r="D26" s="131"/>
      <c r="E26" s="131"/>
      <c r="F26" s="440" t="s">
        <v>20</v>
      </c>
      <c r="G26" s="440"/>
      <c r="H26" s="440"/>
      <c r="I26" s="137"/>
      <c r="J26" s="137"/>
      <c r="K26" s="137"/>
      <c r="L26" s="131"/>
      <c r="M26" s="131"/>
    </row>
    <row r="27" spans="1:13" ht="16.2" x14ac:dyDescent="0.2">
      <c r="A27" s="131"/>
      <c r="B27" s="440" t="s">
        <v>21</v>
      </c>
      <c r="C27" s="440"/>
      <c r="D27" s="440"/>
      <c r="E27" s="440"/>
      <c r="F27" s="440"/>
      <c r="G27" s="440"/>
      <c r="H27" s="440"/>
      <c r="I27" s="440"/>
      <c r="J27" s="440"/>
      <c r="K27" s="440"/>
      <c r="L27" s="440"/>
      <c r="M27" s="131"/>
    </row>
    <row r="28" spans="1:13" ht="16.2" x14ac:dyDescent="0.2">
      <c r="A28" s="131"/>
      <c r="B28" s="131"/>
      <c r="C28" s="131"/>
      <c r="D28" s="131"/>
      <c r="E28" s="131"/>
      <c r="F28" s="138"/>
      <c r="G28" s="138"/>
      <c r="H28" s="138"/>
      <c r="I28" s="131"/>
      <c r="J28" s="131"/>
      <c r="K28" s="131"/>
      <c r="L28" s="131"/>
      <c r="M28" s="131"/>
    </row>
  </sheetData>
  <mergeCells count="5">
    <mergeCell ref="C7:K7"/>
    <mergeCell ref="C9:K9"/>
    <mergeCell ref="F26:H26"/>
    <mergeCell ref="B27:L27"/>
    <mergeCell ref="E15:I15"/>
  </mergeCells>
  <phoneticPr fontId="3"/>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&amp;L2010.07.14 初版&amp;RAll Rights Reserved, Copyright  (C) 富士通ﾌﾛﾝﾃｯｸ株式会社 2011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1">
    <pageSetUpPr fitToPage="1"/>
  </sheetPr>
  <dimension ref="A1:AR91"/>
  <sheetViews>
    <sheetView view="pageBreakPreview" zoomScale="80" zoomScaleNormal="100" zoomScaleSheetLayoutView="80" workbookViewId="0">
      <selection activeCell="AM22" sqref="AM22:AP25"/>
    </sheetView>
  </sheetViews>
  <sheetFormatPr defaultColWidth="2.6640625" defaultRowHeight="12" customHeight="1" x14ac:dyDescent="0.2"/>
  <cols>
    <col min="1" max="7" width="2.6640625" style="7"/>
    <col min="8" max="8" width="2.6640625" style="39"/>
    <col min="9" max="10" width="2.6640625" style="7"/>
    <col min="11" max="11" width="2.6640625" style="37"/>
    <col min="12" max="16384" width="2.6640625" style="7"/>
  </cols>
  <sheetData>
    <row r="1" spans="1:44" ht="12" customHeight="1" thickBot="1" x14ac:dyDescent="0.25">
      <c r="A1" s="5"/>
      <c r="B1" s="5"/>
      <c r="C1" s="5"/>
      <c r="D1" s="5"/>
      <c r="E1" s="5"/>
      <c r="F1" s="5"/>
      <c r="G1" s="5"/>
      <c r="H1" s="6"/>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139"/>
    </row>
    <row r="2" spans="1:44" ht="12" customHeight="1" thickTop="1" x14ac:dyDescent="0.2">
      <c r="A2" s="5"/>
      <c r="B2" s="452" t="s">
        <v>22</v>
      </c>
      <c r="C2" s="453"/>
      <c r="D2" s="453"/>
      <c r="E2" s="453"/>
      <c r="F2" s="453"/>
      <c r="G2" s="453"/>
      <c r="H2" s="453"/>
      <c r="I2" s="453"/>
      <c r="J2" s="453"/>
      <c r="K2" s="453"/>
      <c r="L2" s="453"/>
      <c r="M2" s="453"/>
      <c r="N2" s="454"/>
      <c r="O2" s="455" t="s">
        <v>23</v>
      </c>
      <c r="P2" s="449"/>
      <c r="Q2" s="449"/>
      <c r="R2" s="449"/>
      <c r="S2" s="449"/>
      <c r="T2" s="456"/>
      <c r="U2" s="448" t="s">
        <v>24</v>
      </c>
      <c r="V2" s="449"/>
      <c r="W2" s="449"/>
      <c r="X2" s="449"/>
      <c r="Y2" s="449"/>
      <c r="Z2" s="442" t="s">
        <v>25</v>
      </c>
      <c r="AA2" s="443"/>
      <c r="AB2" s="443"/>
      <c r="AC2" s="443"/>
      <c r="AD2" s="443"/>
      <c r="AE2" s="443"/>
      <c r="AF2" s="443"/>
      <c r="AG2" s="443"/>
      <c r="AH2" s="443"/>
      <c r="AI2" s="444"/>
      <c r="AJ2" s="8"/>
      <c r="AK2" s="9"/>
      <c r="AL2" s="9"/>
      <c r="AM2" s="9"/>
      <c r="AN2" s="9"/>
      <c r="AO2" s="9"/>
      <c r="AP2" s="9"/>
      <c r="AQ2" s="10"/>
      <c r="AR2" s="139"/>
    </row>
    <row r="3" spans="1:44" ht="12" customHeight="1" thickBot="1" x14ac:dyDescent="0.25">
      <c r="A3" s="5"/>
      <c r="B3" s="459"/>
      <c r="C3" s="460"/>
      <c r="D3" s="460"/>
      <c r="E3" s="460"/>
      <c r="F3" s="460"/>
      <c r="G3" s="460"/>
      <c r="H3" s="460"/>
      <c r="I3" s="460"/>
      <c r="J3" s="460"/>
      <c r="K3" s="460"/>
      <c r="L3" s="460"/>
      <c r="M3" s="460"/>
      <c r="N3" s="461"/>
      <c r="O3" s="457" t="s">
        <v>26</v>
      </c>
      <c r="P3" s="451"/>
      <c r="Q3" s="451"/>
      <c r="R3" s="451"/>
      <c r="S3" s="451"/>
      <c r="T3" s="458"/>
      <c r="U3" s="450"/>
      <c r="V3" s="451"/>
      <c r="W3" s="451"/>
      <c r="X3" s="451"/>
      <c r="Y3" s="451"/>
      <c r="Z3" s="445"/>
      <c r="AA3" s="446"/>
      <c r="AB3" s="446"/>
      <c r="AC3" s="446"/>
      <c r="AD3" s="446"/>
      <c r="AE3" s="446"/>
      <c r="AF3" s="446"/>
      <c r="AG3" s="446"/>
      <c r="AH3" s="446"/>
      <c r="AI3" s="447"/>
      <c r="AJ3" s="11"/>
      <c r="AK3" s="12"/>
      <c r="AL3" s="13"/>
      <c r="AM3" s="13"/>
      <c r="AN3" s="13"/>
      <c r="AO3" s="13"/>
      <c r="AP3" s="12"/>
      <c r="AQ3" s="14"/>
      <c r="AR3" s="139"/>
    </row>
    <row r="4" spans="1:44" ht="12" customHeight="1" thickTop="1" x14ac:dyDescent="0.2">
      <c r="A4" s="5"/>
      <c r="B4" s="5"/>
      <c r="C4" s="5"/>
      <c r="D4" s="5"/>
      <c r="E4" s="5"/>
      <c r="F4" s="5"/>
      <c r="G4" s="5"/>
      <c r="H4" s="6"/>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139"/>
    </row>
    <row r="5" spans="1:44" ht="12" customHeight="1" x14ac:dyDescent="0.2">
      <c r="A5" s="5"/>
      <c r="B5" s="8"/>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10"/>
      <c r="AR5" s="139"/>
    </row>
    <row r="6" spans="1:44" ht="12" customHeight="1" x14ac:dyDescent="0.2">
      <c r="A6" s="5"/>
      <c r="B6" s="15"/>
      <c r="C6" s="16" t="s">
        <v>27</v>
      </c>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17"/>
      <c r="AR6" s="139"/>
    </row>
    <row r="7" spans="1:44" ht="12" customHeight="1" x14ac:dyDescent="0.2">
      <c r="A7" s="5"/>
      <c r="B7" s="18"/>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17"/>
      <c r="AR7" s="139"/>
    </row>
    <row r="8" spans="1:44" ht="12" customHeight="1" x14ac:dyDescent="0.2">
      <c r="A8" s="5"/>
      <c r="B8" s="19"/>
      <c r="C8" s="470" t="s">
        <v>28</v>
      </c>
      <c r="D8" s="465"/>
      <c r="E8" s="465"/>
      <c r="F8" s="471"/>
      <c r="G8" s="464" t="s">
        <v>29</v>
      </c>
      <c r="H8" s="471"/>
      <c r="I8" s="474" t="s">
        <v>30</v>
      </c>
      <c r="J8" s="475"/>
      <c r="K8" s="476"/>
      <c r="L8" s="464" t="s">
        <v>31</v>
      </c>
      <c r="M8" s="465"/>
      <c r="N8" s="465"/>
      <c r="O8" s="465"/>
      <c r="P8" s="465"/>
      <c r="Q8" s="465"/>
      <c r="R8" s="465"/>
      <c r="S8" s="465"/>
      <c r="T8" s="465"/>
      <c r="U8" s="465"/>
      <c r="V8" s="465"/>
      <c r="W8" s="465"/>
      <c r="X8" s="465"/>
      <c r="Y8" s="465"/>
      <c r="Z8" s="465"/>
      <c r="AA8" s="465"/>
      <c r="AB8" s="465"/>
      <c r="AC8" s="465"/>
      <c r="AD8" s="465"/>
      <c r="AE8" s="465"/>
      <c r="AF8" s="465"/>
      <c r="AG8" s="465"/>
      <c r="AH8" s="465"/>
      <c r="AI8" s="465"/>
      <c r="AJ8" s="465"/>
      <c r="AK8" s="465"/>
      <c r="AL8" s="471"/>
      <c r="AM8" s="464" t="s">
        <v>32</v>
      </c>
      <c r="AN8" s="465"/>
      <c r="AO8" s="465"/>
      <c r="AP8" s="466"/>
      <c r="AQ8" s="20"/>
      <c r="AR8" s="139"/>
    </row>
    <row r="9" spans="1:44" ht="12" customHeight="1" x14ac:dyDescent="0.2">
      <c r="A9" s="5"/>
      <c r="B9" s="18"/>
      <c r="C9" s="472"/>
      <c r="D9" s="468"/>
      <c r="E9" s="468"/>
      <c r="F9" s="473"/>
      <c r="G9" s="467"/>
      <c r="H9" s="473"/>
      <c r="I9" s="477"/>
      <c r="J9" s="478"/>
      <c r="K9" s="479"/>
      <c r="L9" s="467"/>
      <c r="M9" s="468"/>
      <c r="N9" s="468"/>
      <c r="O9" s="468"/>
      <c r="P9" s="468"/>
      <c r="Q9" s="468"/>
      <c r="R9" s="468"/>
      <c r="S9" s="468"/>
      <c r="T9" s="468"/>
      <c r="U9" s="468"/>
      <c r="V9" s="468"/>
      <c r="W9" s="468"/>
      <c r="X9" s="468"/>
      <c r="Y9" s="468"/>
      <c r="Z9" s="468"/>
      <c r="AA9" s="468"/>
      <c r="AB9" s="468"/>
      <c r="AC9" s="468"/>
      <c r="AD9" s="468"/>
      <c r="AE9" s="468"/>
      <c r="AF9" s="468"/>
      <c r="AG9" s="468"/>
      <c r="AH9" s="468"/>
      <c r="AI9" s="468"/>
      <c r="AJ9" s="468"/>
      <c r="AK9" s="468"/>
      <c r="AL9" s="473"/>
      <c r="AM9" s="467"/>
      <c r="AN9" s="468"/>
      <c r="AO9" s="468"/>
      <c r="AP9" s="469"/>
      <c r="AQ9" s="21"/>
      <c r="AR9" s="139"/>
    </row>
    <row r="10" spans="1:44" ht="12" customHeight="1" x14ac:dyDescent="0.2">
      <c r="A10" s="5"/>
      <c r="B10" s="18"/>
      <c r="C10" s="480">
        <v>43650</v>
      </c>
      <c r="D10" s="481"/>
      <c r="E10" s="481"/>
      <c r="F10" s="482"/>
      <c r="G10" s="486">
        <v>1</v>
      </c>
      <c r="H10" s="487"/>
      <c r="I10" s="22"/>
      <c r="J10" s="23"/>
      <c r="K10" s="24"/>
      <c r="L10" s="9" t="s">
        <v>33</v>
      </c>
      <c r="M10" s="9"/>
      <c r="N10" s="9"/>
      <c r="O10" s="9"/>
      <c r="P10" s="9"/>
      <c r="Q10" s="9"/>
      <c r="R10" s="9"/>
      <c r="S10" s="25"/>
      <c r="T10" s="9"/>
      <c r="U10" s="9"/>
      <c r="V10" s="9"/>
      <c r="W10" s="9"/>
      <c r="X10" s="9"/>
      <c r="Y10" s="9"/>
      <c r="Z10" s="9"/>
      <c r="AA10" s="9"/>
      <c r="AB10" s="9"/>
      <c r="AC10" s="9"/>
      <c r="AD10" s="9"/>
      <c r="AE10" s="9"/>
      <c r="AF10" s="9"/>
      <c r="AG10" s="9"/>
      <c r="AH10" s="9"/>
      <c r="AI10" s="9"/>
      <c r="AJ10" s="9"/>
      <c r="AK10" s="9"/>
      <c r="AL10" s="26"/>
      <c r="AM10" s="490" t="s">
        <v>34</v>
      </c>
      <c r="AN10" s="491"/>
      <c r="AO10" s="491"/>
      <c r="AP10" s="492"/>
      <c r="AQ10" s="17"/>
      <c r="AR10" s="139"/>
    </row>
    <row r="11" spans="1:44" ht="12" customHeight="1" x14ac:dyDescent="0.2">
      <c r="A11" s="5"/>
      <c r="B11" s="18"/>
      <c r="C11" s="483"/>
      <c r="D11" s="484"/>
      <c r="E11" s="484"/>
      <c r="F11" s="485"/>
      <c r="G11" s="488"/>
      <c r="H11" s="489"/>
      <c r="I11" s="28"/>
      <c r="J11" s="29"/>
      <c r="K11" s="30"/>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27"/>
      <c r="AM11" s="493"/>
      <c r="AN11" s="494"/>
      <c r="AO11" s="494"/>
      <c r="AP11" s="495"/>
      <c r="AQ11" s="17"/>
      <c r="AR11" s="139"/>
    </row>
    <row r="12" spans="1:44" ht="12" customHeight="1" x14ac:dyDescent="0.2">
      <c r="A12" s="5"/>
      <c r="B12" s="18"/>
      <c r="C12" s="480">
        <v>44225</v>
      </c>
      <c r="D12" s="481"/>
      <c r="E12" s="481"/>
      <c r="F12" s="482"/>
      <c r="G12" s="486">
        <v>1.1000000000000001</v>
      </c>
      <c r="H12" s="487"/>
      <c r="I12" s="22"/>
      <c r="J12" s="23"/>
      <c r="K12" s="24"/>
      <c r="L12" s="9" t="s">
        <v>35</v>
      </c>
      <c r="M12" s="9"/>
      <c r="N12" s="9"/>
      <c r="O12" s="9"/>
      <c r="P12" s="9"/>
      <c r="Q12" s="9"/>
      <c r="R12" s="9"/>
      <c r="S12" s="25"/>
      <c r="T12" s="9"/>
      <c r="U12" s="9"/>
      <c r="V12" s="9"/>
      <c r="W12" s="9"/>
      <c r="X12" s="9"/>
      <c r="Y12" s="9"/>
      <c r="Z12" s="9"/>
      <c r="AA12" s="9"/>
      <c r="AB12" s="9"/>
      <c r="AC12" s="9"/>
      <c r="AD12" s="9"/>
      <c r="AE12" s="9"/>
      <c r="AF12" s="9"/>
      <c r="AG12" s="9"/>
      <c r="AH12" s="9"/>
      <c r="AI12" s="9"/>
      <c r="AJ12" s="9"/>
      <c r="AK12" s="9"/>
      <c r="AL12" s="26"/>
      <c r="AM12" s="490" t="s">
        <v>34</v>
      </c>
      <c r="AN12" s="491"/>
      <c r="AO12" s="491"/>
      <c r="AP12" s="492"/>
      <c r="AQ12" s="17"/>
      <c r="AR12" s="139"/>
    </row>
    <row r="13" spans="1:44" ht="12" customHeight="1" x14ac:dyDescent="0.2">
      <c r="A13" s="5"/>
      <c r="B13" s="18"/>
      <c r="C13" s="483"/>
      <c r="D13" s="484"/>
      <c r="E13" s="484"/>
      <c r="F13" s="485"/>
      <c r="G13" s="488"/>
      <c r="H13" s="489"/>
      <c r="I13" s="28"/>
      <c r="J13" s="29"/>
      <c r="K13" s="30"/>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27"/>
      <c r="AM13" s="493"/>
      <c r="AN13" s="494"/>
      <c r="AO13" s="494"/>
      <c r="AP13" s="495"/>
      <c r="AQ13" s="17"/>
      <c r="AR13" s="139"/>
    </row>
    <row r="14" spans="1:44" ht="12" customHeight="1" x14ac:dyDescent="0.2">
      <c r="A14" s="5"/>
      <c r="B14" s="18"/>
      <c r="C14" s="480">
        <v>44229</v>
      </c>
      <c r="D14" s="481"/>
      <c r="E14" s="481"/>
      <c r="F14" s="482"/>
      <c r="G14" s="486">
        <v>1.2</v>
      </c>
      <c r="H14" s="487"/>
      <c r="I14" s="22"/>
      <c r="J14" s="23"/>
      <c r="K14" s="24"/>
      <c r="L14" s="9" t="s">
        <v>36</v>
      </c>
      <c r="M14" s="9"/>
      <c r="N14" s="9"/>
      <c r="O14" s="9"/>
      <c r="P14" s="9"/>
      <c r="Q14" s="9"/>
      <c r="R14" s="9"/>
      <c r="S14" s="25"/>
      <c r="T14" s="9"/>
      <c r="U14" s="9"/>
      <c r="V14" s="9"/>
      <c r="W14" s="9"/>
      <c r="X14" s="9"/>
      <c r="Y14" s="9"/>
      <c r="Z14" s="9"/>
      <c r="AA14" s="9"/>
      <c r="AB14" s="9"/>
      <c r="AC14" s="9"/>
      <c r="AD14" s="9"/>
      <c r="AE14" s="9"/>
      <c r="AF14" s="9"/>
      <c r="AG14" s="9"/>
      <c r="AH14" s="9"/>
      <c r="AI14" s="9"/>
      <c r="AJ14" s="9"/>
      <c r="AK14" s="9"/>
      <c r="AL14" s="26"/>
      <c r="AM14" s="490" t="s">
        <v>34</v>
      </c>
      <c r="AN14" s="491"/>
      <c r="AO14" s="491"/>
      <c r="AP14" s="492"/>
      <c r="AQ14" s="17"/>
      <c r="AR14" s="139"/>
    </row>
    <row r="15" spans="1:44" ht="12" customHeight="1" x14ac:dyDescent="0.2">
      <c r="A15" s="5"/>
      <c r="B15" s="18"/>
      <c r="C15" s="483"/>
      <c r="D15" s="484"/>
      <c r="E15" s="484"/>
      <c r="F15" s="485"/>
      <c r="G15" s="488"/>
      <c r="H15" s="489"/>
      <c r="I15" s="28"/>
      <c r="J15" s="29"/>
      <c r="K15" s="30"/>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27"/>
      <c r="AM15" s="493"/>
      <c r="AN15" s="494"/>
      <c r="AO15" s="494"/>
      <c r="AP15" s="495"/>
      <c r="AQ15" s="17"/>
      <c r="AR15" s="139"/>
    </row>
    <row r="16" spans="1:44" ht="12" customHeight="1" x14ac:dyDescent="0.2">
      <c r="A16" s="5"/>
      <c r="B16" s="18"/>
      <c r="C16" s="480">
        <v>44230</v>
      </c>
      <c r="D16" s="481"/>
      <c r="E16" s="481"/>
      <c r="F16" s="482"/>
      <c r="G16" s="486">
        <v>1.3</v>
      </c>
      <c r="H16" s="487"/>
      <c r="I16" s="22"/>
      <c r="J16" s="23"/>
      <c r="K16" s="24"/>
      <c r="L16" s="9" t="s">
        <v>37</v>
      </c>
      <c r="M16" s="9"/>
      <c r="N16" s="9"/>
      <c r="O16" s="9"/>
      <c r="P16" s="9"/>
      <c r="Q16" s="9"/>
      <c r="R16" s="9"/>
      <c r="S16" s="25"/>
      <c r="T16" s="9"/>
      <c r="U16" s="9"/>
      <c r="V16" s="9"/>
      <c r="W16" s="9"/>
      <c r="X16" s="9"/>
      <c r="Y16" s="9"/>
      <c r="Z16" s="9"/>
      <c r="AA16" s="9"/>
      <c r="AB16" s="9"/>
      <c r="AC16" s="9"/>
      <c r="AD16" s="9"/>
      <c r="AE16" s="9"/>
      <c r="AF16" s="9"/>
      <c r="AG16" s="9"/>
      <c r="AH16" s="9"/>
      <c r="AI16" s="9"/>
      <c r="AJ16" s="9"/>
      <c r="AK16" s="9"/>
      <c r="AL16" s="26"/>
      <c r="AM16" s="490" t="s">
        <v>34</v>
      </c>
      <c r="AN16" s="491"/>
      <c r="AO16" s="491"/>
      <c r="AP16" s="492"/>
      <c r="AQ16" s="17"/>
      <c r="AR16" s="139"/>
    </row>
    <row r="17" spans="1:44" ht="12" customHeight="1" x14ac:dyDescent="0.2">
      <c r="A17" s="5"/>
      <c r="B17" s="18"/>
      <c r="C17" s="483"/>
      <c r="D17" s="484"/>
      <c r="E17" s="484"/>
      <c r="F17" s="485"/>
      <c r="G17" s="488"/>
      <c r="H17" s="489"/>
      <c r="I17" s="28"/>
      <c r="J17" s="29"/>
      <c r="K17" s="30"/>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27"/>
      <c r="AM17" s="493"/>
      <c r="AN17" s="494"/>
      <c r="AO17" s="494"/>
      <c r="AP17" s="495"/>
      <c r="AQ17" s="17"/>
      <c r="AR17" s="139"/>
    </row>
    <row r="18" spans="1:44" ht="12" customHeight="1" x14ac:dyDescent="0.2">
      <c r="A18" s="5"/>
      <c r="B18" s="18"/>
      <c r="C18" s="480">
        <v>44245</v>
      </c>
      <c r="D18" s="481"/>
      <c r="E18" s="481"/>
      <c r="F18" s="482"/>
      <c r="G18" s="486">
        <v>1.4</v>
      </c>
      <c r="H18" s="487"/>
      <c r="I18" s="22"/>
      <c r="J18" s="23"/>
      <c r="K18" s="24"/>
      <c r="L18" s="9" t="s">
        <v>38</v>
      </c>
      <c r="M18" s="9"/>
      <c r="N18" s="9"/>
      <c r="O18" s="9"/>
      <c r="P18" s="9"/>
      <c r="Q18" s="9"/>
      <c r="R18" s="9"/>
      <c r="S18" s="25"/>
      <c r="T18" s="9"/>
      <c r="U18" s="9"/>
      <c r="V18" s="9"/>
      <c r="W18" s="9"/>
      <c r="X18" s="9"/>
      <c r="Y18" s="9"/>
      <c r="Z18" s="9"/>
      <c r="AA18" s="9"/>
      <c r="AB18" s="9"/>
      <c r="AC18" s="9"/>
      <c r="AD18" s="9"/>
      <c r="AE18" s="9"/>
      <c r="AF18" s="9"/>
      <c r="AG18" s="9"/>
      <c r="AH18" s="9"/>
      <c r="AI18" s="9"/>
      <c r="AJ18" s="9"/>
      <c r="AK18" s="9"/>
      <c r="AL18" s="26"/>
      <c r="AM18" s="490" t="s">
        <v>34</v>
      </c>
      <c r="AN18" s="491"/>
      <c r="AO18" s="491"/>
      <c r="AP18" s="492"/>
      <c r="AQ18" s="17"/>
      <c r="AR18" s="139"/>
    </row>
    <row r="19" spans="1:44" ht="12" customHeight="1" x14ac:dyDescent="0.2">
      <c r="A19" s="5"/>
      <c r="B19" s="18"/>
      <c r="C19" s="483"/>
      <c r="D19" s="484"/>
      <c r="E19" s="484"/>
      <c r="F19" s="485"/>
      <c r="G19" s="488"/>
      <c r="H19" s="489"/>
      <c r="I19" s="28"/>
      <c r="J19" s="29"/>
      <c r="K19" s="30"/>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27"/>
      <c r="AM19" s="493"/>
      <c r="AN19" s="494"/>
      <c r="AO19" s="494"/>
      <c r="AP19" s="495"/>
      <c r="AQ19" s="17"/>
      <c r="AR19" s="139"/>
    </row>
    <row r="20" spans="1:44" ht="12" customHeight="1" x14ac:dyDescent="0.2">
      <c r="A20" s="5"/>
      <c r="B20" s="18"/>
      <c r="C20" s="480">
        <v>44909</v>
      </c>
      <c r="D20" s="481"/>
      <c r="E20" s="481"/>
      <c r="F20" s="482"/>
      <c r="G20" s="486">
        <v>1.5</v>
      </c>
      <c r="H20" s="487"/>
      <c r="I20" s="22"/>
      <c r="J20" s="23"/>
      <c r="K20" s="24"/>
      <c r="L20" s="9" t="s">
        <v>39</v>
      </c>
      <c r="M20" s="9"/>
      <c r="N20" s="9"/>
      <c r="O20" s="9"/>
      <c r="P20" s="9"/>
      <c r="Q20" s="9"/>
      <c r="R20" s="9"/>
      <c r="S20" s="25"/>
      <c r="T20" s="9"/>
      <c r="U20" s="9"/>
      <c r="V20" s="9"/>
      <c r="W20" s="9"/>
      <c r="X20" s="9"/>
      <c r="Y20" s="9"/>
      <c r="Z20" s="9"/>
      <c r="AA20" s="9"/>
      <c r="AB20" s="9"/>
      <c r="AC20" s="9"/>
      <c r="AD20" s="9"/>
      <c r="AE20" s="9"/>
      <c r="AF20" s="9"/>
      <c r="AG20" s="9"/>
      <c r="AH20" s="9"/>
      <c r="AI20" s="9"/>
      <c r="AJ20" s="9"/>
      <c r="AK20" s="9"/>
      <c r="AL20" s="26"/>
      <c r="AM20" s="490" t="s">
        <v>34</v>
      </c>
      <c r="AN20" s="491"/>
      <c r="AO20" s="491"/>
      <c r="AP20" s="492"/>
      <c r="AQ20" s="17"/>
      <c r="AR20" s="139"/>
    </row>
    <row r="21" spans="1:44" ht="12" customHeight="1" x14ac:dyDescent="0.2">
      <c r="A21" s="5"/>
      <c r="B21" s="18"/>
      <c r="C21" s="483"/>
      <c r="D21" s="484"/>
      <c r="E21" s="484"/>
      <c r="F21" s="485"/>
      <c r="G21" s="488"/>
      <c r="H21" s="489"/>
      <c r="I21" s="28"/>
      <c r="J21" s="29"/>
      <c r="K21" s="30"/>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27"/>
      <c r="AM21" s="493"/>
      <c r="AN21" s="494"/>
      <c r="AO21" s="494"/>
      <c r="AP21" s="495"/>
      <c r="AQ21" s="17"/>
      <c r="AR21" s="139"/>
    </row>
    <row r="22" spans="1:44" ht="12" customHeight="1" x14ac:dyDescent="0.2">
      <c r="A22" s="5"/>
      <c r="B22" s="18"/>
      <c r="C22" s="480">
        <v>44970</v>
      </c>
      <c r="D22" s="481"/>
      <c r="E22" s="481"/>
      <c r="F22" s="482"/>
      <c r="G22" s="486">
        <v>1.6</v>
      </c>
      <c r="H22" s="487"/>
      <c r="I22" s="22"/>
      <c r="J22" s="23"/>
      <c r="K22" s="24"/>
      <c r="L22" s="9" t="s">
        <v>40</v>
      </c>
      <c r="M22" s="9"/>
      <c r="N22" s="9"/>
      <c r="O22" s="9"/>
      <c r="P22" s="9"/>
      <c r="Q22" s="9"/>
      <c r="R22" s="9"/>
      <c r="S22" s="25"/>
      <c r="T22" s="9"/>
      <c r="U22" s="9"/>
      <c r="V22" s="9"/>
      <c r="W22" s="9"/>
      <c r="X22" s="9"/>
      <c r="Y22" s="9"/>
      <c r="Z22" s="9"/>
      <c r="AA22" s="9"/>
      <c r="AB22" s="9"/>
      <c r="AC22" s="9"/>
      <c r="AD22" s="9"/>
      <c r="AE22" s="9"/>
      <c r="AF22" s="9"/>
      <c r="AG22" s="9"/>
      <c r="AH22" s="9"/>
      <c r="AI22" s="9"/>
      <c r="AJ22" s="9"/>
      <c r="AK22" s="9"/>
      <c r="AL22" s="26"/>
      <c r="AM22" s="490" t="s">
        <v>34</v>
      </c>
      <c r="AN22" s="491"/>
      <c r="AO22" s="491"/>
      <c r="AP22" s="492"/>
      <c r="AQ22" s="17"/>
      <c r="AR22" s="139"/>
    </row>
    <row r="23" spans="1:44" ht="12" customHeight="1" x14ac:dyDescent="0.2">
      <c r="A23" s="5"/>
      <c r="B23" s="18"/>
      <c r="C23" s="483"/>
      <c r="D23" s="484"/>
      <c r="E23" s="484"/>
      <c r="F23" s="485"/>
      <c r="G23" s="488"/>
      <c r="H23" s="489"/>
      <c r="I23" s="28"/>
      <c r="J23" s="29"/>
      <c r="K23" s="30"/>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27"/>
      <c r="AM23" s="493"/>
      <c r="AN23" s="494"/>
      <c r="AO23" s="494"/>
      <c r="AP23" s="495"/>
      <c r="AQ23" s="17"/>
      <c r="AR23" s="139"/>
    </row>
    <row r="24" spans="1:44" ht="12" customHeight="1" x14ac:dyDescent="0.2">
      <c r="A24" s="5"/>
      <c r="B24" s="18"/>
      <c r="C24" s="480">
        <v>45548</v>
      </c>
      <c r="D24" s="481"/>
      <c r="E24" s="481"/>
      <c r="F24" s="482"/>
      <c r="G24" s="486">
        <v>1.7</v>
      </c>
      <c r="H24" s="487"/>
      <c r="I24" s="22"/>
      <c r="J24" s="23"/>
      <c r="K24" s="24"/>
      <c r="L24" s="9" t="s">
        <v>41</v>
      </c>
      <c r="M24" s="9"/>
      <c r="N24" s="9"/>
      <c r="O24" s="9"/>
      <c r="P24" s="9"/>
      <c r="Q24" s="9"/>
      <c r="R24" s="9"/>
      <c r="S24" s="25"/>
      <c r="T24" s="9"/>
      <c r="U24" s="9"/>
      <c r="V24" s="9"/>
      <c r="W24" s="9"/>
      <c r="X24" s="9"/>
      <c r="Y24" s="9"/>
      <c r="Z24" s="9"/>
      <c r="AA24" s="9"/>
      <c r="AB24" s="9"/>
      <c r="AC24" s="9"/>
      <c r="AD24" s="9"/>
      <c r="AE24" s="9"/>
      <c r="AF24" s="9"/>
      <c r="AG24" s="9"/>
      <c r="AH24" s="9"/>
      <c r="AI24" s="9"/>
      <c r="AJ24" s="9"/>
      <c r="AK24" s="9"/>
      <c r="AL24" s="26"/>
      <c r="AM24" s="490" t="s">
        <v>34</v>
      </c>
      <c r="AN24" s="491"/>
      <c r="AO24" s="491"/>
      <c r="AP24" s="492"/>
      <c r="AQ24" s="17"/>
      <c r="AR24" s="139"/>
    </row>
    <row r="25" spans="1:44" ht="12" customHeight="1" x14ac:dyDescent="0.2">
      <c r="A25" s="5"/>
      <c r="B25" s="18"/>
      <c r="C25" s="483"/>
      <c r="D25" s="484"/>
      <c r="E25" s="484"/>
      <c r="F25" s="485"/>
      <c r="G25" s="488"/>
      <c r="H25" s="489"/>
      <c r="I25" s="28"/>
      <c r="J25" s="29"/>
      <c r="K25" s="30"/>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27"/>
      <c r="AM25" s="493"/>
      <c r="AN25" s="494"/>
      <c r="AO25" s="494"/>
      <c r="AP25" s="495"/>
      <c r="AQ25" s="17"/>
      <c r="AR25" s="139"/>
    </row>
    <row r="26" spans="1:44" ht="12" customHeight="1" x14ac:dyDescent="0.2">
      <c r="A26" s="5"/>
      <c r="B26" s="18"/>
      <c r="C26" s="480"/>
      <c r="D26" s="481"/>
      <c r="E26" s="481"/>
      <c r="F26" s="482"/>
      <c r="G26" s="486"/>
      <c r="H26" s="487"/>
      <c r="I26" s="22"/>
      <c r="J26" s="23"/>
      <c r="K26" s="24"/>
      <c r="L26" s="9"/>
      <c r="M26" s="9"/>
      <c r="N26" s="9"/>
      <c r="O26" s="9"/>
      <c r="P26" s="9"/>
      <c r="Q26" s="9"/>
      <c r="R26" s="9"/>
      <c r="S26" s="25"/>
      <c r="T26" s="9"/>
      <c r="U26" s="9"/>
      <c r="V26" s="9"/>
      <c r="W26" s="9"/>
      <c r="X26" s="9"/>
      <c r="Y26" s="9"/>
      <c r="Z26" s="9"/>
      <c r="AA26" s="9"/>
      <c r="AB26" s="9"/>
      <c r="AC26" s="9"/>
      <c r="AD26" s="9"/>
      <c r="AE26" s="9"/>
      <c r="AF26" s="9"/>
      <c r="AG26" s="9"/>
      <c r="AH26" s="9"/>
      <c r="AI26" s="9"/>
      <c r="AJ26" s="9"/>
      <c r="AK26" s="9"/>
      <c r="AL26" s="26"/>
      <c r="AM26" s="490"/>
      <c r="AN26" s="491"/>
      <c r="AO26" s="491"/>
      <c r="AP26" s="492"/>
      <c r="AQ26" s="17"/>
      <c r="AR26" s="139"/>
    </row>
    <row r="27" spans="1:44" ht="12" customHeight="1" x14ac:dyDescent="0.2">
      <c r="A27" s="5"/>
      <c r="B27" s="18"/>
      <c r="C27" s="483"/>
      <c r="D27" s="484"/>
      <c r="E27" s="484"/>
      <c r="F27" s="485"/>
      <c r="G27" s="488"/>
      <c r="H27" s="489"/>
      <c r="I27" s="28"/>
      <c r="J27" s="29"/>
      <c r="K27" s="30"/>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27"/>
      <c r="AM27" s="493"/>
      <c r="AN27" s="494"/>
      <c r="AO27" s="494"/>
      <c r="AP27" s="495"/>
      <c r="AQ27" s="17"/>
      <c r="AR27" s="139"/>
    </row>
    <row r="28" spans="1:44" ht="12" customHeight="1" x14ac:dyDescent="0.2">
      <c r="A28" s="5"/>
      <c r="B28" s="18"/>
      <c r="C28" s="480"/>
      <c r="D28" s="481"/>
      <c r="E28" s="481"/>
      <c r="F28" s="482"/>
      <c r="G28" s="486"/>
      <c r="H28" s="487"/>
      <c r="I28" s="22"/>
      <c r="J28" s="23"/>
      <c r="K28" s="24"/>
      <c r="L28" s="9"/>
      <c r="M28" s="9"/>
      <c r="N28" s="9"/>
      <c r="O28" s="9"/>
      <c r="P28" s="9"/>
      <c r="Q28" s="9"/>
      <c r="R28" s="9"/>
      <c r="S28" s="25"/>
      <c r="T28" s="9"/>
      <c r="U28" s="9"/>
      <c r="V28" s="9"/>
      <c r="W28" s="9"/>
      <c r="X28" s="9"/>
      <c r="Y28" s="9"/>
      <c r="Z28" s="9"/>
      <c r="AA28" s="9"/>
      <c r="AB28" s="9"/>
      <c r="AC28" s="9"/>
      <c r="AD28" s="9"/>
      <c r="AE28" s="9"/>
      <c r="AF28" s="9"/>
      <c r="AG28" s="9"/>
      <c r="AH28" s="9"/>
      <c r="AI28" s="9"/>
      <c r="AJ28" s="9"/>
      <c r="AK28" s="9"/>
      <c r="AL28" s="26"/>
      <c r="AM28" s="490"/>
      <c r="AN28" s="491"/>
      <c r="AO28" s="491"/>
      <c r="AP28" s="492"/>
      <c r="AQ28" s="17"/>
      <c r="AR28" s="139"/>
    </row>
    <row r="29" spans="1:44" ht="12" customHeight="1" x14ac:dyDescent="0.2">
      <c r="A29" s="5"/>
      <c r="B29" s="18"/>
      <c r="C29" s="483"/>
      <c r="D29" s="484"/>
      <c r="E29" s="484"/>
      <c r="F29" s="485"/>
      <c r="G29" s="488"/>
      <c r="H29" s="489"/>
      <c r="I29" s="28"/>
      <c r="J29" s="29"/>
      <c r="K29" s="30"/>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27"/>
      <c r="AM29" s="493"/>
      <c r="AN29" s="494"/>
      <c r="AO29" s="494"/>
      <c r="AP29" s="495"/>
      <c r="AQ29" s="17"/>
      <c r="AR29" s="139"/>
    </row>
    <row r="30" spans="1:44" ht="12" customHeight="1" x14ac:dyDescent="0.2">
      <c r="A30" s="5"/>
      <c r="B30" s="18"/>
      <c r="C30" s="480"/>
      <c r="D30" s="481"/>
      <c r="E30" s="481"/>
      <c r="F30" s="482"/>
      <c r="G30" s="486"/>
      <c r="H30" s="487"/>
      <c r="I30" s="22"/>
      <c r="J30" s="23"/>
      <c r="K30" s="24"/>
      <c r="L30" s="9"/>
      <c r="M30" s="9"/>
      <c r="N30" s="9"/>
      <c r="O30" s="9"/>
      <c r="P30" s="9"/>
      <c r="Q30" s="9"/>
      <c r="R30" s="9"/>
      <c r="S30" s="25"/>
      <c r="T30" s="9"/>
      <c r="U30" s="9"/>
      <c r="V30" s="9"/>
      <c r="W30" s="9"/>
      <c r="X30" s="9"/>
      <c r="Y30" s="9"/>
      <c r="Z30" s="9"/>
      <c r="AA30" s="9"/>
      <c r="AB30" s="9"/>
      <c r="AC30" s="9"/>
      <c r="AD30" s="9"/>
      <c r="AE30" s="9"/>
      <c r="AF30" s="9"/>
      <c r="AG30" s="9"/>
      <c r="AH30" s="9"/>
      <c r="AI30" s="9"/>
      <c r="AJ30" s="9"/>
      <c r="AK30" s="9"/>
      <c r="AL30" s="26"/>
      <c r="AM30" s="490"/>
      <c r="AN30" s="491"/>
      <c r="AO30" s="491"/>
      <c r="AP30" s="492"/>
      <c r="AQ30" s="17"/>
      <c r="AR30" s="139"/>
    </row>
    <row r="31" spans="1:44" ht="12" customHeight="1" x14ac:dyDescent="0.2">
      <c r="A31" s="5"/>
      <c r="B31" s="18"/>
      <c r="C31" s="483"/>
      <c r="D31" s="484"/>
      <c r="E31" s="484"/>
      <c r="F31" s="485"/>
      <c r="G31" s="488"/>
      <c r="H31" s="489"/>
      <c r="I31" s="28"/>
      <c r="J31" s="29"/>
      <c r="K31" s="30"/>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27"/>
      <c r="AM31" s="493"/>
      <c r="AN31" s="494"/>
      <c r="AO31" s="494"/>
      <c r="AP31" s="495"/>
      <c r="AQ31" s="17"/>
      <c r="AR31" s="139"/>
    </row>
    <row r="32" spans="1:44" ht="12" customHeight="1" x14ac:dyDescent="0.2">
      <c r="A32" s="5"/>
      <c r="B32" s="18"/>
      <c r="C32" s="480"/>
      <c r="D32" s="481"/>
      <c r="E32" s="481"/>
      <c r="F32" s="482"/>
      <c r="G32" s="486"/>
      <c r="H32" s="487"/>
      <c r="I32" s="22"/>
      <c r="J32" s="23"/>
      <c r="K32" s="24"/>
      <c r="L32" s="9"/>
      <c r="M32" s="9"/>
      <c r="N32" s="9"/>
      <c r="O32" s="9"/>
      <c r="P32" s="9"/>
      <c r="Q32" s="9"/>
      <c r="R32" s="9"/>
      <c r="S32" s="25"/>
      <c r="T32" s="9"/>
      <c r="U32" s="9"/>
      <c r="V32" s="9"/>
      <c r="W32" s="9"/>
      <c r="X32" s="9"/>
      <c r="Y32" s="9"/>
      <c r="Z32" s="9"/>
      <c r="AA32" s="9"/>
      <c r="AB32" s="9"/>
      <c r="AC32" s="9"/>
      <c r="AD32" s="9"/>
      <c r="AE32" s="9"/>
      <c r="AF32" s="9"/>
      <c r="AG32" s="9"/>
      <c r="AH32" s="9"/>
      <c r="AI32" s="9"/>
      <c r="AJ32" s="9"/>
      <c r="AK32" s="9"/>
      <c r="AL32" s="26"/>
      <c r="AM32" s="490"/>
      <c r="AN32" s="491"/>
      <c r="AO32" s="491"/>
      <c r="AP32" s="492"/>
      <c r="AQ32" s="17"/>
      <c r="AR32" s="139"/>
    </row>
    <row r="33" spans="1:44" ht="12" customHeight="1" x14ac:dyDescent="0.2">
      <c r="A33" s="5"/>
      <c r="B33" s="18"/>
      <c r="C33" s="483"/>
      <c r="D33" s="484"/>
      <c r="E33" s="484"/>
      <c r="F33" s="485"/>
      <c r="G33" s="488"/>
      <c r="H33" s="489"/>
      <c r="I33" s="28"/>
      <c r="J33" s="29"/>
      <c r="K33" s="30"/>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27"/>
      <c r="AM33" s="493"/>
      <c r="AN33" s="494"/>
      <c r="AO33" s="494"/>
      <c r="AP33" s="495"/>
      <c r="AQ33" s="17"/>
      <c r="AR33" s="139"/>
    </row>
    <row r="34" spans="1:44" ht="12" customHeight="1" x14ac:dyDescent="0.2">
      <c r="A34" s="5"/>
      <c r="B34" s="18"/>
      <c r="C34" s="480"/>
      <c r="D34" s="481"/>
      <c r="E34" s="481"/>
      <c r="F34" s="482"/>
      <c r="G34" s="486"/>
      <c r="H34" s="487"/>
      <c r="I34" s="22"/>
      <c r="J34" s="23"/>
      <c r="K34" s="24"/>
      <c r="L34" s="9"/>
      <c r="M34" s="9"/>
      <c r="N34" s="9"/>
      <c r="O34" s="9"/>
      <c r="P34" s="9"/>
      <c r="Q34" s="9"/>
      <c r="R34" s="9"/>
      <c r="S34" s="25"/>
      <c r="T34" s="9"/>
      <c r="U34" s="9"/>
      <c r="V34" s="9"/>
      <c r="W34" s="9"/>
      <c r="X34" s="9"/>
      <c r="Y34" s="9"/>
      <c r="Z34" s="9"/>
      <c r="AA34" s="9"/>
      <c r="AB34" s="9"/>
      <c r="AC34" s="9"/>
      <c r="AD34" s="9"/>
      <c r="AE34" s="9"/>
      <c r="AF34" s="9"/>
      <c r="AG34" s="9"/>
      <c r="AH34" s="9"/>
      <c r="AI34" s="9"/>
      <c r="AJ34" s="9"/>
      <c r="AK34" s="9"/>
      <c r="AL34" s="26"/>
      <c r="AM34" s="490"/>
      <c r="AN34" s="491"/>
      <c r="AO34" s="491"/>
      <c r="AP34" s="492"/>
      <c r="AQ34" s="17"/>
      <c r="AR34" s="139"/>
    </row>
    <row r="35" spans="1:44" ht="12" customHeight="1" x14ac:dyDescent="0.2">
      <c r="A35" s="5"/>
      <c r="B35" s="18"/>
      <c r="C35" s="483"/>
      <c r="D35" s="484"/>
      <c r="E35" s="484"/>
      <c r="F35" s="485"/>
      <c r="G35" s="488"/>
      <c r="H35" s="489"/>
      <c r="I35" s="28"/>
      <c r="J35" s="29"/>
      <c r="K35" s="30"/>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27"/>
      <c r="AM35" s="493"/>
      <c r="AN35" s="494"/>
      <c r="AO35" s="494"/>
      <c r="AP35" s="495"/>
      <c r="AQ35" s="17"/>
      <c r="AR35" s="139"/>
    </row>
    <row r="36" spans="1:44" ht="12" customHeight="1" x14ac:dyDescent="0.2">
      <c r="A36" s="5"/>
      <c r="B36" s="18"/>
      <c r="C36" s="480"/>
      <c r="D36" s="481"/>
      <c r="E36" s="481"/>
      <c r="F36" s="482"/>
      <c r="G36" s="486"/>
      <c r="H36" s="487"/>
      <c r="I36" s="22"/>
      <c r="J36" s="23"/>
      <c r="K36" s="24"/>
      <c r="L36" s="9"/>
      <c r="M36" s="9"/>
      <c r="N36" s="9"/>
      <c r="O36" s="9"/>
      <c r="P36" s="9"/>
      <c r="Q36" s="9"/>
      <c r="R36" s="9"/>
      <c r="S36" s="25"/>
      <c r="T36" s="9"/>
      <c r="U36" s="9"/>
      <c r="V36" s="9"/>
      <c r="W36" s="9"/>
      <c r="X36" s="9"/>
      <c r="Y36" s="9"/>
      <c r="Z36" s="9"/>
      <c r="AA36" s="9"/>
      <c r="AB36" s="9"/>
      <c r="AC36" s="9"/>
      <c r="AD36" s="9"/>
      <c r="AE36" s="9"/>
      <c r="AF36" s="9"/>
      <c r="AG36" s="9"/>
      <c r="AH36" s="9"/>
      <c r="AI36" s="9"/>
      <c r="AJ36" s="9"/>
      <c r="AK36" s="9"/>
      <c r="AL36" s="26"/>
      <c r="AM36" s="490"/>
      <c r="AN36" s="491"/>
      <c r="AO36" s="491"/>
      <c r="AP36" s="492"/>
      <c r="AQ36" s="17"/>
      <c r="AR36" s="139"/>
    </row>
    <row r="37" spans="1:44" ht="12" customHeight="1" x14ac:dyDescent="0.2">
      <c r="A37" s="5"/>
      <c r="B37" s="18"/>
      <c r="C37" s="483"/>
      <c r="D37" s="484"/>
      <c r="E37" s="484"/>
      <c r="F37" s="485"/>
      <c r="G37" s="488"/>
      <c r="H37" s="489"/>
      <c r="I37" s="28"/>
      <c r="J37" s="29"/>
      <c r="K37" s="30"/>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27"/>
      <c r="AM37" s="493"/>
      <c r="AN37" s="494"/>
      <c r="AO37" s="494"/>
      <c r="AP37" s="495"/>
      <c r="AQ37" s="17"/>
      <c r="AR37" s="139"/>
    </row>
    <row r="38" spans="1:44" ht="12" customHeight="1" x14ac:dyDescent="0.2">
      <c r="A38" s="5"/>
      <c r="B38" s="18"/>
      <c r="C38" s="480"/>
      <c r="D38" s="481"/>
      <c r="E38" s="481"/>
      <c r="F38" s="482"/>
      <c r="G38" s="486"/>
      <c r="H38" s="487"/>
      <c r="I38" s="22"/>
      <c r="J38" s="23"/>
      <c r="K38" s="24"/>
      <c r="L38" s="9"/>
      <c r="M38" s="9"/>
      <c r="N38" s="9"/>
      <c r="O38" s="9"/>
      <c r="P38" s="9"/>
      <c r="Q38" s="9"/>
      <c r="R38" s="9"/>
      <c r="S38" s="25"/>
      <c r="T38" s="9"/>
      <c r="U38" s="9"/>
      <c r="V38" s="9"/>
      <c r="W38" s="9"/>
      <c r="X38" s="9"/>
      <c r="Y38" s="9"/>
      <c r="Z38" s="9"/>
      <c r="AA38" s="9"/>
      <c r="AB38" s="9"/>
      <c r="AC38" s="9"/>
      <c r="AD38" s="9"/>
      <c r="AE38" s="9"/>
      <c r="AF38" s="9"/>
      <c r="AG38" s="9"/>
      <c r="AH38" s="9"/>
      <c r="AI38" s="9"/>
      <c r="AJ38" s="9"/>
      <c r="AK38" s="9"/>
      <c r="AL38" s="26"/>
      <c r="AM38" s="490"/>
      <c r="AN38" s="491"/>
      <c r="AO38" s="491"/>
      <c r="AP38" s="492"/>
      <c r="AQ38" s="17"/>
      <c r="AR38" s="139"/>
    </row>
    <row r="39" spans="1:44" ht="12" customHeight="1" x14ac:dyDescent="0.2">
      <c r="A39" s="5"/>
      <c r="B39" s="18"/>
      <c r="C39" s="483"/>
      <c r="D39" s="484"/>
      <c r="E39" s="484"/>
      <c r="F39" s="485"/>
      <c r="G39" s="488"/>
      <c r="H39" s="489"/>
      <c r="I39" s="28"/>
      <c r="J39" s="29"/>
      <c r="K39" s="30"/>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27"/>
      <c r="AM39" s="493"/>
      <c r="AN39" s="494"/>
      <c r="AO39" s="494"/>
      <c r="AP39" s="495"/>
      <c r="AQ39" s="17"/>
      <c r="AR39" s="139"/>
    </row>
    <row r="40" spans="1:44" ht="12" customHeight="1" x14ac:dyDescent="0.2">
      <c r="A40" s="5"/>
      <c r="B40" s="18"/>
      <c r="C40" s="480"/>
      <c r="D40" s="481"/>
      <c r="E40" s="481"/>
      <c r="F40" s="482"/>
      <c r="G40" s="486"/>
      <c r="H40" s="487"/>
      <c r="I40" s="22"/>
      <c r="J40" s="23"/>
      <c r="K40" s="24"/>
      <c r="L40" s="9"/>
      <c r="M40" s="9"/>
      <c r="N40" s="9"/>
      <c r="O40" s="9"/>
      <c r="P40" s="9"/>
      <c r="Q40" s="9"/>
      <c r="R40" s="9"/>
      <c r="S40" s="25"/>
      <c r="T40" s="9"/>
      <c r="U40" s="9"/>
      <c r="V40" s="9"/>
      <c r="W40" s="9"/>
      <c r="X40" s="9"/>
      <c r="Y40" s="9"/>
      <c r="Z40" s="9"/>
      <c r="AA40" s="9"/>
      <c r="AB40" s="9"/>
      <c r="AC40" s="9"/>
      <c r="AD40" s="9"/>
      <c r="AE40" s="9"/>
      <c r="AF40" s="9"/>
      <c r="AG40" s="9"/>
      <c r="AH40" s="9"/>
      <c r="AI40" s="9"/>
      <c r="AJ40" s="9"/>
      <c r="AK40" s="9"/>
      <c r="AL40" s="26"/>
      <c r="AM40" s="490"/>
      <c r="AN40" s="491"/>
      <c r="AO40" s="491"/>
      <c r="AP40" s="492"/>
      <c r="AQ40" s="17"/>
      <c r="AR40" s="139"/>
    </row>
    <row r="41" spans="1:44" ht="12" customHeight="1" x14ac:dyDescent="0.2">
      <c r="A41" s="5"/>
      <c r="B41" s="18"/>
      <c r="C41" s="483"/>
      <c r="D41" s="484"/>
      <c r="E41" s="484"/>
      <c r="F41" s="485"/>
      <c r="G41" s="488"/>
      <c r="H41" s="489"/>
      <c r="I41" s="28"/>
      <c r="J41" s="29"/>
      <c r="K41" s="30"/>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27"/>
      <c r="AM41" s="493"/>
      <c r="AN41" s="494"/>
      <c r="AO41" s="494"/>
      <c r="AP41" s="495"/>
      <c r="AQ41" s="17"/>
      <c r="AR41" s="139"/>
    </row>
    <row r="42" spans="1:44" ht="12" customHeight="1" x14ac:dyDescent="0.2">
      <c r="A42" s="5"/>
      <c r="B42" s="18"/>
      <c r="C42" s="480"/>
      <c r="D42" s="481"/>
      <c r="E42" s="481"/>
      <c r="F42" s="482"/>
      <c r="G42" s="486"/>
      <c r="H42" s="487"/>
      <c r="I42" s="22"/>
      <c r="J42" s="23"/>
      <c r="K42" s="24"/>
      <c r="L42" s="9"/>
      <c r="M42" s="9"/>
      <c r="N42" s="9"/>
      <c r="O42" s="9"/>
      <c r="P42" s="9"/>
      <c r="Q42" s="9"/>
      <c r="R42" s="9"/>
      <c r="S42" s="25"/>
      <c r="T42" s="9"/>
      <c r="U42" s="9"/>
      <c r="V42" s="9"/>
      <c r="W42" s="9"/>
      <c r="X42" s="9"/>
      <c r="Y42" s="9"/>
      <c r="Z42" s="9"/>
      <c r="AA42" s="9"/>
      <c r="AB42" s="9"/>
      <c r="AC42" s="9"/>
      <c r="AD42" s="9"/>
      <c r="AE42" s="9"/>
      <c r="AF42" s="9"/>
      <c r="AG42" s="9"/>
      <c r="AH42" s="9"/>
      <c r="AI42" s="9"/>
      <c r="AJ42" s="9"/>
      <c r="AK42" s="9"/>
      <c r="AL42" s="26"/>
      <c r="AM42" s="490"/>
      <c r="AN42" s="491"/>
      <c r="AO42" s="491"/>
      <c r="AP42" s="492"/>
      <c r="AQ42" s="17"/>
      <c r="AR42" s="139"/>
    </row>
    <row r="43" spans="1:44" ht="12" customHeight="1" x14ac:dyDescent="0.2">
      <c r="A43" s="5"/>
      <c r="B43" s="18"/>
      <c r="C43" s="483"/>
      <c r="D43" s="484"/>
      <c r="E43" s="484"/>
      <c r="F43" s="485"/>
      <c r="G43" s="488"/>
      <c r="H43" s="489"/>
      <c r="I43" s="28"/>
      <c r="J43" s="29"/>
      <c r="K43" s="30"/>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27"/>
      <c r="AM43" s="493"/>
      <c r="AN43" s="494"/>
      <c r="AO43" s="494"/>
      <c r="AP43" s="495"/>
      <c r="AQ43" s="17"/>
      <c r="AR43" s="139"/>
    </row>
    <row r="44" spans="1:44" ht="12" customHeight="1" x14ac:dyDescent="0.2">
      <c r="A44" s="5"/>
      <c r="B44" s="35"/>
      <c r="C44" s="13"/>
      <c r="D44" s="13"/>
      <c r="E44" s="13"/>
      <c r="F44" s="13"/>
      <c r="G44" s="12"/>
      <c r="H44" s="12"/>
      <c r="I44" s="33"/>
      <c r="J44" s="12"/>
      <c r="K44" s="12"/>
      <c r="L44" s="12"/>
      <c r="M44" s="12"/>
      <c r="N44" s="12"/>
      <c r="O44" s="12"/>
      <c r="P44" s="12"/>
      <c r="Q44" s="12"/>
      <c r="R44" s="12"/>
      <c r="S44" s="12"/>
      <c r="T44" s="12"/>
      <c r="U44" s="12"/>
      <c r="V44" s="12"/>
      <c r="W44" s="34"/>
      <c r="X44" s="34"/>
      <c r="Y44" s="34"/>
      <c r="Z44" s="12"/>
      <c r="AA44" s="12"/>
      <c r="AB44" s="12"/>
      <c r="AC44" s="12"/>
      <c r="AD44" s="34"/>
      <c r="AE44" s="34"/>
      <c r="AF44" s="12"/>
      <c r="AG44" s="34"/>
      <c r="AH44" s="34"/>
      <c r="AI44" s="34"/>
      <c r="AJ44" s="12"/>
      <c r="AK44" s="12"/>
      <c r="AL44" s="12"/>
      <c r="AM44" s="12"/>
      <c r="AN44" s="12"/>
      <c r="AO44" s="12"/>
      <c r="AP44" s="12"/>
      <c r="AQ44" s="14"/>
      <c r="AR44" s="139"/>
    </row>
    <row r="45" spans="1:44" ht="12" customHeight="1" x14ac:dyDescent="0.2">
      <c r="A45" s="5"/>
      <c r="B45" s="36"/>
      <c r="C45" s="31"/>
      <c r="D45" s="31"/>
      <c r="E45" s="31"/>
      <c r="F45" s="31"/>
      <c r="G45" s="5"/>
      <c r="H45" s="5"/>
      <c r="I45" s="6"/>
      <c r="J45" s="5"/>
      <c r="K45" s="5"/>
      <c r="L45" s="5"/>
      <c r="M45" s="5"/>
      <c r="N45" s="5"/>
      <c r="O45" s="5"/>
      <c r="P45" s="5"/>
      <c r="Q45" s="5"/>
      <c r="R45" s="5"/>
      <c r="S45" s="5"/>
      <c r="T45" s="5"/>
      <c r="U45" s="5"/>
      <c r="V45" s="5"/>
      <c r="W45" s="32"/>
      <c r="X45" s="32"/>
      <c r="Y45" s="32"/>
      <c r="Z45" s="5"/>
      <c r="AA45" s="5"/>
      <c r="AB45" s="5"/>
      <c r="AC45" s="5"/>
      <c r="AD45" s="32"/>
      <c r="AE45" s="32"/>
      <c r="AF45" s="5"/>
      <c r="AG45" s="32"/>
      <c r="AH45" s="32"/>
      <c r="AI45" s="32"/>
      <c r="AJ45" s="5"/>
      <c r="AK45" s="5"/>
      <c r="AL45" s="5"/>
      <c r="AM45" s="5"/>
      <c r="AN45" s="5"/>
      <c r="AO45" s="5"/>
      <c r="AP45" s="5"/>
      <c r="AQ45" s="5"/>
    </row>
    <row r="46" spans="1:44" ht="12" customHeight="1" x14ac:dyDescent="0.2">
      <c r="A46" s="139"/>
      <c r="B46" s="140"/>
      <c r="C46" s="140"/>
      <c r="D46" s="140"/>
      <c r="E46" s="140"/>
      <c r="F46" s="140"/>
      <c r="G46" s="140"/>
      <c r="H46" s="141"/>
      <c r="I46" s="140"/>
      <c r="J46" s="140"/>
      <c r="K46" s="142"/>
      <c r="L46" s="140"/>
      <c r="M46" s="140"/>
      <c r="N46" s="140"/>
      <c r="O46" s="496"/>
      <c r="P46" s="496"/>
      <c r="Q46" s="496"/>
      <c r="R46" s="496"/>
      <c r="S46" s="496"/>
      <c r="T46" s="496"/>
      <c r="U46" s="143"/>
      <c r="V46" s="143"/>
      <c r="W46" s="143"/>
      <c r="X46" s="143"/>
      <c r="Y46" s="143"/>
      <c r="Z46" s="463"/>
      <c r="AA46" s="463"/>
      <c r="AB46" s="463"/>
      <c r="AC46" s="463"/>
      <c r="AD46" s="463"/>
      <c r="AE46" s="463"/>
      <c r="AF46" s="463"/>
      <c r="AG46" s="497"/>
      <c r="AH46" s="497"/>
      <c r="AI46" s="496"/>
      <c r="AJ46" s="496"/>
      <c r="AK46" s="143"/>
      <c r="AL46" s="462"/>
      <c r="AM46" s="462"/>
      <c r="AN46" s="462"/>
      <c r="AO46" s="462"/>
      <c r="AP46" s="139"/>
      <c r="AQ46" s="143"/>
      <c r="AR46" s="139"/>
    </row>
    <row r="47" spans="1:44" ht="12" customHeight="1" x14ac:dyDescent="0.2">
      <c r="A47" s="139"/>
      <c r="B47" s="139"/>
      <c r="C47" s="139"/>
      <c r="D47" s="139"/>
      <c r="E47" s="139"/>
      <c r="F47" s="139"/>
      <c r="G47" s="139"/>
      <c r="H47" s="144"/>
      <c r="I47" s="139"/>
      <c r="J47" s="139"/>
      <c r="K47" s="145"/>
      <c r="L47" s="139"/>
      <c r="M47" s="139"/>
      <c r="N47" s="139"/>
      <c r="O47" s="139"/>
      <c r="P47" s="139"/>
      <c r="Q47" s="139"/>
      <c r="R47" s="139"/>
      <c r="S47" s="139"/>
      <c r="T47" s="139"/>
      <c r="U47" s="139"/>
      <c r="V47" s="139"/>
      <c r="W47" s="139"/>
      <c r="X47" s="139"/>
      <c r="Y47" s="139"/>
      <c r="Z47" s="139"/>
      <c r="AA47" s="139"/>
      <c r="AB47" s="139"/>
      <c r="AC47" s="139"/>
      <c r="AD47" s="139"/>
      <c r="AE47" s="139"/>
      <c r="AF47" s="139"/>
      <c r="AG47" s="139"/>
      <c r="AH47" s="139"/>
      <c r="AI47" s="139"/>
      <c r="AJ47" s="139"/>
      <c r="AK47" s="139"/>
      <c r="AL47" s="139"/>
      <c r="AM47" s="139"/>
      <c r="AN47" s="139"/>
      <c r="AO47" s="139"/>
      <c r="AP47" s="139"/>
      <c r="AQ47" s="139"/>
      <c r="AR47" s="139"/>
    </row>
    <row r="48" spans="1:44" ht="12" customHeight="1" x14ac:dyDescent="0.2">
      <c r="A48" s="139"/>
      <c r="B48" s="145"/>
      <c r="C48" s="145"/>
      <c r="D48" s="145"/>
      <c r="E48" s="145"/>
      <c r="F48" s="145"/>
      <c r="G48" s="145"/>
      <c r="H48" s="146"/>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c r="AG48" s="145"/>
      <c r="AH48" s="145"/>
      <c r="AI48" s="145"/>
      <c r="AJ48" s="145"/>
      <c r="AK48" s="145"/>
      <c r="AL48" s="145"/>
      <c r="AM48" s="145"/>
      <c r="AN48" s="145"/>
      <c r="AO48" s="145"/>
      <c r="AP48" s="145"/>
      <c r="AQ48" s="145"/>
      <c r="AR48" s="139"/>
    </row>
    <row r="49" spans="1:44" ht="12" customHeight="1" x14ac:dyDescent="0.2">
      <c r="A49" s="139"/>
      <c r="B49" s="145"/>
      <c r="C49" s="147"/>
      <c r="D49" s="142"/>
      <c r="E49" s="145"/>
      <c r="F49" s="145"/>
      <c r="G49" s="145"/>
      <c r="H49" s="146"/>
      <c r="I49" s="145"/>
      <c r="J49" s="145"/>
      <c r="K49" s="145"/>
      <c r="L49" s="145"/>
      <c r="M49" s="145"/>
      <c r="N49" s="145"/>
      <c r="O49" s="145"/>
      <c r="P49" s="139"/>
      <c r="Q49" s="145"/>
      <c r="R49" s="139"/>
      <c r="S49" s="145"/>
      <c r="T49" s="139"/>
      <c r="U49" s="145"/>
      <c r="V49" s="145"/>
      <c r="W49" s="145"/>
      <c r="X49" s="145"/>
      <c r="Y49" s="145"/>
      <c r="Z49" s="145"/>
      <c r="AA49" s="145"/>
      <c r="AB49" s="145"/>
      <c r="AC49" s="145"/>
      <c r="AD49" s="145"/>
      <c r="AE49" s="145"/>
      <c r="AF49" s="145"/>
      <c r="AG49" s="145"/>
      <c r="AH49" s="145"/>
      <c r="AI49" s="145"/>
      <c r="AJ49" s="145"/>
      <c r="AK49" s="145"/>
      <c r="AL49" s="145"/>
      <c r="AM49" s="145"/>
      <c r="AN49" s="145"/>
      <c r="AO49" s="145"/>
      <c r="AP49" s="145"/>
      <c r="AQ49" s="145"/>
      <c r="AR49" s="139"/>
    </row>
    <row r="50" spans="1:44" ht="12" customHeight="1" x14ac:dyDescent="0.2">
      <c r="A50" s="139"/>
      <c r="B50" s="145"/>
      <c r="C50" s="145"/>
      <c r="D50" s="145"/>
      <c r="E50" s="145"/>
      <c r="F50" s="145"/>
      <c r="G50" s="145"/>
      <c r="H50" s="146"/>
      <c r="I50" s="145"/>
      <c r="J50" s="145"/>
      <c r="K50" s="145"/>
      <c r="L50" s="145"/>
      <c r="M50" s="145"/>
      <c r="N50" s="145"/>
      <c r="O50" s="145"/>
      <c r="P50" s="139"/>
      <c r="Q50" s="145"/>
      <c r="R50" s="139"/>
      <c r="S50" s="145"/>
      <c r="T50" s="139"/>
      <c r="U50" s="145"/>
      <c r="V50" s="145"/>
      <c r="W50" s="145"/>
      <c r="X50" s="145"/>
      <c r="Y50" s="145"/>
      <c r="Z50" s="145"/>
      <c r="AA50" s="145"/>
      <c r="AB50" s="145"/>
      <c r="AC50" s="145"/>
      <c r="AD50" s="145"/>
      <c r="AE50" s="145"/>
      <c r="AF50" s="145"/>
      <c r="AG50" s="145"/>
      <c r="AH50" s="145"/>
      <c r="AI50" s="145"/>
      <c r="AJ50" s="145"/>
      <c r="AK50" s="145"/>
      <c r="AL50" s="145"/>
      <c r="AM50" s="145"/>
      <c r="AN50" s="145"/>
      <c r="AO50" s="145"/>
      <c r="AP50" s="145"/>
      <c r="AQ50" s="145"/>
      <c r="AR50" s="139"/>
    </row>
    <row r="51" spans="1:44" ht="12" customHeight="1" x14ac:dyDescent="0.2">
      <c r="A51" s="139"/>
      <c r="B51" s="145"/>
      <c r="C51" s="147"/>
      <c r="D51" s="145"/>
      <c r="E51" s="145"/>
      <c r="F51" s="145"/>
      <c r="G51" s="145"/>
      <c r="H51" s="146"/>
      <c r="I51" s="145"/>
      <c r="J51" s="145"/>
      <c r="K51" s="145"/>
      <c r="L51" s="145"/>
      <c r="M51" s="145"/>
      <c r="N51" s="145"/>
      <c r="O51" s="145"/>
      <c r="P51" s="139"/>
      <c r="Q51" s="145"/>
      <c r="R51" s="139"/>
      <c r="S51" s="145"/>
      <c r="T51" s="139"/>
      <c r="U51" s="145"/>
      <c r="V51" s="145"/>
      <c r="W51" s="145"/>
      <c r="X51" s="145"/>
      <c r="Y51" s="145"/>
      <c r="Z51" s="145"/>
      <c r="AA51" s="145"/>
      <c r="AB51" s="145"/>
      <c r="AC51" s="145"/>
      <c r="AD51" s="145"/>
      <c r="AE51" s="145"/>
      <c r="AF51" s="145"/>
      <c r="AG51" s="145"/>
      <c r="AH51" s="145"/>
      <c r="AI51" s="145"/>
      <c r="AJ51" s="145"/>
      <c r="AK51" s="145"/>
      <c r="AL51" s="145"/>
      <c r="AM51" s="145"/>
      <c r="AN51" s="145"/>
      <c r="AO51" s="145"/>
      <c r="AP51" s="145"/>
      <c r="AQ51" s="145"/>
      <c r="AR51" s="139"/>
    </row>
    <row r="52" spans="1:44" ht="12" customHeight="1" x14ac:dyDescent="0.2">
      <c r="A52" s="139"/>
      <c r="B52" s="145"/>
      <c r="C52" s="145"/>
      <c r="D52" s="145"/>
      <c r="E52" s="145"/>
      <c r="F52" s="139"/>
      <c r="G52" s="139"/>
      <c r="H52" s="146"/>
      <c r="I52" s="145"/>
      <c r="J52" s="145"/>
      <c r="K52" s="145"/>
      <c r="L52" s="145"/>
      <c r="M52" s="145"/>
      <c r="N52" s="145"/>
      <c r="O52" s="145"/>
      <c r="P52" s="145"/>
      <c r="Q52" s="145"/>
      <c r="R52" s="145"/>
      <c r="S52" s="145"/>
      <c r="T52" s="145"/>
      <c r="U52" s="139"/>
      <c r="V52" s="145"/>
      <c r="W52" s="139"/>
      <c r="X52" s="145"/>
      <c r="Y52" s="145"/>
      <c r="Z52" s="145"/>
      <c r="AA52" s="145"/>
      <c r="AB52" s="145"/>
      <c r="AC52" s="145"/>
      <c r="AD52" s="145"/>
      <c r="AE52" s="145"/>
      <c r="AF52" s="145"/>
      <c r="AG52" s="145"/>
      <c r="AH52" s="145"/>
      <c r="AI52" s="145"/>
      <c r="AJ52" s="145"/>
      <c r="AK52" s="145"/>
      <c r="AL52" s="145"/>
      <c r="AM52" s="145"/>
      <c r="AN52" s="145"/>
      <c r="AO52" s="145"/>
      <c r="AP52" s="145"/>
      <c r="AQ52" s="145"/>
      <c r="AR52" s="139"/>
    </row>
    <row r="53" spans="1:44" ht="12" customHeight="1" x14ac:dyDescent="0.2">
      <c r="A53" s="139"/>
      <c r="B53" s="145"/>
      <c r="C53" s="145"/>
      <c r="D53" s="145"/>
      <c r="E53" s="145"/>
      <c r="F53" s="145"/>
      <c r="G53" s="145"/>
      <c r="H53" s="146"/>
      <c r="I53" s="145"/>
      <c r="J53" s="145"/>
      <c r="K53" s="145"/>
      <c r="L53" s="145"/>
      <c r="M53" s="145"/>
      <c r="N53" s="145"/>
      <c r="O53" s="145"/>
      <c r="P53" s="145"/>
      <c r="Q53" s="145"/>
      <c r="R53" s="148"/>
      <c r="S53" s="145"/>
      <c r="T53" s="145"/>
      <c r="U53" s="139"/>
      <c r="V53" s="145"/>
      <c r="W53" s="139"/>
      <c r="X53" s="145"/>
      <c r="Y53" s="145"/>
      <c r="Z53" s="145"/>
      <c r="AA53" s="145"/>
      <c r="AB53" s="145"/>
      <c r="AC53" s="145"/>
      <c r="AD53" s="145"/>
      <c r="AE53" s="145"/>
      <c r="AF53" s="145"/>
      <c r="AG53" s="145"/>
      <c r="AH53" s="145"/>
      <c r="AI53" s="145"/>
      <c r="AJ53" s="145"/>
      <c r="AK53" s="145"/>
      <c r="AL53" s="145"/>
      <c r="AM53" s="145"/>
      <c r="AN53" s="145"/>
      <c r="AO53" s="145"/>
      <c r="AP53" s="145"/>
      <c r="AQ53" s="145"/>
      <c r="AR53" s="139"/>
    </row>
    <row r="54" spans="1:44" ht="12" customHeight="1" x14ac:dyDescent="0.2">
      <c r="A54" s="139"/>
      <c r="B54" s="145"/>
      <c r="C54" s="145"/>
      <c r="D54" s="145"/>
      <c r="E54" s="145"/>
      <c r="F54" s="139"/>
      <c r="G54" s="143"/>
      <c r="H54" s="149"/>
      <c r="I54" s="143"/>
      <c r="J54" s="143"/>
      <c r="K54" s="145"/>
      <c r="L54" s="143"/>
      <c r="M54" s="143"/>
      <c r="N54" s="143"/>
      <c r="O54" s="143"/>
      <c r="P54" s="143"/>
      <c r="Q54" s="143"/>
      <c r="R54" s="143"/>
      <c r="S54" s="143"/>
      <c r="T54" s="143"/>
      <c r="U54" s="143"/>
      <c r="V54" s="143"/>
      <c r="W54" s="143"/>
      <c r="X54" s="143"/>
      <c r="Y54" s="143"/>
      <c r="Z54" s="143"/>
      <c r="AA54" s="143"/>
      <c r="AB54" s="143"/>
      <c r="AC54" s="143"/>
      <c r="AD54" s="143"/>
      <c r="AE54" s="143"/>
      <c r="AF54" s="143"/>
      <c r="AG54" s="143"/>
      <c r="AH54" s="143"/>
      <c r="AI54" s="143"/>
      <c r="AJ54" s="143"/>
      <c r="AK54" s="143"/>
      <c r="AL54" s="143"/>
      <c r="AM54" s="143"/>
      <c r="AN54" s="139"/>
      <c r="AO54" s="139"/>
      <c r="AP54" s="145"/>
      <c r="AQ54" s="145"/>
      <c r="AR54" s="139"/>
    </row>
    <row r="55" spans="1:44" ht="12" customHeight="1" x14ac:dyDescent="0.2">
      <c r="A55" s="139"/>
      <c r="B55" s="145"/>
      <c r="C55" s="145"/>
      <c r="D55" s="145"/>
      <c r="E55" s="145"/>
      <c r="F55" s="150"/>
      <c r="G55" s="143"/>
      <c r="H55" s="149"/>
      <c r="I55" s="143"/>
      <c r="J55" s="143"/>
      <c r="K55" s="145"/>
      <c r="L55" s="143"/>
      <c r="M55" s="143"/>
      <c r="N55" s="143"/>
      <c r="O55" s="143"/>
      <c r="P55" s="143"/>
      <c r="Q55" s="143"/>
      <c r="R55" s="143"/>
      <c r="S55" s="143"/>
      <c r="T55" s="143"/>
      <c r="U55" s="143"/>
      <c r="V55" s="143"/>
      <c r="W55" s="143"/>
      <c r="X55" s="143"/>
      <c r="Y55" s="143"/>
      <c r="Z55" s="143"/>
      <c r="AA55" s="143"/>
      <c r="AB55" s="143"/>
      <c r="AC55" s="143"/>
      <c r="AD55" s="143"/>
      <c r="AE55" s="143"/>
      <c r="AF55" s="143"/>
      <c r="AG55" s="143"/>
      <c r="AH55" s="143"/>
      <c r="AI55" s="143"/>
      <c r="AJ55" s="143"/>
      <c r="AK55" s="143"/>
      <c r="AL55" s="143"/>
      <c r="AM55" s="143"/>
      <c r="AN55" s="139"/>
      <c r="AO55" s="139"/>
      <c r="AP55" s="145"/>
      <c r="AQ55" s="145"/>
      <c r="AR55" s="139"/>
    </row>
    <row r="56" spans="1:44" ht="12" customHeight="1" x14ac:dyDescent="0.2">
      <c r="A56" s="139"/>
      <c r="B56" s="145"/>
      <c r="C56" s="145"/>
      <c r="D56" s="145"/>
      <c r="E56" s="139"/>
      <c r="F56" s="139"/>
      <c r="G56" s="139"/>
      <c r="H56" s="144"/>
      <c r="I56" s="139"/>
      <c r="J56" s="145"/>
      <c r="K56" s="145"/>
      <c r="L56" s="145"/>
      <c r="M56" s="145"/>
      <c r="N56" s="145"/>
      <c r="O56" s="145"/>
      <c r="P56" s="145"/>
      <c r="Q56" s="145"/>
      <c r="R56" s="145"/>
      <c r="S56" s="145"/>
      <c r="T56" s="145"/>
      <c r="U56" s="148"/>
      <c r="V56" s="145"/>
      <c r="W56" s="145"/>
      <c r="X56" s="145"/>
      <c r="Y56" s="139"/>
      <c r="Z56" s="139"/>
      <c r="AA56" s="145"/>
      <c r="AB56" s="145"/>
      <c r="AC56" s="145"/>
      <c r="AD56" s="145"/>
      <c r="AE56" s="145"/>
      <c r="AF56" s="139"/>
      <c r="AG56" s="145"/>
      <c r="AH56" s="145"/>
      <c r="AI56" s="145"/>
      <c r="AJ56" s="145"/>
      <c r="AK56" s="145"/>
      <c r="AL56" s="145"/>
      <c r="AM56" s="139"/>
      <c r="AN56" s="139"/>
      <c r="AO56" s="139"/>
      <c r="AP56" s="139"/>
      <c r="AQ56" s="145"/>
      <c r="AR56" s="139"/>
    </row>
    <row r="57" spans="1:44" ht="12" customHeight="1" x14ac:dyDescent="0.2">
      <c r="A57" s="139"/>
      <c r="B57" s="145"/>
      <c r="C57" s="139"/>
      <c r="D57" s="139"/>
      <c r="E57" s="139"/>
      <c r="F57" s="139"/>
      <c r="G57" s="139"/>
      <c r="H57" s="144"/>
      <c r="I57" s="139"/>
      <c r="J57" s="145"/>
      <c r="K57" s="145"/>
      <c r="L57" s="145"/>
      <c r="M57" s="145"/>
      <c r="N57" s="145"/>
      <c r="O57" s="145"/>
      <c r="P57" s="145"/>
      <c r="Q57" s="145"/>
      <c r="R57" s="145"/>
      <c r="S57" s="145"/>
      <c r="T57" s="145"/>
      <c r="U57" s="145"/>
      <c r="V57" s="145"/>
      <c r="W57" s="145"/>
      <c r="X57" s="145"/>
      <c r="Y57" s="139"/>
      <c r="Z57" s="139"/>
      <c r="AA57" s="145"/>
      <c r="AB57" s="145"/>
      <c r="AC57" s="145"/>
      <c r="AD57" s="145"/>
      <c r="AE57" s="145"/>
      <c r="AF57" s="139"/>
      <c r="AG57" s="145"/>
      <c r="AH57" s="145"/>
      <c r="AI57" s="145"/>
      <c r="AJ57" s="145"/>
      <c r="AK57" s="145"/>
      <c r="AL57" s="145"/>
      <c r="AM57" s="139"/>
      <c r="AN57" s="139"/>
      <c r="AO57" s="139"/>
      <c r="AP57" s="145"/>
      <c r="AQ57" s="145"/>
      <c r="AR57" s="139"/>
    </row>
    <row r="58" spans="1:44" ht="12" customHeight="1" x14ac:dyDescent="0.2">
      <c r="A58" s="139"/>
      <c r="B58" s="145"/>
      <c r="C58" s="139"/>
      <c r="D58" s="139"/>
      <c r="E58" s="139"/>
      <c r="F58" s="139"/>
      <c r="G58" s="139"/>
      <c r="H58" s="144"/>
      <c r="I58" s="139"/>
      <c r="J58" s="145"/>
      <c r="K58" s="145"/>
      <c r="L58" s="145"/>
      <c r="M58" s="145"/>
      <c r="N58" s="145"/>
      <c r="O58" s="145"/>
      <c r="P58" s="145"/>
      <c r="Q58" s="145"/>
      <c r="R58" s="145"/>
      <c r="S58" s="145"/>
      <c r="T58" s="145"/>
      <c r="U58" s="145"/>
      <c r="V58" s="145"/>
      <c r="W58" s="145"/>
      <c r="X58" s="145"/>
      <c r="Y58" s="139"/>
      <c r="Z58" s="139"/>
      <c r="AA58" s="145"/>
      <c r="AB58" s="145"/>
      <c r="AC58" s="151"/>
      <c r="AD58" s="151"/>
      <c r="AE58" s="151"/>
      <c r="AF58" s="152"/>
      <c r="AG58" s="151"/>
      <c r="AH58" s="151"/>
      <c r="AI58" s="151"/>
      <c r="AJ58" s="151"/>
      <c r="AK58" s="151"/>
      <c r="AL58" s="151"/>
      <c r="AM58" s="152"/>
      <c r="AN58" s="139"/>
      <c r="AO58" s="139"/>
      <c r="AP58" s="145"/>
      <c r="AQ58" s="145"/>
      <c r="AR58" s="139"/>
    </row>
    <row r="59" spans="1:44" ht="12" customHeight="1" x14ac:dyDescent="0.2">
      <c r="A59" s="139"/>
      <c r="B59" s="145"/>
      <c r="C59" s="145"/>
      <c r="D59" s="145"/>
      <c r="E59" s="145"/>
      <c r="F59" s="139"/>
      <c r="G59" s="139"/>
      <c r="H59" s="144"/>
      <c r="I59" s="139"/>
      <c r="J59" s="145"/>
      <c r="K59" s="145"/>
      <c r="L59" s="147"/>
      <c r="M59" s="145"/>
      <c r="N59" s="145"/>
      <c r="O59" s="145"/>
      <c r="P59" s="145"/>
      <c r="Q59" s="145"/>
      <c r="R59" s="145"/>
      <c r="S59" s="145"/>
      <c r="T59" s="145"/>
      <c r="U59" s="145"/>
      <c r="V59" s="145"/>
      <c r="W59" s="145"/>
      <c r="X59" s="145"/>
      <c r="Y59" s="139"/>
      <c r="Z59" s="139"/>
      <c r="AA59" s="145"/>
      <c r="AB59" s="145"/>
      <c r="AC59" s="145"/>
      <c r="AD59" s="145"/>
      <c r="AE59" s="145"/>
      <c r="AF59" s="139"/>
      <c r="AG59" s="145"/>
      <c r="AH59" s="145"/>
      <c r="AI59" s="145"/>
      <c r="AJ59" s="145"/>
      <c r="AK59" s="145"/>
      <c r="AL59" s="145"/>
      <c r="AM59" s="139"/>
      <c r="AN59" s="139"/>
      <c r="AO59" s="139"/>
      <c r="AP59" s="145"/>
      <c r="AQ59" s="145"/>
      <c r="AR59" s="139"/>
    </row>
    <row r="60" spans="1:44" ht="12" customHeight="1" x14ac:dyDescent="0.2">
      <c r="A60" s="139"/>
      <c r="B60" s="145"/>
      <c r="C60" s="145"/>
      <c r="D60" s="145"/>
      <c r="E60" s="145"/>
      <c r="F60" s="139"/>
      <c r="G60" s="139"/>
      <c r="H60" s="144"/>
      <c r="I60" s="139"/>
      <c r="J60" s="145"/>
      <c r="K60" s="145"/>
      <c r="L60" s="145"/>
      <c r="M60" s="145"/>
      <c r="N60" s="145"/>
      <c r="O60" s="145"/>
      <c r="P60" s="145"/>
      <c r="Q60" s="145"/>
      <c r="R60" s="145"/>
      <c r="S60" s="145"/>
      <c r="T60" s="145"/>
      <c r="U60" s="148"/>
      <c r="V60" s="145"/>
      <c r="W60" s="145"/>
      <c r="X60" s="145"/>
      <c r="Y60" s="139"/>
      <c r="Z60" s="139"/>
      <c r="AA60" s="145"/>
      <c r="AB60" s="145"/>
      <c r="AC60" s="145"/>
      <c r="AD60" s="145"/>
      <c r="AE60" s="145"/>
      <c r="AF60" s="139"/>
      <c r="AG60" s="145"/>
      <c r="AH60" s="145"/>
      <c r="AI60" s="145"/>
      <c r="AJ60" s="145"/>
      <c r="AK60" s="145"/>
      <c r="AL60" s="145"/>
      <c r="AM60" s="139"/>
      <c r="AN60" s="139"/>
      <c r="AO60" s="139"/>
      <c r="AP60" s="145"/>
      <c r="AQ60" s="145"/>
      <c r="AR60" s="139"/>
    </row>
    <row r="61" spans="1:44" ht="12" customHeight="1" x14ac:dyDescent="0.2">
      <c r="A61" s="139"/>
      <c r="B61" s="145"/>
      <c r="C61" s="145"/>
      <c r="D61" s="145"/>
      <c r="E61" s="145"/>
      <c r="F61" s="139"/>
      <c r="G61" s="139"/>
      <c r="H61" s="144"/>
      <c r="I61" s="139"/>
      <c r="J61" s="145"/>
      <c r="K61" s="145"/>
      <c r="L61" s="145"/>
      <c r="M61" s="145"/>
      <c r="N61" s="145"/>
      <c r="O61" s="145"/>
      <c r="P61" s="145"/>
      <c r="Q61" s="145"/>
      <c r="R61" s="145"/>
      <c r="S61" s="145"/>
      <c r="T61" s="145"/>
      <c r="U61" s="145"/>
      <c r="V61" s="145"/>
      <c r="W61" s="145"/>
      <c r="X61" s="145"/>
      <c r="Y61" s="139"/>
      <c r="Z61" s="139"/>
      <c r="AA61" s="145"/>
      <c r="AB61" s="145"/>
      <c r="AC61" s="145"/>
      <c r="AD61" s="145"/>
      <c r="AE61" s="145"/>
      <c r="AF61" s="139"/>
      <c r="AG61" s="145"/>
      <c r="AH61" s="145"/>
      <c r="AI61" s="145"/>
      <c r="AJ61" s="145"/>
      <c r="AK61" s="145"/>
      <c r="AL61" s="145"/>
      <c r="AM61" s="139"/>
      <c r="AN61" s="139"/>
      <c r="AO61" s="139"/>
      <c r="AP61" s="145"/>
      <c r="AQ61" s="145"/>
      <c r="AR61" s="139"/>
    </row>
    <row r="62" spans="1:44" ht="12" customHeight="1" x14ac:dyDescent="0.2">
      <c r="A62" s="139"/>
      <c r="B62" s="145"/>
      <c r="C62" s="145"/>
      <c r="D62" s="145"/>
      <c r="E62" s="145"/>
      <c r="F62" s="139"/>
      <c r="G62" s="139"/>
      <c r="H62" s="144"/>
      <c r="I62" s="139"/>
      <c r="J62" s="145"/>
      <c r="K62" s="145"/>
      <c r="L62" s="145"/>
      <c r="M62" s="145"/>
      <c r="N62" s="145"/>
      <c r="O62" s="145"/>
      <c r="P62" s="145"/>
      <c r="Q62" s="145"/>
      <c r="R62" s="145"/>
      <c r="S62" s="145"/>
      <c r="T62" s="145"/>
      <c r="U62" s="145"/>
      <c r="V62" s="145"/>
      <c r="W62" s="145"/>
      <c r="X62" s="145"/>
      <c r="Y62" s="139"/>
      <c r="Z62" s="139"/>
      <c r="AA62" s="145"/>
      <c r="AB62" s="145"/>
      <c r="AC62" s="151"/>
      <c r="AD62" s="151"/>
      <c r="AE62" s="151"/>
      <c r="AF62" s="152"/>
      <c r="AG62" s="145"/>
      <c r="AH62" s="151"/>
      <c r="AI62" s="151"/>
      <c r="AJ62" s="151"/>
      <c r="AK62" s="151"/>
      <c r="AL62" s="151"/>
      <c r="AM62" s="152"/>
      <c r="AN62" s="139"/>
      <c r="AO62" s="139"/>
      <c r="AP62" s="145"/>
      <c r="AQ62" s="145"/>
      <c r="AR62" s="139"/>
    </row>
    <row r="63" spans="1:44" ht="12" customHeight="1" x14ac:dyDescent="0.2">
      <c r="A63" s="139"/>
      <c r="B63" s="145"/>
      <c r="C63" s="139"/>
      <c r="D63" s="139"/>
      <c r="E63" s="145"/>
      <c r="F63" s="145"/>
      <c r="G63" s="139"/>
      <c r="H63" s="144"/>
      <c r="I63" s="139"/>
      <c r="J63" s="145"/>
      <c r="K63" s="145"/>
      <c r="L63" s="145"/>
      <c r="M63" s="145"/>
      <c r="N63" s="145"/>
      <c r="O63" s="145"/>
      <c r="P63" s="145"/>
      <c r="Q63" s="145"/>
      <c r="R63" s="145"/>
      <c r="S63" s="145"/>
      <c r="T63" s="145"/>
      <c r="U63" s="145"/>
      <c r="V63" s="145"/>
      <c r="W63" s="145"/>
      <c r="X63" s="145"/>
      <c r="Y63" s="139"/>
      <c r="Z63" s="139"/>
      <c r="AA63" s="145"/>
      <c r="AB63" s="145"/>
      <c r="AC63" s="151"/>
      <c r="AD63" s="151"/>
      <c r="AE63" s="151"/>
      <c r="AF63" s="152"/>
      <c r="AG63" s="145"/>
      <c r="AH63" s="151"/>
      <c r="AI63" s="151"/>
      <c r="AJ63" s="151"/>
      <c r="AK63" s="151"/>
      <c r="AL63" s="151"/>
      <c r="AM63" s="152"/>
      <c r="AN63" s="139"/>
      <c r="AO63" s="139"/>
      <c r="AP63" s="145"/>
      <c r="AQ63" s="145"/>
      <c r="AR63" s="139"/>
    </row>
    <row r="64" spans="1:44" ht="12" customHeight="1" x14ac:dyDescent="0.2">
      <c r="A64" s="139"/>
      <c r="B64" s="145"/>
      <c r="C64" s="139"/>
      <c r="D64" s="139"/>
      <c r="E64" s="145"/>
      <c r="F64" s="139"/>
      <c r="G64" s="139"/>
      <c r="H64" s="144"/>
      <c r="I64" s="139"/>
      <c r="J64" s="145"/>
      <c r="K64" s="145"/>
      <c r="L64" s="145"/>
      <c r="M64" s="145"/>
      <c r="N64" s="145"/>
      <c r="O64" s="145"/>
      <c r="P64" s="145"/>
      <c r="Q64" s="145"/>
      <c r="R64" s="145"/>
      <c r="S64" s="145"/>
      <c r="T64" s="145"/>
      <c r="U64" s="145"/>
      <c r="V64" s="145"/>
      <c r="W64" s="145"/>
      <c r="X64" s="145"/>
      <c r="Y64" s="139"/>
      <c r="Z64" s="139"/>
      <c r="AA64" s="145"/>
      <c r="AB64" s="145"/>
      <c r="AC64" s="145"/>
      <c r="AD64" s="145"/>
      <c r="AE64" s="145"/>
      <c r="AF64" s="139"/>
      <c r="AG64" s="145"/>
      <c r="AH64" s="145"/>
      <c r="AI64" s="145"/>
      <c r="AJ64" s="145"/>
      <c r="AK64" s="145"/>
      <c r="AL64" s="145"/>
      <c r="AM64" s="139"/>
      <c r="AN64" s="139"/>
      <c r="AO64" s="145"/>
      <c r="AP64" s="139"/>
      <c r="AQ64" s="145"/>
      <c r="AR64" s="139"/>
    </row>
    <row r="65" spans="1:44" ht="12" customHeight="1" x14ac:dyDescent="0.2">
      <c r="A65" s="139"/>
      <c r="B65" s="145"/>
      <c r="C65" s="145"/>
      <c r="D65" s="139"/>
      <c r="E65" s="145"/>
      <c r="F65" s="145"/>
      <c r="G65" s="139"/>
      <c r="H65" s="144"/>
      <c r="I65" s="139"/>
      <c r="J65" s="145"/>
      <c r="K65" s="145"/>
      <c r="L65" s="145"/>
      <c r="M65" s="145"/>
      <c r="N65" s="145"/>
      <c r="O65" s="145"/>
      <c r="P65" s="145"/>
      <c r="Q65" s="145"/>
      <c r="R65" s="145"/>
      <c r="S65" s="145"/>
      <c r="T65" s="145"/>
      <c r="U65" s="145"/>
      <c r="V65" s="145"/>
      <c r="W65" s="145"/>
      <c r="X65" s="145"/>
      <c r="Y65" s="139"/>
      <c r="Z65" s="139"/>
      <c r="AA65" s="145"/>
      <c r="AB65" s="145"/>
      <c r="AC65" s="145"/>
      <c r="AD65" s="145"/>
      <c r="AE65" s="145"/>
      <c r="AF65" s="139"/>
      <c r="AG65" s="145"/>
      <c r="AH65" s="145"/>
      <c r="AI65" s="145"/>
      <c r="AJ65" s="145"/>
      <c r="AK65" s="145"/>
      <c r="AL65" s="145"/>
      <c r="AM65" s="139"/>
      <c r="AN65" s="139"/>
      <c r="AO65" s="145"/>
      <c r="AP65" s="139"/>
      <c r="AQ65" s="145"/>
      <c r="AR65" s="139"/>
    </row>
    <row r="66" spans="1:44" ht="12" customHeight="1" x14ac:dyDescent="0.2">
      <c r="A66" s="139"/>
      <c r="B66" s="145"/>
      <c r="C66" s="145"/>
      <c r="D66" s="145"/>
      <c r="E66" s="139"/>
      <c r="F66" s="139"/>
      <c r="G66" s="139"/>
      <c r="H66" s="144"/>
      <c r="I66" s="139"/>
      <c r="J66" s="139"/>
      <c r="K66" s="145"/>
      <c r="L66" s="139"/>
      <c r="M66" s="139"/>
      <c r="N66" s="139"/>
      <c r="O66" s="139"/>
      <c r="P66" s="139"/>
      <c r="Q66" s="139"/>
      <c r="R66" s="139"/>
      <c r="S66" s="139"/>
      <c r="T66" s="139"/>
      <c r="U66" s="139"/>
      <c r="V66" s="139"/>
      <c r="W66" s="139"/>
      <c r="X66" s="139"/>
      <c r="Y66" s="139"/>
      <c r="Z66" s="139"/>
      <c r="AA66" s="139"/>
      <c r="AB66" s="139"/>
      <c r="AC66" s="139"/>
      <c r="AD66" s="139"/>
      <c r="AE66" s="139"/>
      <c r="AF66" s="139"/>
      <c r="AG66" s="139"/>
      <c r="AH66" s="139"/>
      <c r="AI66" s="139"/>
      <c r="AJ66" s="139"/>
      <c r="AK66" s="139"/>
      <c r="AL66" s="139"/>
      <c r="AM66" s="139"/>
      <c r="AN66" s="145"/>
      <c r="AO66" s="145"/>
      <c r="AP66" s="145"/>
      <c r="AQ66" s="145"/>
      <c r="AR66" s="139"/>
    </row>
    <row r="67" spans="1:44" ht="12" customHeight="1" x14ac:dyDescent="0.2">
      <c r="B67" s="37"/>
      <c r="C67" s="37"/>
      <c r="E67" s="37"/>
      <c r="AO67" s="37"/>
      <c r="AQ67" s="37"/>
    </row>
    <row r="68" spans="1:44" ht="12" customHeight="1" x14ac:dyDescent="0.2">
      <c r="B68" s="37"/>
      <c r="C68" s="37"/>
      <c r="E68" s="37"/>
      <c r="AO68" s="37"/>
      <c r="AQ68" s="37"/>
    </row>
    <row r="69" spans="1:44" ht="12" customHeight="1" x14ac:dyDescent="0.2">
      <c r="B69" s="37"/>
      <c r="C69" s="37"/>
      <c r="AO69" s="37"/>
      <c r="AQ69" s="37"/>
    </row>
    <row r="70" spans="1:44" ht="12" customHeight="1" x14ac:dyDescent="0.2">
      <c r="B70" s="37"/>
      <c r="C70" s="37"/>
      <c r="AO70" s="37"/>
      <c r="AQ70" s="37"/>
    </row>
    <row r="71" spans="1:44" ht="12" customHeight="1" x14ac:dyDescent="0.2">
      <c r="B71" s="37"/>
      <c r="C71" s="37"/>
      <c r="R71" s="40"/>
      <c r="X71" s="37"/>
      <c r="Y71" s="37"/>
      <c r="Z71" s="37"/>
      <c r="AA71" s="37"/>
      <c r="AB71" s="37"/>
      <c r="AC71" s="37"/>
      <c r="AD71" s="37"/>
      <c r="AE71" s="37"/>
      <c r="AF71" s="37"/>
      <c r="AG71" s="37"/>
      <c r="AH71" s="37"/>
      <c r="AI71" s="37"/>
      <c r="AJ71" s="37"/>
      <c r="AK71" s="37"/>
      <c r="AL71" s="37"/>
      <c r="AQ71" s="37"/>
    </row>
    <row r="72" spans="1:44" ht="12" customHeight="1" x14ac:dyDescent="0.2">
      <c r="B72" s="37"/>
      <c r="C72" s="37"/>
      <c r="AK72" s="37"/>
      <c r="AL72" s="37"/>
      <c r="AQ72" s="37"/>
    </row>
    <row r="73" spans="1:44" ht="12" customHeight="1" x14ac:dyDescent="0.4">
      <c r="B73" s="37"/>
      <c r="C73" s="37"/>
      <c r="H73" s="41"/>
      <c r="I73" s="42"/>
      <c r="J73" s="42"/>
      <c r="K73" s="43"/>
      <c r="AK73" s="37"/>
      <c r="AL73" s="37"/>
      <c r="AM73" s="37"/>
      <c r="AN73" s="37"/>
      <c r="AO73" s="37"/>
      <c r="AP73" s="37"/>
      <c r="AQ73" s="37"/>
    </row>
    <row r="74" spans="1:44" ht="12" customHeight="1" x14ac:dyDescent="0.4">
      <c r="B74" s="37"/>
      <c r="C74" s="37"/>
      <c r="D74" s="37"/>
      <c r="H74" s="41"/>
      <c r="I74" s="44"/>
      <c r="J74" s="44"/>
      <c r="K74" s="43"/>
      <c r="L74" s="44"/>
      <c r="M74" s="44"/>
      <c r="N74" s="44"/>
      <c r="O74" s="44"/>
      <c r="P74" s="44"/>
      <c r="Q74" s="44"/>
      <c r="AA74" s="40"/>
      <c r="AB74" s="37"/>
      <c r="AK74" s="37"/>
      <c r="AL74" s="37"/>
      <c r="AM74" s="37"/>
      <c r="AN74" s="37"/>
      <c r="AO74" s="37"/>
      <c r="AP74" s="37"/>
      <c r="AQ74" s="37"/>
    </row>
    <row r="75" spans="1:44" ht="12" customHeight="1" x14ac:dyDescent="0.4">
      <c r="B75" s="37"/>
      <c r="C75" s="37"/>
      <c r="D75" s="37"/>
      <c r="H75" s="41"/>
      <c r="I75" s="44"/>
      <c r="J75" s="44"/>
      <c r="K75" s="43"/>
      <c r="L75" s="44"/>
      <c r="M75" s="44"/>
      <c r="N75" s="44"/>
      <c r="O75" s="44"/>
      <c r="P75" s="44"/>
      <c r="Q75" s="44"/>
      <c r="AA75" s="40"/>
      <c r="AB75" s="37"/>
      <c r="AK75" s="37"/>
      <c r="AL75" s="37"/>
      <c r="AM75" s="37"/>
      <c r="AN75" s="37"/>
      <c r="AO75" s="37"/>
      <c r="AP75" s="37"/>
      <c r="AQ75" s="37"/>
    </row>
    <row r="76" spans="1:44" ht="12" customHeight="1" x14ac:dyDescent="0.4">
      <c r="B76" s="37"/>
      <c r="C76" s="37"/>
      <c r="D76" s="37"/>
      <c r="H76" s="41"/>
      <c r="I76" s="44"/>
      <c r="J76" s="44"/>
      <c r="K76" s="43"/>
      <c r="L76" s="44"/>
      <c r="M76" s="44"/>
      <c r="N76" s="44"/>
      <c r="O76" s="44"/>
      <c r="P76" s="44"/>
      <c r="Q76" s="44"/>
      <c r="AA76" s="40"/>
      <c r="AB76" s="37"/>
      <c r="AK76" s="37"/>
      <c r="AL76" s="37"/>
      <c r="AM76" s="37"/>
      <c r="AN76" s="37"/>
      <c r="AO76" s="37"/>
      <c r="AP76" s="37"/>
      <c r="AQ76" s="37"/>
    </row>
    <row r="77" spans="1:44" ht="12" customHeight="1" x14ac:dyDescent="0.4">
      <c r="B77" s="37"/>
      <c r="C77" s="37"/>
      <c r="D77" s="37"/>
      <c r="H77" s="41"/>
      <c r="I77" s="44"/>
      <c r="J77" s="44"/>
      <c r="K77" s="43"/>
      <c r="L77" s="44"/>
      <c r="M77" s="44"/>
      <c r="N77" s="44"/>
      <c r="O77" s="44"/>
      <c r="P77" s="44"/>
      <c r="Q77" s="44"/>
      <c r="AA77" s="40"/>
      <c r="AB77" s="37"/>
      <c r="AK77" s="37"/>
      <c r="AL77" s="37"/>
      <c r="AM77" s="37"/>
      <c r="AN77" s="37"/>
      <c r="AO77" s="37"/>
      <c r="AP77" s="37"/>
      <c r="AQ77" s="37"/>
    </row>
    <row r="78" spans="1:44" ht="12" customHeight="1" x14ac:dyDescent="0.4">
      <c r="B78" s="37"/>
      <c r="C78" s="37"/>
      <c r="D78" s="37"/>
      <c r="H78" s="41"/>
      <c r="I78" s="44"/>
      <c r="J78" s="44"/>
      <c r="K78" s="43"/>
      <c r="L78" s="44"/>
      <c r="M78" s="44"/>
      <c r="N78" s="44"/>
      <c r="O78" s="44"/>
      <c r="P78" s="44"/>
      <c r="Q78" s="44"/>
      <c r="AA78" s="40"/>
      <c r="AB78" s="37"/>
      <c r="AK78" s="37"/>
      <c r="AL78" s="37"/>
      <c r="AM78" s="37"/>
      <c r="AN78" s="37"/>
      <c r="AO78" s="37"/>
      <c r="AP78" s="37"/>
      <c r="AQ78" s="37"/>
    </row>
    <row r="79" spans="1:44" ht="12" customHeight="1" x14ac:dyDescent="0.4">
      <c r="B79" s="37"/>
      <c r="C79" s="37"/>
      <c r="D79" s="37"/>
      <c r="H79" s="41"/>
      <c r="I79" s="44"/>
      <c r="J79" s="44"/>
      <c r="K79" s="43"/>
      <c r="L79" s="44"/>
      <c r="M79" s="44"/>
      <c r="N79" s="44"/>
      <c r="O79" s="44"/>
      <c r="P79" s="44"/>
      <c r="Q79" s="44"/>
      <c r="AA79" s="40"/>
      <c r="AB79" s="37"/>
      <c r="AK79" s="37"/>
      <c r="AL79" s="37"/>
      <c r="AM79" s="37"/>
      <c r="AN79" s="37"/>
      <c r="AO79" s="37"/>
      <c r="AP79" s="37"/>
      <c r="AQ79" s="37"/>
    </row>
    <row r="80" spans="1:44" ht="12" customHeight="1" x14ac:dyDescent="0.4">
      <c r="B80" s="37"/>
      <c r="C80" s="37"/>
      <c r="D80" s="37"/>
      <c r="H80" s="41"/>
      <c r="I80" s="44"/>
      <c r="J80" s="44"/>
      <c r="K80" s="43"/>
      <c r="L80" s="44"/>
      <c r="M80" s="44"/>
      <c r="N80" s="44"/>
      <c r="O80" s="44"/>
      <c r="P80" s="44"/>
      <c r="Q80" s="44"/>
      <c r="AA80" s="40"/>
      <c r="AB80" s="37"/>
      <c r="AK80" s="37"/>
      <c r="AL80" s="37"/>
      <c r="AM80" s="37"/>
      <c r="AN80" s="37"/>
      <c r="AO80" s="37"/>
      <c r="AP80" s="37"/>
      <c r="AQ80" s="37"/>
    </row>
    <row r="81" spans="2:43" ht="12" customHeight="1" x14ac:dyDescent="0.4">
      <c r="B81" s="37"/>
      <c r="C81" s="37"/>
      <c r="D81" s="37"/>
      <c r="H81" s="41"/>
      <c r="I81" s="44"/>
      <c r="J81" s="44"/>
      <c r="K81" s="43"/>
      <c r="L81" s="44"/>
      <c r="M81" s="44"/>
      <c r="N81" s="44"/>
      <c r="O81" s="44"/>
      <c r="P81" s="44"/>
      <c r="Q81" s="44"/>
      <c r="AA81" s="40"/>
      <c r="AB81" s="37"/>
      <c r="AK81" s="37"/>
      <c r="AL81" s="37"/>
      <c r="AM81" s="37"/>
      <c r="AN81" s="37"/>
      <c r="AO81" s="37"/>
      <c r="AP81" s="37"/>
      <c r="AQ81" s="37"/>
    </row>
    <row r="82" spans="2:43" ht="12" customHeight="1" x14ac:dyDescent="0.4">
      <c r="B82" s="37"/>
      <c r="C82" s="37"/>
      <c r="D82" s="37"/>
      <c r="H82" s="41"/>
      <c r="I82" s="44"/>
      <c r="J82" s="44"/>
      <c r="K82" s="43"/>
      <c r="L82" s="44"/>
      <c r="M82" s="44"/>
      <c r="N82" s="44"/>
      <c r="O82" s="44"/>
      <c r="P82" s="44"/>
      <c r="Q82" s="44"/>
      <c r="AA82" s="40"/>
      <c r="AB82" s="37"/>
      <c r="AK82" s="37"/>
      <c r="AL82" s="37"/>
      <c r="AM82" s="37"/>
      <c r="AN82" s="37"/>
      <c r="AO82" s="37"/>
      <c r="AP82" s="37"/>
      <c r="AQ82" s="37"/>
    </row>
    <row r="83" spans="2:43" ht="12" customHeight="1" x14ac:dyDescent="0.4">
      <c r="B83" s="37"/>
      <c r="C83" s="37"/>
      <c r="D83" s="37"/>
      <c r="H83" s="41"/>
      <c r="I83" s="44"/>
      <c r="J83" s="44"/>
      <c r="K83" s="43"/>
      <c r="L83" s="44"/>
      <c r="M83" s="44"/>
      <c r="N83" s="44"/>
      <c r="O83" s="44"/>
      <c r="P83" s="44"/>
      <c r="Q83" s="44"/>
      <c r="AA83" s="40"/>
      <c r="AB83" s="37"/>
      <c r="AK83" s="37"/>
      <c r="AL83" s="37"/>
      <c r="AM83" s="37"/>
      <c r="AN83" s="37"/>
      <c r="AO83" s="37"/>
      <c r="AP83" s="37"/>
      <c r="AQ83" s="37"/>
    </row>
    <row r="84" spans="2:43" ht="12" customHeight="1" x14ac:dyDescent="0.4">
      <c r="B84" s="37"/>
      <c r="C84" s="37"/>
      <c r="D84" s="37"/>
      <c r="H84" s="41"/>
      <c r="I84" s="44"/>
      <c r="J84" s="44"/>
      <c r="K84" s="43"/>
      <c r="L84" s="44"/>
      <c r="M84" s="44"/>
      <c r="N84" s="44"/>
      <c r="O84" s="44"/>
      <c r="P84" s="44"/>
      <c r="Q84" s="44"/>
      <c r="AB84" s="37"/>
      <c r="AK84" s="37"/>
      <c r="AL84" s="37"/>
      <c r="AM84" s="37"/>
      <c r="AN84" s="37"/>
      <c r="AO84" s="37"/>
      <c r="AP84" s="37"/>
      <c r="AQ84" s="37"/>
    </row>
    <row r="85" spans="2:43" ht="12" customHeight="1" x14ac:dyDescent="0.4">
      <c r="B85" s="37"/>
      <c r="C85" s="37"/>
      <c r="D85" s="37"/>
      <c r="H85" s="41"/>
      <c r="I85" s="44"/>
      <c r="J85" s="44"/>
      <c r="K85" s="43"/>
      <c r="L85" s="44"/>
      <c r="M85" s="44"/>
      <c r="N85" s="44"/>
      <c r="O85" s="44"/>
      <c r="P85" s="44"/>
      <c r="Q85" s="44"/>
      <c r="AA85" s="40"/>
      <c r="AB85" s="37"/>
      <c r="AK85" s="37"/>
      <c r="AL85" s="37"/>
      <c r="AM85" s="37"/>
      <c r="AN85" s="37"/>
      <c r="AO85" s="37"/>
      <c r="AP85" s="37"/>
      <c r="AQ85" s="37"/>
    </row>
    <row r="86" spans="2:43" ht="12" customHeight="1" x14ac:dyDescent="0.4">
      <c r="B86" s="37"/>
      <c r="C86" s="37"/>
      <c r="D86" s="37"/>
      <c r="H86" s="41"/>
      <c r="I86" s="44"/>
      <c r="J86" s="44"/>
      <c r="K86" s="43"/>
      <c r="L86" s="44"/>
      <c r="M86" s="44"/>
      <c r="N86" s="44"/>
      <c r="O86" s="44"/>
      <c r="P86" s="44"/>
      <c r="Q86" s="44"/>
      <c r="AB86" s="37"/>
      <c r="AK86" s="37"/>
      <c r="AL86" s="37"/>
      <c r="AM86" s="37"/>
      <c r="AN86" s="37"/>
      <c r="AO86" s="37"/>
      <c r="AP86" s="37"/>
      <c r="AQ86" s="37"/>
    </row>
    <row r="87" spans="2:43" ht="12" customHeight="1" x14ac:dyDescent="0.4">
      <c r="B87" s="37"/>
      <c r="C87" s="37"/>
      <c r="D87" s="37"/>
      <c r="H87" s="41"/>
      <c r="I87" s="44"/>
      <c r="J87" s="44"/>
      <c r="K87" s="43"/>
      <c r="L87" s="44"/>
      <c r="M87" s="44"/>
      <c r="N87" s="44"/>
      <c r="O87" s="44"/>
      <c r="P87" s="44"/>
      <c r="Q87" s="44"/>
      <c r="S87" s="40"/>
      <c r="AA87" s="40"/>
      <c r="AB87" s="37"/>
      <c r="AK87" s="37"/>
      <c r="AL87" s="37"/>
      <c r="AM87" s="37"/>
      <c r="AN87" s="37"/>
      <c r="AO87" s="37"/>
      <c r="AP87" s="37"/>
      <c r="AQ87" s="37"/>
    </row>
    <row r="88" spans="2:43" ht="12" customHeight="1" x14ac:dyDescent="0.4">
      <c r="B88" s="37"/>
      <c r="C88" s="37"/>
      <c r="D88" s="37"/>
      <c r="I88" s="42"/>
      <c r="AB88" s="37"/>
      <c r="AK88" s="37"/>
      <c r="AL88" s="37"/>
      <c r="AM88" s="37"/>
      <c r="AN88" s="37"/>
      <c r="AO88" s="37"/>
      <c r="AP88" s="37"/>
      <c r="AQ88" s="37"/>
    </row>
    <row r="89" spans="2:43" ht="12" customHeight="1" x14ac:dyDescent="0.4">
      <c r="B89" s="37"/>
      <c r="C89" s="37"/>
      <c r="D89" s="37"/>
      <c r="H89" s="41"/>
      <c r="I89" s="42"/>
      <c r="J89" s="42"/>
      <c r="K89" s="43"/>
      <c r="S89" s="40"/>
      <c r="AA89" s="40"/>
      <c r="AB89" s="37"/>
      <c r="AK89" s="37"/>
      <c r="AL89" s="37"/>
      <c r="AP89" s="37"/>
      <c r="AQ89" s="37"/>
    </row>
    <row r="90" spans="2:43" ht="12" customHeight="1" x14ac:dyDescent="0.2">
      <c r="B90" s="37"/>
      <c r="C90" s="37"/>
      <c r="D90" s="37"/>
      <c r="AN90" s="37"/>
      <c r="AO90" s="37"/>
      <c r="AP90" s="37"/>
      <c r="AQ90" s="37"/>
    </row>
    <row r="91" spans="2:43" ht="12" customHeight="1" x14ac:dyDescent="0.2">
      <c r="B91" s="37"/>
      <c r="C91" s="37"/>
      <c r="D91" s="37"/>
      <c r="E91" s="37"/>
      <c r="F91" s="37"/>
      <c r="G91" s="37"/>
      <c r="H91" s="38"/>
      <c r="I91" s="37"/>
      <c r="J91" s="37"/>
      <c r="L91" s="37"/>
      <c r="M91" s="3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row>
  </sheetData>
  <mergeCells count="68">
    <mergeCell ref="C42:F43"/>
    <mergeCell ref="G42:H43"/>
    <mergeCell ref="AM42:AP43"/>
    <mergeCell ref="C38:F39"/>
    <mergeCell ref="G38:H39"/>
    <mergeCell ref="AM38:AP39"/>
    <mergeCell ref="C40:F41"/>
    <mergeCell ref="G40:H41"/>
    <mergeCell ref="AM40:AP41"/>
    <mergeCell ref="C34:F35"/>
    <mergeCell ref="G34:H35"/>
    <mergeCell ref="AM34:AP35"/>
    <mergeCell ref="C36:F37"/>
    <mergeCell ref="G36:H37"/>
    <mergeCell ref="AM36:AP37"/>
    <mergeCell ref="C30:F31"/>
    <mergeCell ref="G30:H31"/>
    <mergeCell ref="AM30:AP31"/>
    <mergeCell ref="C32:F33"/>
    <mergeCell ref="G32:H33"/>
    <mergeCell ref="AM32:AP33"/>
    <mergeCell ref="C26:F27"/>
    <mergeCell ref="G26:H27"/>
    <mergeCell ref="AM26:AP27"/>
    <mergeCell ref="C28:F29"/>
    <mergeCell ref="G28:H29"/>
    <mergeCell ref="AM28:AP29"/>
    <mergeCell ref="C22:F23"/>
    <mergeCell ref="G22:H23"/>
    <mergeCell ref="AM22:AP23"/>
    <mergeCell ref="C24:F25"/>
    <mergeCell ref="G24:H25"/>
    <mergeCell ref="AM24:AP25"/>
    <mergeCell ref="C18:F19"/>
    <mergeCell ref="G18:H19"/>
    <mergeCell ref="AM18:AP19"/>
    <mergeCell ref="C20:F21"/>
    <mergeCell ref="G20:H21"/>
    <mergeCell ref="AM20:AP21"/>
    <mergeCell ref="C14:F15"/>
    <mergeCell ref="G14:H15"/>
    <mergeCell ref="AM14:AP15"/>
    <mergeCell ref="C16:F17"/>
    <mergeCell ref="G16:H17"/>
    <mergeCell ref="AM16:AP17"/>
    <mergeCell ref="AL46:AO46"/>
    <mergeCell ref="Z46:AF46"/>
    <mergeCell ref="AM8:AP9"/>
    <mergeCell ref="C8:F9"/>
    <mergeCell ref="G8:H9"/>
    <mergeCell ref="I8:K9"/>
    <mergeCell ref="L8:AL9"/>
    <mergeCell ref="C10:F11"/>
    <mergeCell ref="G10:H11"/>
    <mergeCell ref="AM10:AP11"/>
    <mergeCell ref="O46:T46"/>
    <mergeCell ref="AI46:AJ46"/>
    <mergeCell ref="AG46:AH46"/>
    <mergeCell ref="C12:F13"/>
    <mergeCell ref="G12:H13"/>
    <mergeCell ref="AM12:AP13"/>
    <mergeCell ref="Z2:AI3"/>
    <mergeCell ref="U2:Y2"/>
    <mergeCell ref="U3:Y3"/>
    <mergeCell ref="B2:N2"/>
    <mergeCell ref="O2:T2"/>
    <mergeCell ref="O3:T3"/>
    <mergeCell ref="B3:N3"/>
  </mergeCells>
  <phoneticPr fontId="21"/>
  <pageMargins left="0.19685039370078741" right="0.19685039370078741" top="0.31496062992125984" bottom="0.35433070866141736" header="0.19685039370078741" footer="0.19685039370078741"/>
  <pageSetup paperSize="9" fitToHeight="0" orientation="landscape" horizontalDpi="300" verticalDpi="300" r:id="rId1"/>
  <headerFooter alignWithMargins="0">
    <oddHeader>&amp;R&amp;UFUJITSU CONFIDENTIAL</oddHeader>
    <oddFooter>&amp;RAll Rights Reserved Copyright © FUJITSU FRONTECH LIMITED 2011</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V115"/>
  <sheetViews>
    <sheetView view="pageBreakPreview" zoomScale="80" zoomScaleNormal="70" zoomScaleSheetLayoutView="80" workbookViewId="0">
      <pane ySplit="3" topLeftCell="A44" activePane="bottomLeft" state="frozen"/>
      <selection pane="bottomLeft" activeCell="H54" sqref="H54"/>
    </sheetView>
  </sheetViews>
  <sheetFormatPr defaultColWidth="8.6640625" defaultRowHeight="13.2" x14ac:dyDescent="0.35"/>
  <cols>
    <col min="1" max="1" width="3.109375" style="60" customWidth="1"/>
    <col min="2" max="2" width="8.1093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53.33203125" style="120" bestFit="1" customWidth="1"/>
    <col min="22" max="22" width="5" style="120" customWidth="1"/>
    <col min="23" max="16384" width="8.6640625" style="120"/>
  </cols>
  <sheetData>
    <row r="1" spans="1:22" ht="20.399999999999999" thickBot="1" x14ac:dyDescent="0.4">
      <c r="B1" s="121" t="s">
        <v>42</v>
      </c>
      <c r="E1" s="121"/>
    </row>
    <row r="2" spans="1:22" ht="24" customHeight="1" x14ac:dyDescent="0.35">
      <c r="A2" s="118"/>
      <c r="B2" s="522" t="s">
        <v>43</v>
      </c>
      <c r="C2" s="505" t="s">
        <v>44</v>
      </c>
      <c r="D2" s="505" t="s">
        <v>45</v>
      </c>
      <c r="E2" s="498" t="s">
        <v>46</v>
      </c>
      <c r="F2" s="499"/>
      <c r="G2" s="500"/>
      <c r="H2" s="519" t="s">
        <v>47</v>
      </c>
      <c r="I2" s="520"/>
      <c r="J2" s="520"/>
      <c r="K2" s="520"/>
      <c r="L2" s="520"/>
      <c r="M2" s="520"/>
      <c r="N2" s="520"/>
      <c r="O2" s="520"/>
      <c r="P2" s="521"/>
      <c r="Q2" s="501" t="s">
        <v>48</v>
      </c>
      <c r="R2" s="502"/>
      <c r="S2" s="502"/>
      <c r="T2" s="505" t="s">
        <v>49</v>
      </c>
      <c r="U2" s="503" t="s">
        <v>50</v>
      </c>
    </row>
    <row r="3" spans="1:22" ht="27" thickBot="1" x14ac:dyDescent="0.4">
      <c r="A3" s="118"/>
      <c r="B3" s="523"/>
      <c r="C3" s="506"/>
      <c r="D3" s="506"/>
      <c r="E3" s="114" t="s">
        <v>51</v>
      </c>
      <c r="F3" s="247"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506"/>
      <c r="U3" s="504"/>
    </row>
    <row r="4" spans="1:22" ht="28.2" customHeight="1" x14ac:dyDescent="0.35">
      <c r="B4" s="122" t="s">
        <v>66</v>
      </c>
      <c r="C4" s="123" t="s">
        <v>67</v>
      </c>
      <c r="D4" s="227" t="s">
        <v>68</v>
      </c>
      <c r="E4" s="228">
        <f>ROW()-3</f>
        <v>1</v>
      </c>
      <c r="F4" s="229" t="s">
        <v>69</v>
      </c>
      <c r="G4" s="87" t="s">
        <v>70</v>
      </c>
      <c r="H4" s="81" t="s">
        <v>71</v>
      </c>
      <c r="I4" s="58" t="s">
        <v>71</v>
      </c>
      <c r="J4" s="58" t="s">
        <v>71</v>
      </c>
      <c r="K4" s="57" t="s">
        <v>71</v>
      </c>
      <c r="L4" s="58" t="s">
        <v>71</v>
      </c>
      <c r="M4" s="58" t="s">
        <v>71</v>
      </c>
      <c r="N4" s="58" t="s">
        <v>71</v>
      </c>
      <c r="O4" s="58" t="s">
        <v>948</v>
      </c>
      <c r="P4" s="82" t="s">
        <v>71</v>
      </c>
      <c r="Q4" s="83">
        <v>45692</v>
      </c>
      <c r="R4" s="59"/>
      <c r="S4" s="84"/>
      <c r="T4" s="85" t="s">
        <v>967</v>
      </c>
      <c r="U4" s="99"/>
    </row>
    <row r="5" spans="1:22" ht="28.2" customHeight="1" x14ac:dyDescent="0.35">
      <c r="B5" s="122"/>
      <c r="C5" s="123"/>
      <c r="D5" s="230" t="s">
        <v>73</v>
      </c>
      <c r="E5" s="231">
        <f t="shared" ref="E5:E93" si="0">ROW()-3</f>
        <v>2</v>
      </c>
      <c r="F5" s="97" t="s">
        <v>69</v>
      </c>
      <c r="G5" s="91" t="s">
        <v>74</v>
      </c>
      <c r="H5" s="78" t="s">
        <v>71</v>
      </c>
      <c r="I5" s="48" t="s">
        <v>71</v>
      </c>
      <c r="J5" s="48" t="s">
        <v>71</v>
      </c>
      <c r="K5" s="48" t="s">
        <v>71</v>
      </c>
      <c r="L5" s="48" t="s">
        <v>71</v>
      </c>
      <c r="M5" s="48" t="s">
        <v>71</v>
      </c>
      <c r="N5" s="48" t="s">
        <v>71</v>
      </c>
      <c r="O5" s="58" t="s">
        <v>948</v>
      </c>
      <c r="P5" s="62" t="s">
        <v>71</v>
      </c>
      <c r="Q5" s="83">
        <v>45692</v>
      </c>
      <c r="R5" s="59"/>
      <c r="S5" s="84"/>
      <c r="T5" s="85" t="s">
        <v>967</v>
      </c>
      <c r="U5" s="100"/>
    </row>
    <row r="6" spans="1:22" ht="28.2" customHeight="1" x14ac:dyDescent="0.35">
      <c r="B6" s="122"/>
      <c r="C6" s="320" t="s">
        <v>75</v>
      </c>
      <c r="D6" s="328" t="s">
        <v>76</v>
      </c>
      <c r="E6" s="94">
        <f t="shared" si="0"/>
        <v>3</v>
      </c>
      <c r="F6" s="95" t="s">
        <v>77</v>
      </c>
      <c r="G6" s="96" t="s">
        <v>78</v>
      </c>
      <c r="H6" s="79" t="s">
        <v>71</v>
      </c>
      <c r="I6" s="50" t="s">
        <v>71</v>
      </c>
      <c r="J6" s="50" t="s">
        <v>71</v>
      </c>
      <c r="K6" s="50" t="s">
        <v>71</v>
      </c>
      <c r="L6" s="50" t="s">
        <v>71</v>
      </c>
      <c r="M6" s="50" t="s">
        <v>71</v>
      </c>
      <c r="N6" s="50" t="s">
        <v>71</v>
      </c>
      <c r="O6" s="50" t="s">
        <v>71</v>
      </c>
      <c r="P6" s="63" t="s">
        <v>71</v>
      </c>
      <c r="Q6" s="51"/>
      <c r="R6" s="51"/>
      <c r="S6" s="67"/>
      <c r="T6" s="51"/>
      <c r="U6" s="102" t="s">
        <v>79</v>
      </c>
    </row>
    <row r="7" spans="1:22" ht="28.2" customHeight="1" x14ac:dyDescent="0.35">
      <c r="B7" s="122"/>
      <c r="C7" s="330"/>
      <c r="D7" s="328" t="s">
        <v>80</v>
      </c>
      <c r="E7" s="94">
        <f t="shared" si="0"/>
        <v>4</v>
      </c>
      <c r="F7" s="95" t="s">
        <v>77</v>
      </c>
      <c r="G7" s="96" t="s">
        <v>81</v>
      </c>
      <c r="H7" s="79" t="s">
        <v>71</v>
      </c>
      <c r="I7" s="50" t="s">
        <v>71</v>
      </c>
      <c r="J7" s="50" t="s">
        <v>71</v>
      </c>
      <c r="K7" s="50" t="s">
        <v>71</v>
      </c>
      <c r="L7" s="50" t="s">
        <v>71</v>
      </c>
      <c r="M7" s="50" t="s">
        <v>71</v>
      </c>
      <c r="N7" s="50" t="s">
        <v>71</v>
      </c>
      <c r="O7" s="50" t="s">
        <v>71</v>
      </c>
      <c r="P7" s="63" t="s">
        <v>71</v>
      </c>
      <c r="Q7" s="51"/>
      <c r="R7" s="51"/>
      <c r="S7" s="67"/>
      <c r="T7" s="51"/>
      <c r="U7" s="102" t="s">
        <v>79</v>
      </c>
    </row>
    <row r="8" spans="1:22" ht="28.2" customHeight="1" x14ac:dyDescent="0.35">
      <c r="B8" s="125" t="s">
        <v>82</v>
      </c>
      <c r="C8" s="124"/>
      <c r="D8" s="230" t="s">
        <v>83</v>
      </c>
      <c r="E8" s="231">
        <f t="shared" si="0"/>
        <v>5</v>
      </c>
      <c r="F8" s="97"/>
      <c r="G8" s="91" t="s">
        <v>84</v>
      </c>
      <c r="H8" s="48" t="s">
        <v>71</v>
      </c>
      <c r="I8" s="48" t="s">
        <v>71</v>
      </c>
      <c r="J8" s="48" t="s">
        <v>71</v>
      </c>
      <c r="K8" s="48" t="s">
        <v>948</v>
      </c>
      <c r="L8" s="48" t="s">
        <v>71</v>
      </c>
      <c r="M8" s="48" t="s">
        <v>71</v>
      </c>
      <c r="N8" s="48" t="s">
        <v>71</v>
      </c>
      <c r="O8" s="48" t="s">
        <v>71</v>
      </c>
      <c r="P8" s="62" t="s">
        <v>71</v>
      </c>
      <c r="Q8" s="83">
        <v>45692</v>
      </c>
      <c r="R8" s="59"/>
      <c r="S8" s="84"/>
      <c r="T8" s="85" t="s">
        <v>967</v>
      </c>
      <c r="U8" s="100"/>
    </row>
    <row r="9" spans="1:22" ht="28.2" customHeight="1" x14ac:dyDescent="0.35">
      <c r="B9" s="122"/>
      <c r="C9" s="123"/>
      <c r="D9" s="232" t="s">
        <v>85</v>
      </c>
      <c r="E9" s="231">
        <f t="shared" si="0"/>
        <v>6</v>
      </c>
      <c r="F9" s="97"/>
      <c r="G9" s="91" t="s">
        <v>86</v>
      </c>
      <c r="H9" s="48" t="s">
        <v>948</v>
      </c>
      <c r="I9" s="48" t="s">
        <v>71</v>
      </c>
      <c r="J9" s="48" t="s">
        <v>71</v>
      </c>
      <c r="K9" s="48" t="s">
        <v>948</v>
      </c>
      <c r="L9" s="48" t="s">
        <v>71</v>
      </c>
      <c r="M9" s="48" t="s">
        <v>71</v>
      </c>
      <c r="N9" s="48" t="s">
        <v>71</v>
      </c>
      <c r="O9" s="48" t="s">
        <v>71</v>
      </c>
      <c r="P9" s="62" t="s">
        <v>71</v>
      </c>
      <c r="Q9" s="83">
        <v>45692</v>
      </c>
      <c r="R9" s="49"/>
      <c r="S9" s="66"/>
      <c r="T9" s="85" t="s">
        <v>967</v>
      </c>
      <c r="U9" s="101"/>
    </row>
    <row r="10" spans="1:22" ht="28.2" customHeight="1" x14ac:dyDescent="0.35">
      <c r="B10" s="122"/>
      <c r="C10" s="124" t="s">
        <v>87</v>
      </c>
      <c r="D10" s="232" t="s">
        <v>88</v>
      </c>
      <c r="E10" s="231">
        <f t="shared" si="0"/>
        <v>7</v>
      </c>
      <c r="F10" s="97"/>
      <c r="G10" s="91" t="s">
        <v>89</v>
      </c>
      <c r="H10" s="48" t="s">
        <v>71</v>
      </c>
      <c r="I10" s="48" t="s">
        <v>71</v>
      </c>
      <c r="J10" s="48" t="s">
        <v>71</v>
      </c>
      <c r="K10" s="48" t="s">
        <v>71</v>
      </c>
      <c r="L10" s="48" t="s">
        <v>948</v>
      </c>
      <c r="M10" s="48" t="s">
        <v>948</v>
      </c>
      <c r="N10" s="48" t="s">
        <v>71</v>
      </c>
      <c r="O10" s="48" t="s">
        <v>71</v>
      </c>
      <c r="P10" s="62" t="s">
        <v>71</v>
      </c>
      <c r="Q10" s="83">
        <v>45692</v>
      </c>
      <c r="R10" s="49"/>
      <c r="S10" s="66"/>
      <c r="T10" s="85" t="s">
        <v>967</v>
      </c>
      <c r="U10" s="101"/>
      <c r="V10" s="126"/>
    </row>
    <row r="11" spans="1:22" ht="28.2" customHeight="1" x14ac:dyDescent="0.35">
      <c r="B11" s="125" t="s">
        <v>90</v>
      </c>
      <c r="C11" s="124" t="s">
        <v>91</v>
      </c>
      <c r="D11" s="230" t="s">
        <v>92</v>
      </c>
      <c r="E11" s="231">
        <f t="shared" si="0"/>
        <v>8</v>
      </c>
      <c r="F11" s="97" t="s">
        <v>93</v>
      </c>
      <c r="G11" s="91" t="s">
        <v>94</v>
      </c>
      <c r="H11" s="48" t="s">
        <v>948</v>
      </c>
      <c r="I11" s="48" t="s">
        <v>71</v>
      </c>
      <c r="J11" s="48" t="s">
        <v>71</v>
      </c>
      <c r="K11" s="48" t="s">
        <v>948</v>
      </c>
      <c r="L11" s="48" t="s">
        <v>71</v>
      </c>
      <c r="M11" s="48" t="s">
        <v>71</v>
      </c>
      <c r="N11" s="48" t="s">
        <v>71</v>
      </c>
      <c r="O11" s="48" t="s">
        <v>71</v>
      </c>
      <c r="P11" s="62" t="s">
        <v>71</v>
      </c>
      <c r="Q11" s="83">
        <v>45692</v>
      </c>
      <c r="R11" s="59"/>
      <c r="S11" s="84"/>
      <c r="T11" s="85" t="s">
        <v>967</v>
      </c>
      <c r="U11" s="100"/>
    </row>
    <row r="12" spans="1:22" ht="62.4" customHeight="1" x14ac:dyDescent="0.35">
      <c r="B12" s="122"/>
      <c r="C12" s="123"/>
      <c r="D12" s="230" t="s">
        <v>95</v>
      </c>
      <c r="E12" s="231">
        <f t="shared" si="0"/>
        <v>9</v>
      </c>
      <c r="F12" s="98" t="s">
        <v>96</v>
      </c>
      <c r="G12" s="91" t="s">
        <v>97</v>
      </c>
      <c r="H12" s="48" t="s">
        <v>948</v>
      </c>
      <c r="I12" s="48" t="s">
        <v>71</v>
      </c>
      <c r="J12" s="48" t="s">
        <v>71</v>
      </c>
      <c r="K12" s="48" t="s">
        <v>948</v>
      </c>
      <c r="L12" s="48" t="s">
        <v>71</v>
      </c>
      <c r="M12" s="48" t="s">
        <v>71</v>
      </c>
      <c r="N12" s="48" t="s">
        <v>71</v>
      </c>
      <c r="O12" s="48" t="s">
        <v>71</v>
      </c>
      <c r="P12" s="62" t="s">
        <v>71</v>
      </c>
      <c r="Q12" s="83">
        <v>45692</v>
      </c>
      <c r="R12" s="59"/>
      <c r="S12" s="84"/>
      <c r="T12" s="85" t="s">
        <v>967</v>
      </c>
      <c r="U12" s="100"/>
    </row>
    <row r="13" spans="1:22" ht="28.2" customHeight="1" x14ac:dyDescent="0.35">
      <c r="B13" s="122"/>
      <c r="C13" s="123"/>
      <c r="D13" s="230" t="s">
        <v>98</v>
      </c>
      <c r="E13" s="231">
        <f t="shared" si="0"/>
        <v>10</v>
      </c>
      <c r="F13" s="98"/>
      <c r="G13" s="91" t="s">
        <v>99</v>
      </c>
      <c r="H13" s="48" t="s">
        <v>948</v>
      </c>
      <c r="I13" s="48" t="s">
        <v>71</v>
      </c>
      <c r="J13" s="48" t="s">
        <v>71</v>
      </c>
      <c r="K13" s="48" t="s">
        <v>948</v>
      </c>
      <c r="L13" s="48" t="s">
        <v>71</v>
      </c>
      <c r="M13" s="48" t="s">
        <v>71</v>
      </c>
      <c r="N13" s="48" t="s">
        <v>71</v>
      </c>
      <c r="O13" s="48" t="s">
        <v>71</v>
      </c>
      <c r="P13" s="62" t="s">
        <v>71</v>
      </c>
      <c r="Q13" s="83">
        <v>45692</v>
      </c>
      <c r="R13" s="59"/>
      <c r="S13" s="84"/>
      <c r="T13" s="85" t="s">
        <v>967</v>
      </c>
      <c r="U13" s="100"/>
    </row>
    <row r="14" spans="1:22" ht="28.2" customHeight="1" x14ac:dyDescent="0.35">
      <c r="B14" s="122"/>
      <c r="C14" s="123"/>
      <c r="D14" s="93" t="s">
        <v>100</v>
      </c>
      <c r="E14" s="94">
        <f t="shared" si="0"/>
        <v>11</v>
      </c>
      <c r="F14" s="333" t="s">
        <v>101</v>
      </c>
      <c r="G14" s="96" t="s">
        <v>102</v>
      </c>
      <c r="H14" s="79" t="s">
        <v>103</v>
      </c>
      <c r="I14" s="50" t="s">
        <v>103</v>
      </c>
      <c r="J14" s="50" t="s">
        <v>71</v>
      </c>
      <c r="K14" s="50" t="s">
        <v>71</v>
      </c>
      <c r="L14" s="50" t="s">
        <v>71</v>
      </c>
      <c r="M14" s="50" t="s">
        <v>71</v>
      </c>
      <c r="N14" s="50" t="s">
        <v>71</v>
      </c>
      <c r="O14" s="50" t="s">
        <v>71</v>
      </c>
      <c r="P14" s="63" t="s">
        <v>71</v>
      </c>
      <c r="Q14" s="65"/>
      <c r="R14" s="51"/>
      <c r="S14" s="67"/>
      <c r="T14" s="322"/>
      <c r="U14" s="102" t="s">
        <v>104</v>
      </c>
    </row>
    <row r="15" spans="1:22" ht="28.2" customHeight="1" x14ac:dyDescent="0.35">
      <c r="B15" s="122"/>
      <c r="C15" s="123"/>
      <c r="D15" s="230" t="s">
        <v>105</v>
      </c>
      <c r="E15" s="231">
        <f t="shared" si="0"/>
        <v>12</v>
      </c>
      <c r="F15" s="97"/>
      <c r="G15" s="91" t="s">
        <v>106</v>
      </c>
      <c r="H15" s="48" t="s">
        <v>948</v>
      </c>
      <c r="I15" s="48" t="s">
        <v>71</v>
      </c>
      <c r="J15" s="48" t="s">
        <v>71</v>
      </c>
      <c r="K15" s="48" t="s">
        <v>71</v>
      </c>
      <c r="L15" s="48" t="s">
        <v>71</v>
      </c>
      <c r="M15" s="48" t="s">
        <v>71</v>
      </c>
      <c r="N15" s="48" t="s">
        <v>71</v>
      </c>
      <c r="O15" s="48" t="s">
        <v>71</v>
      </c>
      <c r="P15" s="62" t="s">
        <v>71</v>
      </c>
      <c r="Q15" s="83">
        <v>45692</v>
      </c>
      <c r="R15" s="59"/>
      <c r="S15" s="84"/>
      <c r="T15" s="85" t="s">
        <v>967</v>
      </c>
      <c r="U15" s="100"/>
    </row>
    <row r="16" spans="1:22" ht="28.2" customHeight="1" x14ac:dyDescent="0.35">
      <c r="B16" s="122"/>
      <c r="C16" s="123"/>
      <c r="D16" s="230" t="s">
        <v>107</v>
      </c>
      <c r="E16" s="231">
        <f t="shared" si="0"/>
        <v>13</v>
      </c>
      <c r="F16" s="97"/>
      <c r="G16" s="91" t="s">
        <v>108</v>
      </c>
      <c r="H16" s="48" t="s">
        <v>948</v>
      </c>
      <c r="I16" s="48" t="s">
        <v>71</v>
      </c>
      <c r="J16" s="48" t="s">
        <v>71</v>
      </c>
      <c r="K16" s="48" t="s">
        <v>71</v>
      </c>
      <c r="L16" s="48" t="s">
        <v>71</v>
      </c>
      <c r="M16" s="48" t="s">
        <v>71</v>
      </c>
      <c r="N16" s="48" t="s">
        <v>71</v>
      </c>
      <c r="O16" s="48" t="s">
        <v>71</v>
      </c>
      <c r="P16" s="62" t="s">
        <v>71</v>
      </c>
      <c r="Q16" s="83">
        <v>45692</v>
      </c>
      <c r="R16" s="59"/>
      <c r="S16" s="84"/>
      <c r="T16" s="85" t="s">
        <v>967</v>
      </c>
      <c r="U16" s="100"/>
    </row>
    <row r="17" spans="2:22" ht="28.2" customHeight="1" x14ac:dyDescent="0.35">
      <c r="B17" s="122"/>
      <c r="C17" s="123"/>
      <c r="D17" s="230" t="s">
        <v>109</v>
      </c>
      <c r="E17" s="231">
        <f t="shared" si="0"/>
        <v>14</v>
      </c>
      <c r="F17" s="97"/>
      <c r="G17" s="91" t="s">
        <v>110</v>
      </c>
      <c r="H17" s="48" t="s">
        <v>948</v>
      </c>
      <c r="I17" s="48" t="s">
        <v>71</v>
      </c>
      <c r="J17" s="48" t="s">
        <v>71</v>
      </c>
      <c r="K17" s="48" t="s">
        <v>71</v>
      </c>
      <c r="L17" s="48" t="s">
        <v>71</v>
      </c>
      <c r="M17" s="48" t="s">
        <v>71</v>
      </c>
      <c r="N17" s="48" t="s">
        <v>71</v>
      </c>
      <c r="O17" s="48" t="s">
        <v>71</v>
      </c>
      <c r="P17" s="62" t="s">
        <v>71</v>
      </c>
      <c r="Q17" s="83">
        <v>45692</v>
      </c>
      <c r="R17" s="59"/>
      <c r="S17" s="84"/>
      <c r="T17" s="85" t="s">
        <v>967</v>
      </c>
      <c r="U17" s="101"/>
    </row>
    <row r="18" spans="2:22" ht="28.2" customHeight="1" x14ac:dyDescent="0.35">
      <c r="B18" s="122"/>
      <c r="C18" s="123"/>
      <c r="D18" s="233" t="s">
        <v>111</v>
      </c>
      <c r="E18" s="231">
        <f t="shared" si="0"/>
        <v>15</v>
      </c>
      <c r="F18" s="97"/>
      <c r="G18" s="91" t="s">
        <v>112</v>
      </c>
      <c r="H18" s="48" t="s">
        <v>948</v>
      </c>
      <c r="I18" s="48" t="s">
        <v>71</v>
      </c>
      <c r="J18" s="48" t="s">
        <v>71</v>
      </c>
      <c r="K18" s="48" t="s">
        <v>71</v>
      </c>
      <c r="L18" s="48" t="s">
        <v>71</v>
      </c>
      <c r="M18" s="48" t="s">
        <v>71</v>
      </c>
      <c r="N18" s="48" t="s">
        <v>71</v>
      </c>
      <c r="O18" s="48" t="s">
        <v>71</v>
      </c>
      <c r="P18" s="62" t="s">
        <v>71</v>
      </c>
      <c r="Q18" s="83">
        <v>45692</v>
      </c>
      <c r="R18" s="59"/>
      <c r="S18" s="84"/>
      <c r="T18" s="85" t="s">
        <v>967</v>
      </c>
      <c r="U18" s="100"/>
    </row>
    <row r="19" spans="2:22" ht="28.2" customHeight="1" x14ac:dyDescent="0.35">
      <c r="B19" s="122"/>
      <c r="C19" s="123"/>
      <c r="D19" s="234"/>
      <c r="E19" s="94">
        <f t="shared" si="0"/>
        <v>16</v>
      </c>
      <c r="F19" s="95"/>
      <c r="G19" s="96" t="s">
        <v>113</v>
      </c>
      <c r="H19" s="79" t="s">
        <v>103</v>
      </c>
      <c r="I19" s="50" t="s">
        <v>103</v>
      </c>
      <c r="J19" s="50" t="s">
        <v>71</v>
      </c>
      <c r="K19" s="50" t="s">
        <v>71</v>
      </c>
      <c r="L19" s="50" t="s">
        <v>71</v>
      </c>
      <c r="M19" s="50" t="s">
        <v>71</v>
      </c>
      <c r="N19" s="50" t="s">
        <v>71</v>
      </c>
      <c r="O19" s="50" t="s">
        <v>71</v>
      </c>
      <c r="P19" s="63" t="s">
        <v>71</v>
      </c>
      <c r="Q19" s="65"/>
      <c r="R19" s="51"/>
      <c r="S19" s="67"/>
      <c r="T19" s="322"/>
      <c r="U19" s="102" t="s">
        <v>114</v>
      </c>
    </row>
    <row r="20" spans="2:22" ht="28.2" customHeight="1" x14ac:dyDescent="0.35">
      <c r="B20" s="122"/>
      <c r="C20" s="123"/>
      <c r="D20" s="235"/>
      <c r="E20" s="231">
        <f t="shared" si="0"/>
        <v>17</v>
      </c>
      <c r="F20" s="97"/>
      <c r="G20" s="91" t="s">
        <v>115</v>
      </c>
      <c r="H20" s="48" t="s">
        <v>948</v>
      </c>
      <c r="I20" s="48" t="s">
        <v>71</v>
      </c>
      <c r="J20" s="48" t="s">
        <v>71</v>
      </c>
      <c r="K20" s="48" t="s">
        <v>948</v>
      </c>
      <c r="L20" s="48" t="s">
        <v>71</v>
      </c>
      <c r="M20" s="48" t="s">
        <v>71</v>
      </c>
      <c r="N20" s="48" t="s">
        <v>71</v>
      </c>
      <c r="O20" s="48" t="s">
        <v>71</v>
      </c>
      <c r="P20" s="62" t="s">
        <v>71</v>
      </c>
      <c r="Q20" s="83">
        <v>45692</v>
      </c>
      <c r="R20" s="59"/>
      <c r="S20" s="84"/>
      <c r="T20" s="85" t="s">
        <v>967</v>
      </c>
      <c r="U20" s="100"/>
    </row>
    <row r="21" spans="2:22" ht="28.2" customHeight="1" x14ac:dyDescent="0.35">
      <c r="B21" s="122"/>
      <c r="C21" s="123"/>
      <c r="D21" s="230" t="s">
        <v>116</v>
      </c>
      <c r="E21" s="231">
        <f t="shared" si="0"/>
        <v>18</v>
      </c>
      <c r="F21" s="97"/>
      <c r="G21" s="91" t="s">
        <v>117</v>
      </c>
      <c r="H21" s="48" t="s">
        <v>948</v>
      </c>
      <c r="I21" s="48" t="s">
        <v>71</v>
      </c>
      <c r="J21" s="48" t="s">
        <v>71</v>
      </c>
      <c r="K21" s="48" t="s">
        <v>948</v>
      </c>
      <c r="L21" s="48" t="s">
        <v>71</v>
      </c>
      <c r="M21" s="48" t="s">
        <v>71</v>
      </c>
      <c r="N21" s="48" t="s">
        <v>71</v>
      </c>
      <c r="O21" s="48" t="s">
        <v>71</v>
      </c>
      <c r="P21" s="62" t="s">
        <v>71</v>
      </c>
      <c r="Q21" s="83">
        <v>45692</v>
      </c>
      <c r="R21" s="59"/>
      <c r="S21" s="84"/>
      <c r="T21" s="85" t="s">
        <v>967</v>
      </c>
      <c r="U21" s="100"/>
    </row>
    <row r="22" spans="2:22" ht="28.2" customHeight="1" x14ac:dyDescent="0.35">
      <c r="B22" s="122"/>
      <c r="C22" s="123"/>
      <c r="D22" s="232" t="s">
        <v>118</v>
      </c>
      <c r="E22" s="231">
        <f t="shared" si="0"/>
        <v>19</v>
      </c>
      <c r="F22" s="97" t="s">
        <v>119</v>
      </c>
      <c r="G22" s="91" t="s">
        <v>120</v>
      </c>
      <c r="H22" s="48" t="s">
        <v>948</v>
      </c>
      <c r="I22" s="48" t="s">
        <v>71</v>
      </c>
      <c r="J22" s="48" t="s">
        <v>71</v>
      </c>
      <c r="K22" s="48" t="s">
        <v>948</v>
      </c>
      <c r="L22" s="48" t="s">
        <v>71</v>
      </c>
      <c r="M22" s="48" t="s">
        <v>71</v>
      </c>
      <c r="N22" s="48" t="s">
        <v>71</v>
      </c>
      <c r="O22" s="48" t="s">
        <v>71</v>
      </c>
      <c r="P22" s="62" t="s">
        <v>71</v>
      </c>
      <c r="Q22" s="83">
        <v>45692</v>
      </c>
      <c r="R22" s="59"/>
      <c r="S22" s="84"/>
      <c r="T22" s="85" t="s">
        <v>967</v>
      </c>
      <c r="U22" s="100"/>
    </row>
    <row r="23" spans="2:22" ht="28.2" customHeight="1" x14ac:dyDescent="0.35">
      <c r="B23" s="122"/>
      <c r="C23" s="123"/>
      <c r="D23" s="88" t="s">
        <v>121</v>
      </c>
      <c r="E23" s="89">
        <f t="shared" si="0"/>
        <v>20</v>
      </c>
      <c r="F23" s="90"/>
      <c r="G23" s="91" t="s">
        <v>122</v>
      </c>
      <c r="H23" s="48" t="s">
        <v>948</v>
      </c>
      <c r="I23" s="48" t="s">
        <v>71</v>
      </c>
      <c r="J23" s="48" t="s">
        <v>71</v>
      </c>
      <c r="K23" s="48" t="s">
        <v>71</v>
      </c>
      <c r="L23" s="48" t="s">
        <v>71</v>
      </c>
      <c r="M23" s="48" t="s">
        <v>71</v>
      </c>
      <c r="N23" s="48" t="s">
        <v>71</v>
      </c>
      <c r="O23" s="48" t="s">
        <v>71</v>
      </c>
      <c r="P23" s="62" t="s">
        <v>71</v>
      </c>
      <c r="Q23" s="83">
        <v>45692</v>
      </c>
      <c r="R23" s="59"/>
      <c r="S23" s="84"/>
      <c r="T23" s="85" t="s">
        <v>967</v>
      </c>
      <c r="U23" s="100"/>
    </row>
    <row r="24" spans="2:22" ht="28.2" customHeight="1" x14ac:dyDescent="0.35">
      <c r="B24" s="122"/>
      <c r="C24" s="123"/>
      <c r="D24" s="233" t="s">
        <v>123</v>
      </c>
      <c r="E24" s="89">
        <f t="shared" si="0"/>
        <v>21</v>
      </c>
      <c r="F24" s="90"/>
      <c r="G24" s="91" t="s">
        <v>124</v>
      </c>
      <c r="H24" s="48" t="s">
        <v>71</v>
      </c>
      <c r="I24" s="48" t="s">
        <v>71</v>
      </c>
      <c r="J24" s="48" t="s">
        <v>71</v>
      </c>
      <c r="K24" s="48" t="s">
        <v>71</v>
      </c>
      <c r="L24" s="48" t="s">
        <v>948</v>
      </c>
      <c r="M24" s="48" t="s">
        <v>948</v>
      </c>
      <c r="N24" s="48" t="s">
        <v>71</v>
      </c>
      <c r="O24" s="48" t="s">
        <v>71</v>
      </c>
      <c r="P24" s="62" t="s">
        <v>71</v>
      </c>
      <c r="Q24" s="83">
        <v>45692</v>
      </c>
      <c r="R24" s="59"/>
      <c r="S24" s="84"/>
      <c r="T24" s="85" t="s">
        <v>967</v>
      </c>
      <c r="U24" s="101"/>
      <c r="V24" s="126"/>
    </row>
    <row r="25" spans="2:22" ht="28.2" customHeight="1" x14ac:dyDescent="0.35">
      <c r="B25" s="122"/>
      <c r="C25" s="123"/>
      <c r="D25" s="234"/>
      <c r="E25" s="89">
        <f t="shared" si="0"/>
        <v>22</v>
      </c>
      <c r="F25" s="90"/>
      <c r="G25" s="91" t="s">
        <v>125</v>
      </c>
      <c r="H25" s="48" t="s">
        <v>71</v>
      </c>
      <c r="I25" s="48" t="s">
        <v>71</v>
      </c>
      <c r="J25" s="48" t="s">
        <v>71</v>
      </c>
      <c r="K25" s="48" t="s">
        <v>71</v>
      </c>
      <c r="L25" s="48" t="s">
        <v>948</v>
      </c>
      <c r="M25" s="48" t="s">
        <v>948</v>
      </c>
      <c r="N25" s="48" t="s">
        <v>71</v>
      </c>
      <c r="O25" s="48" t="s">
        <v>71</v>
      </c>
      <c r="P25" s="62" t="s">
        <v>71</v>
      </c>
      <c r="Q25" s="83">
        <v>45692</v>
      </c>
      <c r="R25" s="59"/>
      <c r="S25" s="84"/>
      <c r="T25" s="85" t="s">
        <v>967</v>
      </c>
      <c r="U25" s="101"/>
      <c r="V25" s="126"/>
    </row>
    <row r="26" spans="2:22" ht="28.2" customHeight="1" x14ac:dyDescent="0.35">
      <c r="B26" s="122"/>
      <c r="C26" s="123"/>
      <c r="D26" s="234"/>
      <c r="E26" s="89">
        <f t="shared" si="0"/>
        <v>23</v>
      </c>
      <c r="F26" s="90"/>
      <c r="G26" s="91" t="s">
        <v>126</v>
      </c>
      <c r="H26" s="48" t="s">
        <v>71</v>
      </c>
      <c r="I26" s="48" t="s">
        <v>71</v>
      </c>
      <c r="J26" s="48" t="s">
        <v>71</v>
      </c>
      <c r="K26" s="48" t="s">
        <v>71</v>
      </c>
      <c r="L26" s="48" t="s">
        <v>948</v>
      </c>
      <c r="M26" s="48" t="s">
        <v>948</v>
      </c>
      <c r="N26" s="48" t="s">
        <v>71</v>
      </c>
      <c r="O26" s="48" t="s">
        <v>71</v>
      </c>
      <c r="P26" s="62" t="s">
        <v>71</v>
      </c>
      <c r="Q26" s="83">
        <v>45692</v>
      </c>
      <c r="R26" s="59"/>
      <c r="S26" s="84"/>
      <c r="T26" s="85" t="s">
        <v>967</v>
      </c>
      <c r="U26" s="101"/>
      <c r="V26" s="126"/>
    </row>
    <row r="27" spans="2:22" ht="28.2" customHeight="1" x14ac:dyDescent="0.35">
      <c r="B27" s="122"/>
      <c r="C27" s="123"/>
      <c r="D27" s="232" t="s">
        <v>127</v>
      </c>
      <c r="E27" s="89">
        <f t="shared" si="0"/>
        <v>24</v>
      </c>
      <c r="F27" s="90"/>
      <c r="G27" s="91" t="s">
        <v>128</v>
      </c>
      <c r="H27" s="48" t="s">
        <v>71</v>
      </c>
      <c r="I27" s="48" t="s">
        <v>71</v>
      </c>
      <c r="J27" s="48" t="s">
        <v>71</v>
      </c>
      <c r="K27" s="48" t="s">
        <v>71</v>
      </c>
      <c r="L27" s="48" t="s">
        <v>948</v>
      </c>
      <c r="M27" s="48" t="s">
        <v>948</v>
      </c>
      <c r="N27" s="48" t="s">
        <v>71</v>
      </c>
      <c r="O27" s="48" t="s">
        <v>71</v>
      </c>
      <c r="P27" s="62" t="s">
        <v>71</v>
      </c>
      <c r="Q27" s="83">
        <v>45692</v>
      </c>
      <c r="R27" s="59"/>
      <c r="S27" s="84"/>
      <c r="T27" s="85" t="s">
        <v>967</v>
      </c>
      <c r="U27" s="101"/>
      <c r="V27" s="126"/>
    </row>
    <row r="28" spans="2:22" ht="28.2" customHeight="1" x14ac:dyDescent="0.35">
      <c r="B28" s="122"/>
      <c r="C28" s="124" t="s">
        <v>129</v>
      </c>
      <c r="D28" s="93" t="s">
        <v>130</v>
      </c>
      <c r="E28" s="94">
        <f t="shared" si="0"/>
        <v>25</v>
      </c>
      <c r="F28" s="95"/>
      <c r="G28" s="96" t="s">
        <v>131</v>
      </c>
      <c r="H28" s="79" t="s">
        <v>103</v>
      </c>
      <c r="I28" s="50" t="s">
        <v>103</v>
      </c>
      <c r="J28" s="50" t="s">
        <v>71</v>
      </c>
      <c r="K28" s="50" t="s">
        <v>71</v>
      </c>
      <c r="L28" s="50" t="s">
        <v>71</v>
      </c>
      <c r="M28" s="50" t="s">
        <v>71</v>
      </c>
      <c r="N28" s="50" t="s">
        <v>71</v>
      </c>
      <c r="O28" s="50" t="s">
        <v>71</v>
      </c>
      <c r="P28" s="63" t="s">
        <v>71</v>
      </c>
      <c r="Q28" s="65"/>
      <c r="R28" s="51"/>
      <c r="S28" s="67"/>
      <c r="T28" s="322"/>
      <c r="U28" s="102" t="s">
        <v>132</v>
      </c>
    </row>
    <row r="29" spans="2:22" ht="28.2" customHeight="1" x14ac:dyDescent="0.35">
      <c r="B29" s="122"/>
      <c r="C29" s="123"/>
      <c r="D29" s="88" t="s">
        <v>133</v>
      </c>
      <c r="E29" s="89">
        <f t="shared" si="0"/>
        <v>26</v>
      </c>
      <c r="F29" s="90"/>
      <c r="G29" s="91" t="s">
        <v>131</v>
      </c>
      <c r="H29" s="48" t="s">
        <v>948</v>
      </c>
      <c r="I29" s="48" t="s">
        <v>71</v>
      </c>
      <c r="J29" s="48" t="s">
        <v>71</v>
      </c>
      <c r="K29" s="48" t="s">
        <v>71</v>
      </c>
      <c r="L29" s="48" t="s">
        <v>71</v>
      </c>
      <c r="M29" s="48" t="s">
        <v>71</v>
      </c>
      <c r="N29" s="48" t="s">
        <v>71</v>
      </c>
      <c r="O29" s="48" t="s">
        <v>71</v>
      </c>
      <c r="P29" s="62" t="s">
        <v>71</v>
      </c>
      <c r="Q29" s="83">
        <v>45692</v>
      </c>
      <c r="R29" s="59"/>
      <c r="S29" s="84"/>
      <c r="T29" s="85" t="s">
        <v>967</v>
      </c>
      <c r="U29" s="100"/>
      <c r="V29" s="126"/>
    </row>
    <row r="30" spans="2:22" ht="28.2" customHeight="1" x14ac:dyDescent="0.35">
      <c r="B30" s="122"/>
      <c r="C30" s="123"/>
      <c r="D30" s="233" t="s">
        <v>134</v>
      </c>
      <c r="E30" s="89">
        <f t="shared" si="0"/>
        <v>27</v>
      </c>
      <c r="F30" s="90"/>
      <c r="G30" s="91" t="s">
        <v>135</v>
      </c>
      <c r="H30" s="48" t="s">
        <v>948</v>
      </c>
      <c r="I30" s="48" t="s">
        <v>71</v>
      </c>
      <c r="J30" s="48" t="s">
        <v>71</v>
      </c>
      <c r="K30" s="48" t="s">
        <v>71</v>
      </c>
      <c r="L30" s="48" t="s">
        <v>71</v>
      </c>
      <c r="M30" s="48" t="s">
        <v>71</v>
      </c>
      <c r="N30" s="48" t="s">
        <v>71</v>
      </c>
      <c r="O30" s="48" t="s">
        <v>71</v>
      </c>
      <c r="P30" s="62" t="s">
        <v>71</v>
      </c>
      <c r="Q30" s="83">
        <v>45692</v>
      </c>
      <c r="R30" s="59"/>
      <c r="S30" s="84"/>
      <c r="T30" s="85" t="s">
        <v>967</v>
      </c>
      <c r="U30" s="100"/>
      <c r="V30" s="126"/>
    </row>
    <row r="31" spans="2:22" ht="28.2" customHeight="1" x14ac:dyDescent="0.35">
      <c r="B31" s="122"/>
      <c r="C31" s="123"/>
      <c r="D31" s="234"/>
      <c r="E31" s="89">
        <f t="shared" si="0"/>
        <v>28</v>
      </c>
      <c r="F31" s="90"/>
      <c r="G31" s="91" t="s">
        <v>136</v>
      </c>
      <c r="H31" s="48" t="s">
        <v>948</v>
      </c>
      <c r="I31" s="48" t="s">
        <v>71</v>
      </c>
      <c r="J31" s="48" t="s">
        <v>71</v>
      </c>
      <c r="K31" s="48" t="s">
        <v>71</v>
      </c>
      <c r="L31" s="48" t="s">
        <v>71</v>
      </c>
      <c r="M31" s="48" t="s">
        <v>71</v>
      </c>
      <c r="N31" s="48" t="s">
        <v>71</v>
      </c>
      <c r="O31" s="48" t="s">
        <v>71</v>
      </c>
      <c r="P31" s="62" t="s">
        <v>71</v>
      </c>
      <c r="Q31" s="83">
        <v>45692</v>
      </c>
      <c r="R31" s="59"/>
      <c r="S31" s="84"/>
      <c r="T31" s="85" t="s">
        <v>967</v>
      </c>
      <c r="U31" s="100"/>
      <c r="V31" s="126"/>
    </row>
    <row r="32" spans="2:22" ht="28.2" customHeight="1" x14ac:dyDescent="0.35">
      <c r="B32" s="122"/>
      <c r="C32" s="123"/>
      <c r="D32" s="93" t="s">
        <v>137</v>
      </c>
      <c r="E32" s="94">
        <f t="shared" si="0"/>
        <v>29</v>
      </c>
      <c r="F32" s="95"/>
      <c r="G32" s="96" t="s">
        <v>138</v>
      </c>
      <c r="H32" s="79" t="s">
        <v>103</v>
      </c>
      <c r="I32" s="50" t="s">
        <v>71</v>
      </c>
      <c r="J32" s="50" t="s">
        <v>71</v>
      </c>
      <c r="K32" s="50" t="s">
        <v>103</v>
      </c>
      <c r="L32" s="50" t="s">
        <v>71</v>
      </c>
      <c r="M32" s="50" t="s">
        <v>71</v>
      </c>
      <c r="N32" s="50" t="s">
        <v>71</v>
      </c>
      <c r="O32" s="50" t="s">
        <v>71</v>
      </c>
      <c r="P32" s="63" t="s">
        <v>71</v>
      </c>
      <c r="Q32" s="65"/>
      <c r="R32" s="51"/>
      <c r="S32" s="67"/>
      <c r="T32" s="322"/>
      <c r="U32" s="102" t="s">
        <v>139</v>
      </c>
    </row>
    <row r="33" spans="2:22" ht="28.2" customHeight="1" x14ac:dyDescent="0.35">
      <c r="B33" s="122"/>
      <c r="C33" s="123"/>
      <c r="D33" s="93" t="s">
        <v>140</v>
      </c>
      <c r="E33" s="94">
        <f t="shared" si="0"/>
        <v>30</v>
      </c>
      <c r="F33" s="95"/>
      <c r="G33" s="96" t="s">
        <v>141</v>
      </c>
      <c r="H33" s="79" t="s">
        <v>103</v>
      </c>
      <c r="I33" s="50" t="s">
        <v>103</v>
      </c>
      <c r="J33" s="50" t="s">
        <v>71</v>
      </c>
      <c r="K33" s="50" t="s">
        <v>103</v>
      </c>
      <c r="L33" s="50" t="s">
        <v>71</v>
      </c>
      <c r="M33" s="50" t="s">
        <v>71</v>
      </c>
      <c r="N33" s="50" t="s">
        <v>71</v>
      </c>
      <c r="O33" s="50" t="s">
        <v>71</v>
      </c>
      <c r="P33" s="63" t="s">
        <v>71</v>
      </c>
      <c r="Q33" s="65"/>
      <c r="R33" s="51"/>
      <c r="S33" s="67"/>
      <c r="T33" s="322"/>
      <c r="U33" s="102" t="s">
        <v>114</v>
      </c>
    </row>
    <row r="34" spans="2:22" ht="28.2" customHeight="1" x14ac:dyDescent="0.35">
      <c r="B34" s="122"/>
      <c r="C34" s="123"/>
      <c r="D34" s="88" t="s">
        <v>142</v>
      </c>
      <c r="E34" s="89">
        <f t="shared" si="0"/>
        <v>31</v>
      </c>
      <c r="F34" s="90"/>
      <c r="G34" s="91" t="s">
        <v>143</v>
      </c>
      <c r="H34" s="48" t="s">
        <v>948</v>
      </c>
      <c r="I34" s="48" t="s">
        <v>71</v>
      </c>
      <c r="J34" s="48" t="s">
        <v>71</v>
      </c>
      <c r="K34" s="48" t="s">
        <v>71</v>
      </c>
      <c r="L34" s="48" t="s">
        <v>71</v>
      </c>
      <c r="M34" s="48" t="s">
        <v>71</v>
      </c>
      <c r="N34" s="48" t="s">
        <v>71</v>
      </c>
      <c r="O34" s="48" t="s">
        <v>71</v>
      </c>
      <c r="P34" s="62" t="s">
        <v>71</v>
      </c>
      <c r="Q34" s="83">
        <v>45692</v>
      </c>
      <c r="R34" s="59"/>
      <c r="S34" s="84"/>
      <c r="T34" s="85" t="s">
        <v>967</v>
      </c>
      <c r="U34" s="100"/>
    </row>
    <row r="35" spans="2:22" ht="28.2" customHeight="1" x14ac:dyDescent="0.35">
      <c r="B35" s="122"/>
      <c r="C35" s="123"/>
      <c r="D35" s="88" t="s">
        <v>144</v>
      </c>
      <c r="E35" s="89">
        <f t="shared" si="0"/>
        <v>32</v>
      </c>
      <c r="F35" s="90"/>
      <c r="G35" s="91" t="s">
        <v>143</v>
      </c>
      <c r="H35" s="48" t="s">
        <v>948</v>
      </c>
      <c r="I35" s="48" t="s">
        <v>71</v>
      </c>
      <c r="J35" s="48" t="s">
        <v>71</v>
      </c>
      <c r="K35" s="48" t="s">
        <v>71</v>
      </c>
      <c r="L35" s="48" t="s">
        <v>71</v>
      </c>
      <c r="M35" s="48" t="s">
        <v>71</v>
      </c>
      <c r="N35" s="48" t="s">
        <v>71</v>
      </c>
      <c r="O35" s="48" t="s">
        <v>71</v>
      </c>
      <c r="P35" s="62" t="s">
        <v>71</v>
      </c>
      <c r="Q35" s="83">
        <v>45692</v>
      </c>
      <c r="R35" s="59"/>
      <c r="S35" s="84"/>
      <c r="T35" s="85" t="s">
        <v>967</v>
      </c>
      <c r="U35" s="100"/>
    </row>
    <row r="36" spans="2:22" ht="28.2" customHeight="1" x14ac:dyDescent="0.35">
      <c r="B36" s="122"/>
      <c r="C36" s="123"/>
      <c r="D36" s="93" t="s">
        <v>145</v>
      </c>
      <c r="E36" s="94">
        <f t="shared" si="0"/>
        <v>33</v>
      </c>
      <c r="F36" s="95"/>
      <c r="G36" s="96" t="s">
        <v>143</v>
      </c>
      <c r="H36" s="79" t="s">
        <v>103</v>
      </c>
      <c r="I36" s="50" t="s">
        <v>103</v>
      </c>
      <c r="J36" s="50" t="s">
        <v>71</v>
      </c>
      <c r="K36" s="50" t="s">
        <v>71</v>
      </c>
      <c r="L36" s="50" t="s">
        <v>71</v>
      </c>
      <c r="M36" s="50" t="s">
        <v>71</v>
      </c>
      <c r="N36" s="50" t="s">
        <v>71</v>
      </c>
      <c r="O36" s="50" t="s">
        <v>71</v>
      </c>
      <c r="P36" s="63" t="s">
        <v>71</v>
      </c>
      <c r="Q36" s="65"/>
      <c r="R36" s="51"/>
      <c r="S36" s="67"/>
      <c r="T36" s="322"/>
      <c r="U36" s="102" t="s">
        <v>114</v>
      </c>
    </row>
    <row r="37" spans="2:22" ht="28.2" customHeight="1" x14ac:dyDescent="0.35">
      <c r="B37" s="122"/>
      <c r="C37" s="123"/>
      <c r="D37" s="93" t="s">
        <v>146</v>
      </c>
      <c r="E37" s="94">
        <f t="shared" si="0"/>
        <v>34</v>
      </c>
      <c r="F37" s="95"/>
      <c r="G37" s="96" t="s">
        <v>143</v>
      </c>
      <c r="H37" s="79" t="s">
        <v>103</v>
      </c>
      <c r="I37" s="50" t="s">
        <v>103</v>
      </c>
      <c r="J37" s="50" t="s">
        <v>71</v>
      </c>
      <c r="K37" s="50" t="s">
        <v>71</v>
      </c>
      <c r="L37" s="50" t="s">
        <v>71</v>
      </c>
      <c r="M37" s="50" t="s">
        <v>71</v>
      </c>
      <c r="N37" s="50" t="s">
        <v>71</v>
      </c>
      <c r="O37" s="50" t="s">
        <v>71</v>
      </c>
      <c r="P37" s="63" t="s">
        <v>71</v>
      </c>
      <c r="Q37" s="65"/>
      <c r="R37" s="51"/>
      <c r="S37" s="67"/>
      <c r="T37" s="322"/>
      <c r="U37" s="102" t="s">
        <v>114</v>
      </c>
    </row>
    <row r="38" spans="2:22" ht="28.2" customHeight="1" x14ac:dyDescent="0.35">
      <c r="B38" s="122"/>
      <c r="C38" s="123"/>
      <c r="D38" s="88" t="s">
        <v>147</v>
      </c>
      <c r="E38" s="89">
        <f t="shared" si="0"/>
        <v>35</v>
      </c>
      <c r="F38" s="90"/>
      <c r="G38" s="91" t="s">
        <v>148</v>
      </c>
      <c r="H38" s="48" t="s">
        <v>948</v>
      </c>
      <c r="I38" s="48" t="s">
        <v>71</v>
      </c>
      <c r="J38" s="48" t="s">
        <v>71</v>
      </c>
      <c r="K38" s="48" t="s">
        <v>948</v>
      </c>
      <c r="L38" s="48" t="s">
        <v>71</v>
      </c>
      <c r="M38" s="48" t="s">
        <v>71</v>
      </c>
      <c r="N38" s="48" t="s">
        <v>71</v>
      </c>
      <c r="O38" s="48" t="s">
        <v>71</v>
      </c>
      <c r="P38" s="62" t="s">
        <v>71</v>
      </c>
      <c r="Q38" s="83">
        <v>45692</v>
      </c>
      <c r="R38" s="59"/>
      <c r="S38" s="84"/>
      <c r="T38" s="85" t="s">
        <v>967</v>
      </c>
      <c r="U38" s="100"/>
    </row>
    <row r="39" spans="2:22" ht="28.2" customHeight="1" x14ac:dyDescent="0.35">
      <c r="B39" s="122"/>
      <c r="C39" s="124" t="s">
        <v>149</v>
      </c>
      <c r="D39" s="88" t="s">
        <v>150</v>
      </c>
      <c r="E39" s="89">
        <f t="shared" si="0"/>
        <v>36</v>
      </c>
      <c r="F39" s="97"/>
      <c r="G39" s="91" t="s">
        <v>148</v>
      </c>
      <c r="H39" s="48" t="s">
        <v>948</v>
      </c>
      <c r="I39" s="48" t="s">
        <v>71</v>
      </c>
      <c r="J39" s="48" t="s">
        <v>71</v>
      </c>
      <c r="K39" s="48" t="s">
        <v>71</v>
      </c>
      <c r="L39" s="48" t="s">
        <v>71</v>
      </c>
      <c r="M39" s="48" t="s">
        <v>71</v>
      </c>
      <c r="N39" s="48" t="s">
        <v>71</v>
      </c>
      <c r="O39" s="48" t="s">
        <v>103</v>
      </c>
      <c r="P39" s="62" t="s">
        <v>71</v>
      </c>
      <c r="Q39" s="83">
        <v>45692</v>
      </c>
      <c r="R39" s="59"/>
      <c r="S39" s="84"/>
      <c r="T39" s="85" t="s">
        <v>967</v>
      </c>
      <c r="U39" s="100"/>
      <c r="V39" s="126"/>
    </row>
    <row r="40" spans="2:22" ht="48.6" customHeight="1" x14ac:dyDescent="0.35">
      <c r="B40" s="122"/>
      <c r="C40" s="123"/>
      <c r="D40" s="88" t="s">
        <v>151</v>
      </c>
      <c r="E40" s="89">
        <f t="shared" si="0"/>
        <v>37</v>
      </c>
      <c r="F40" s="97" t="s">
        <v>152</v>
      </c>
      <c r="G40" s="91" t="s">
        <v>148</v>
      </c>
      <c r="H40" s="48" t="s">
        <v>948</v>
      </c>
      <c r="I40" s="48" t="s">
        <v>71</v>
      </c>
      <c r="J40" s="48" t="s">
        <v>71</v>
      </c>
      <c r="K40" s="48" t="s">
        <v>71</v>
      </c>
      <c r="L40" s="48" t="s">
        <v>71</v>
      </c>
      <c r="M40" s="48" t="s">
        <v>71</v>
      </c>
      <c r="N40" s="48" t="s">
        <v>71</v>
      </c>
      <c r="O40" s="48" t="s">
        <v>71</v>
      </c>
      <c r="P40" s="62" t="s">
        <v>71</v>
      </c>
      <c r="Q40" s="83">
        <v>45692</v>
      </c>
      <c r="R40" s="59"/>
      <c r="S40" s="84"/>
      <c r="T40" s="85" t="s">
        <v>967</v>
      </c>
      <c r="U40" s="100"/>
      <c r="V40" s="126"/>
    </row>
    <row r="41" spans="2:22" ht="28.2" customHeight="1" x14ac:dyDescent="0.35">
      <c r="B41" s="122"/>
      <c r="C41" s="123"/>
      <c r="D41" s="88" t="s">
        <v>153</v>
      </c>
      <c r="E41" s="89">
        <f t="shared" si="0"/>
        <v>38</v>
      </c>
      <c r="F41" s="97"/>
      <c r="G41" s="91" t="s">
        <v>154</v>
      </c>
      <c r="H41" s="48" t="s">
        <v>948</v>
      </c>
      <c r="I41" s="48" t="s">
        <v>71</v>
      </c>
      <c r="J41" s="48" t="s">
        <v>71</v>
      </c>
      <c r="K41" s="48" t="s">
        <v>71</v>
      </c>
      <c r="L41" s="48" t="s">
        <v>71</v>
      </c>
      <c r="M41" s="48" t="s">
        <v>71</v>
      </c>
      <c r="N41" s="48" t="s">
        <v>71</v>
      </c>
      <c r="O41" s="48" t="s">
        <v>71</v>
      </c>
      <c r="P41" s="62" t="s">
        <v>71</v>
      </c>
      <c r="Q41" s="83">
        <v>45692</v>
      </c>
      <c r="R41" s="59"/>
      <c r="S41" s="84"/>
      <c r="T41" s="85" t="s">
        <v>967</v>
      </c>
      <c r="U41" s="100"/>
    </row>
    <row r="42" spans="2:22" ht="28.2" customHeight="1" x14ac:dyDescent="0.35">
      <c r="B42" s="122"/>
      <c r="C42" s="123"/>
      <c r="D42" s="88" t="s">
        <v>155</v>
      </c>
      <c r="E42" s="89">
        <f t="shared" si="0"/>
        <v>39</v>
      </c>
      <c r="F42" s="97"/>
      <c r="G42" s="91" t="s">
        <v>148</v>
      </c>
      <c r="H42" s="48" t="s">
        <v>948</v>
      </c>
      <c r="I42" s="48" t="s">
        <v>71</v>
      </c>
      <c r="J42" s="48" t="s">
        <v>71</v>
      </c>
      <c r="K42" s="48" t="s">
        <v>71</v>
      </c>
      <c r="L42" s="48" t="s">
        <v>71</v>
      </c>
      <c r="M42" s="48" t="s">
        <v>71</v>
      </c>
      <c r="N42" s="48" t="s">
        <v>71</v>
      </c>
      <c r="O42" s="48" t="s">
        <v>71</v>
      </c>
      <c r="P42" s="62" t="s">
        <v>71</v>
      </c>
      <c r="Q42" s="83">
        <v>45692</v>
      </c>
      <c r="R42" s="59"/>
      <c r="S42" s="84"/>
      <c r="T42" s="85" t="s">
        <v>967</v>
      </c>
      <c r="U42" s="100"/>
      <c r="V42" s="126"/>
    </row>
    <row r="43" spans="2:22" ht="28.2" customHeight="1" x14ac:dyDescent="0.35">
      <c r="B43" s="122"/>
      <c r="C43" s="123"/>
      <c r="D43" s="328" t="s">
        <v>156</v>
      </c>
      <c r="E43" s="94">
        <f t="shared" si="0"/>
        <v>40</v>
      </c>
      <c r="F43" s="95" t="s">
        <v>157</v>
      </c>
      <c r="G43" s="96" t="s">
        <v>148</v>
      </c>
      <c r="H43" s="50" t="s">
        <v>71</v>
      </c>
      <c r="I43" s="50" t="s">
        <v>71</v>
      </c>
      <c r="J43" s="50" t="s">
        <v>71</v>
      </c>
      <c r="K43" s="50" t="s">
        <v>71</v>
      </c>
      <c r="L43" s="50" t="s">
        <v>71</v>
      </c>
      <c r="M43" s="50" t="s">
        <v>71</v>
      </c>
      <c r="N43" s="50" t="s">
        <v>71</v>
      </c>
      <c r="O43" s="50" t="s">
        <v>71</v>
      </c>
      <c r="P43" s="63" t="s">
        <v>71</v>
      </c>
      <c r="Q43" s="65"/>
      <c r="R43" s="51"/>
      <c r="S43" s="67"/>
      <c r="T43" s="322"/>
      <c r="U43" s="102" t="s">
        <v>158</v>
      </c>
      <c r="V43" s="126"/>
    </row>
    <row r="44" spans="2:22" ht="37.950000000000003" customHeight="1" x14ac:dyDescent="0.35">
      <c r="B44" s="122"/>
      <c r="C44" s="123"/>
      <c r="D44" s="88" t="s">
        <v>159</v>
      </c>
      <c r="E44" s="89">
        <f t="shared" si="0"/>
        <v>41</v>
      </c>
      <c r="F44" s="97" t="s">
        <v>160</v>
      </c>
      <c r="G44" s="91" t="s">
        <v>148</v>
      </c>
      <c r="H44" s="48" t="s">
        <v>948</v>
      </c>
      <c r="I44" s="48" t="s">
        <v>71</v>
      </c>
      <c r="J44" s="48" t="s">
        <v>71</v>
      </c>
      <c r="K44" s="48" t="s">
        <v>71</v>
      </c>
      <c r="L44" s="48" t="s">
        <v>71</v>
      </c>
      <c r="M44" s="48" t="s">
        <v>71</v>
      </c>
      <c r="N44" s="48" t="s">
        <v>71</v>
      </c>
      <c r="O44" s="48" t="s">
        <v>71</v>
      </c>
      <c r="P44" s="62" t="s">
        <v>71</v>
      </c>
      <c r="Q44" s="83">
        <v>45692</v>
      </c>
      <c r="R44" s="59"/>
      <c r="S44" s="84"/>
      <c r="T44" s="85" t="s">
        <v>967</v>
      </c>
      <c r="U44" s="101"/>
    </row>
    <row r="45" spans="2:22" ht="28.2" customHeight="1" x14ac:dyDescent="0.35">
      <c r="B45" s="122"/>
      <c r="C45" s="123"/>
      <c r="D45" s="88" t="s">
        <v>161</v>
      </c>
      <c r="E45" s="89">
        <f t="shared" si="0"/>
        <v>42</v>
      </c>
      <c r="F45" s="97" t="s">
        <v>162</v>
      </c>
      <c r="G45" s="91" t="s">
        <v>148</v>
      </c>
      <c r="H45" s="48" t="s">
        <v>948</v>
      </c>
      <c r="I45" s="48" t="s">
        <v>71</v>
      </c>
      <c r="J45" s="48" t="s">
        <v>71</v>
      </c>
      <c r="K45" s="48" t="s">
        <v>71</v>
      </c>
      <c r="L45" s="48" t="s">
        <v>71</v>
      </c>
      <c r="M45" s="48" t="s">
        <v>71</v>
      </c>
      <c r="N45" s="48" t="s">
        <v>71</v>
      </c>
      <c r="O45" s="48" t="s">
        <v>71</v>
      </c>
      <c r="P45" s="62" t="s">
        <v>71</v>
      </c>
      <c r="Q45" s="83">
        <v>45692</v>
      </c>
      <c r="R45" s="59"/>
      <c r="S45" s="84"/>
      <c r="T45" s="85" t="s">
        <v>967</v>
      </c>
      <c r="U45" s="100"/>
    </row>
    <row r="46" spans="2:22" ht="36" customHeight="1" x14ac:dyDescent="0.35">
      <c r="B46" s="122"/>
      <c r="C46" s="123"/>
      <c r="D46" s="233" t="s">
        <v>163</v>
      </c>
      <c r="E46" s="94">
        <f t="shared" si="0"/>
        <v>43</v>
      </c>
      <c r="F46" s="95" t="s">
        <v>164</v>
      </c>
      <c r="G46" s="96" t="s">
        <v>148</v>
      </c>
      <c r="H46" s="50" t="s">
        <v>71</v>
      </c>
      <c r="I46" s="50" t="s">
        <v>71</v>
      </c>
      <c r="J46" s="50" t="s">
        <v>71</v>
      </c>
      <c r="K46" s="50" t="s">
        <v>71</v>
      </c>
      <c r="L46" s="50" t="s">
        <v>71</v>
      </c>
      <c r="M46" s="50" t="s">
        <v>71</v>
      </c>
      <c r="N46" s="50" t="s">
        <v>71</v>
      </c>
      <c r="O46" s="50" t="s">
        <v>71</v>
      </c>
      <c r="P46" s="63" t="s">
        <v>71</v>
      </c>
      <c r="Q46" s="329"/>
      <c r="R46" s="379"/>
      <c r="S46" s="380"/>
      <c r="T46" s="322"/>
      <c r="U46" s="326" t="s">
        <v>165</v>
      </c>
    </row>
    <row r="47" spans="2:22" ht="36" customHeight="1" x14ac:dyDescent="0.35">
      <c r="B47" s="122"/>
      <c r="C47" s="123"/>
      <c r="D47" s="234"/>
      <c r="E47" s="89">
        <f t="shared" si="0"/>
        <v>44</v>
      </c>
      <c r="F47" s="97" t="s">
        <v>166</v>
      </c>
      <c r="G47" s="91" t="s">
        <v>167</v>
      </c>
      <c r="H47" s="48" t="s">
        <v>948</v>
      </c>
      <c r="I47" s="48" t="s">
        <v>71</v>
      </c>
      <c r="J47" s="48" t="s">
        <v>71</v>
      </c>
      <c r="K47" s="48" t="s">
        <v>948</v>
      </c>
      <c r="L47" s="48" t="s">
        <v>71</v>
      </c>
      <c r="M47" s="48" t="s">
        <v>71</v>
      </c>
      <c r="N47" s="48" t="s">
        <v>71</v>
      </c>
      <c r="O47" s="48" t="s">
        <v>71</v>
      </c>
      <c r="P47" s="62" t="s">
        <v>71</v>
      </c>
      <c r="Q47" s="83">
        <v>45692</v>
      </c>
      <c r="R47" s="59"/>
      <c r="S47" s="84"/>
      <c r="T47" s="85" t="s">
        <v>967</v>
      </c>
      <c r="U47" s="100"/>
    </row>
    <row r="48" spans="2:22" ht="52.95" customHeight="1" x14ac:dyDescent="0.35">
      <c r="B48" s="122"/>
      <c r="C48" s="123"/>
      <c r="D48" s="240"/>
      <c r="E48" s="89">
        <f t="shared" si="0"/>
        <v>45</v>
      </c>
      <c r="F48" s="97" t="s">
        <v>168</v>
      </c>
      <c r="G48" s="91" t="s">
        <v>169</v>
      </c>
      <c r="H48" s="48" t="s">
        <v>948</v>
      </c>
      <c r="I48" s="48" t="s">
        <v>71</v>
      </c>
      <c r="J48" s="48" t="s">
        <v>71</v>
      </c>
      <c r="K48" s="48" t="s">
        <v>71</v>
      </c>
      <c r="L48" s="48" t="s">
        <v>71</v>
      </c>
      <c r="M48" s="48" t="s">
        <v>71</v>
      </c>
      <c r="N48" s="48" t="s">
        <v>71</v>
      </c>
      <c r="O48" s="48" t="s">
        <v>71</v>
      </c>
      <c r="P48" s="62" t="s">
        <v>71</v>
      </c>
      <c r="Q48" s="83">
        <v>45692</v>
      </c>
      <c r="R48" s="59"/>
      <c r="S48" s="84"/>
      <c r="T48" s="85" t="s">
        <v>967</v>
      </c>
      <c r="U48" s="100"/>
    </row>
    <row r="49" spans="2:22" ht="28.2" customHeight="1" x14ac:dyDescent="0.35">
      <c r="B49" s="122"/>
      <c r="C49" s="320" t="s">
        <v>170</v>
      </c>
      <c r="D49" s="93" t="s">
        <v>171</v>
      </c>
      <c r="E49" s="94">
        <f t="shared" si="0"/>
        <v>46</v>
      </c>
      <c r="F49" s="95"/>
      <c r="G49" s="96" t="s">
        <v>172</v>
      </c>
      <c r="H49" s="79" t="s">
        <v>103</v>
      </c>
      <c r="I49" s="50" t="s">
        <v>103</v>
      </c>
      <c r="J49" s="50" t="s">
        <v>71</v>
      </c>
      <c r="K49" s="50" t="s">
        <v>71</v>
      </c>
      <c r="L49" s="50" t="s">
        <v>71</v>
      </c>
      <c r="M49" s="50" t="s">
        <v>71</v>
      </c>
      <c r="N49" s="50" t="s">
        <v>71</v>
      </c>
      <c r="O49" s="50" t="s">
        <v>71</v>
      </c>
      <c r="P49" s="63" t="s">
        <v>71</v>
      </c>
      <c r="Q49" s="65"/>
      <c r="R49" s="51"/>
      <c r="S49" s="67"/>
      <c r="T49" s="322"/>
      <c r="U49" s="102" t="s">
        <v>114</v>
      </c>
    </row>
    <row r="50" spans="2:22" ht="28.2" customHeight="1" x14ac:dyDescent="0.35">
      <c r="B50" s="122"/>
      <c r="C50" s="330"/>
      <c r="D50" s="331" t="s">
        <v>171</v>
      </c>
      <c r="E50" s="94">
        <f t="shared" si="0"/>
        <v>47</v>
      </c>
      <c r="F50" s="95"/>
      <c r="G50" s="96" t="s">
        <v>172</v>
      </c>
      <c r="H50" s="79" t="s">
        <v>103</v>
      </c>
      <c r="I50" s="50" t="s">
        <v>103</v>
      </c>
      <c r="J50" s="50" t="s">
        <v>71</v>
      </c>
      <c r="K50" s="50" t="s">
        <v>71</v>
      </c>
      <c r="L50" s="50" t="s">
        <v>71</v>
      </c>
      <c r="M50" s="50" t="s">
        <v>71</v>
      </c>
      <c r="N50" s="50" t="s">
        <v>71</v>
      </c>
      <c r="O50" s="50" t="s">
        <v>71</v>
      </c>
      <c r="P50" s="63" t="s">
        <v>71</v>
      </c>
      <c r="Q50" s="65"/>
      <c r="R50" s="51"/>
      <c r="S50" s="67"/>
      <c r="T50" s="322"/>
      <c r="U50" s="102" t="s">
        <v>114</v>
      </c>
    </row>
    <row r="51" spans="2:22" ht="28.2" customHeight="1" x14ac:dyDescent="0.35">
      <c r="B51" s="122"/>
      <c r="C51" s="330"/>
      <c r="D51" s="337"/>
      <c r="E51" s="94">
        <f t="shared" si="0"/>
        <v>48</v>
      </c>
      <c r="F51" s="95"/>
      <c r="G51" s="96" t="s">
        <v>173</v>
      </c>
      <c r="H51" s="79" t="s">
        <v>103</v>
      </c>
      <c r="I51" s="50" t="s">
        <v>103</v>
      </c>
      <c r="J51" s="50" t="s">
        <v>71</v>
      </c>
      <c r="K51" s="50" t="s">
        <v>71</v>
      </c>
      <c r="L51" s="50" t="s">
        <v>71</v>
      </c>
      <c r="M51" s="50" t="s">
        <v>71</v>
      </c>
      <c r="N51" s="50" t="s">
        <v>71</v>
      </c>
      <c r="O51" s="50" t="s">
        <v>71</v>
      </c>
      <c r="P51" s="63" t="s">
        <v>71</v>
      </c>
      <c r="Q51" s="65"/>
      <c r="R51" s="51"/>
      <c r="S51" s="67"/>
      <c r="T51" s="322"/>
      <c r="U51" s="102" t="s">
        <v>114</v>
      </c>
    </row>
    <row r="52" spans="2:22" ht="28.2" customHeight="1" x14ac:dyDescent="0.35">
      <c r="B52" s="122"/>
      <c r="C52" s="124" t="s">
        <v>174</v>
      </c>
      <c r="D52" s="88" t="s">
        <v>175</v>
      </c>
      <c r="E52" s="89">
        <f t="shared" si="0"/>
        <v>49</v>
      </c>
      <c r="F52" s="90"/>
      <c r="G52" s="91" t="s">
        <v>176</v>
      </c>
      <c r="H52" s="48" t="s">
        <v>948</v>
      </c>
      <c r="I52" s="48" t="s">
        <v>71</v>
      </c>
      <c r="J52" s="48" t="s">
        <v>71</v>
      </c>
      <c r="K52" s="48" t="s">
        <v>71</v>
      </c>
      <c r="L52" s="48" t="s">
        <v>71</v>
      </c>
      <c r="M52" s="48" t="s">
        <v>71</v>
      </c>
      <c r="N52" s="48" t="s">
        <v>71</v>
      </c>
      <c r="O52" s="48" t="s">
        <v>71</v>
      </c>
      <c r="P52" s="62" t="s">
        <v>71</v>
      </c>
      <c r="Q52" s="83">
        <v>45692</v>
      </c>
      <c r="R52" s="59"/>
      <c r="S52" s="84"/>
      <c r="T52" s="85" t="s">
        <v>967</v>
      </c>
      <c r="U52" s="100"/>
    </row>
    <row r="53" spans="2:22" ht="28.2" customHeight="1" x14ac:dyDescent="0.35">
      <c r="B53" s="122"/>
      <c r="C53" s="123"/>
      <c r="D53" s="93" t="s">
        <v>177</v>
      </c>
      <c r="E53" s="94">
        <f t="shared" si="0"/>
        <v>50</v>
      </c>
      <c r="F53" s="95"/>
      <c r="G53" s="96" t="s">
        <v>178</v>
      </c>
      <c r="H53" s="50" t="s">
        <v>71</v>
      </c>
      <c r="I53" s="50" t="s">
        <v>71</v>
      </c>
      <c r="J53" s="50" t="s">
        <v>71</v>
      </c>
      <c r="K53" s="50" t="s">
        <v>71</v>
      </c>
      <c r="L53" s="50" t="s">
        <v>71</v>
      </c>
      <c r="M53" s="50" t="s">
        <v>71</v>
      </c>
      <c r="N53" s="50" t="s">
        <v>103</v>
      </c>
      <c r="O53" s="50" t="s">
        <v>71</v>
      </c>
      <c r="P53" s="63" t="s">
        <v>71</v>
      </c>
      <c r="Q53" s="329"/>
      <c r="R53" s="379"/>
      <c r="S53" s="380"/>
      <c r="T53" s="322"/>
      <c r="U53" s="326" t="s">
        <v>165</v>
      </c>
    </row>
    <row r="54" spans="2:22" ht="28.2" customHeight="1" x14ac:dyDescent="0.35">
      <c r="B54" s="122"/>
      <c r="C54" s="123"/>
      <c r="D54" s="230" t="s">
        <v>179</v>
      </c>
      <c r="E54" s="231">
        <f t="shared" si="0"/>
        <v>51</v>
      </c>
      <c r="F54" s="97"/>
      <c r="G54" s="91" t="s">
        <v>180</v>
      </c>
      <c r="H54" s="48" t="s">
        <v>72</v>
      </c>
      <c r="I54" s="339" t="s">
        <v>71</v>
      </c>
      <c r="J54" s="339" t="s">
        <v>71</v>
      </c>
      <c r="K54" s="339" t="s">
        <v>71</v>
      </c>
      <c r="L54" s="339" t="s">
        <v>71</v>
      </c>
      <c r="M54" s="339" t="s">
        <v>71</v>
      </c>
      <c r="N54" s="339" t="s">
        <v>71</v>
      </c>
      <c r="O54" s="339" t="s">
        <v>71</v>
      </c>
      <c r="P54" s="343" t="s">
        <v>71</v>
      </c>
      <c r="Q54" s="424"/>
      <c r="R54" s="425"/>
      <c r="S54" s="426"/>
      <c r="T54" s="407"/>
      <c r="U54" s="341"/>
    </row>
    <row r="55" spans="2:22" ht="28.2" customHeight="1" x14ac:dyDescent="0.35">
      <c r="B55" s="122"/>
      <c r="C55" s="123"/>
      <c r="D55" s="93" t="s">
        <v>181</v>
      </c>
      <c r="E55" s="94">
        <f t="shared" si="0"/>
        <v>52</v>
      </c>
      <c r="F55" s="95"/>
      <c r="G55" s="96" t="s">
        <v>182</v>
      </c>
      <c r="H55" s="79" t="s">
        <v>71</v>
      </c>
      <c r="I55" s="50" t="s">
        <v>71</v>
      </c>
      <c r="J55" s="50" t="s">
        <v>71</v>
      </c>
      <c r="K55" s="50" t="s">
        <v>71</v>
      </c>
      <c r="L55" s="50" t="s">
        <v>71</v>
      </c>
      <c r="M55" s="50" t="s">
        <v>71</v>
      </c>
      <c r="N55" s="50" t="s">
        <v>71</v>
      </c>
      <c r="O55" s="50" t="s">
        <v>71</v>
      </c>
      <c r="P55" s="63" t="s">
        <v>71</v>
      </c>
      <c r="Q55" s="65"/>
      <c r="R55" s="51"/>
      <c r="S55" s="67"/>
      <c r="T55" s="69"/>
      <c r="U55" s="102" t="s">
        <v>183</v>
      </c>
    </row>
    <row r="56" spans="2:22" ht="28.2" customHeight="1" x14ac:dyDescent="0.35">
      <c r="B56" s="122"/>
      <c r="C56" s="124" t="s">
        <v>184</v>
      </c>
      <c r="D56" s="88" t="s">
        <v>185</v>
      </c>
      <c r="E56" s="89">
        <f t="shared" si="0"/>
        <v>53</v>
      </c>
      <c r="F56" s="90"/>
      <c r="G56" s="91" t="s">
        <v>186</v>
      </c>
      <c r="H56" s="61" t="s">
        <v>71</v>
      </c>
      <c r="I56" s="48" t="s">
        <v>71</v>
      </c>
      <c r="J56" s="48" t="s">
        <v>71</v>
      </c>
      <c r="K56" s="48" t="s">
        <v>948</v>
      </c>
      <c r="L56" s="48" t="s">
        <v>71</v>
      </c>
      <c r="M56" s="48" t="s">
        <v>948</v>
      </c>
      <c r="N56" s="48" t="s">
        <v>71</v>
      </c>
      <c r="O56" s="48" t="s">
        <v>71</v>
      </c>
      <c r="P56" s="62" t="s">
        <v>71</v>
      </c>
      <c r="Q56" s="83">
        <v>45692</v>
      </c>
      <c r="R56" s="59"/>
      <c r="S56" s="84"/>
      <c r="T56" s="85" t="s">
        <v>967</v>
      </c>
      <c r="U56" s="101"/>
    </row>
    <row r="57" spans="2:22" ht="52.95" customHeight="1" x14ac:dyDescent="0.35">
      <c r="B57" s="122"/>
      <c r="C57" s="123"/>
      <c r="D57" s="88" t="s">
        <v>187</v>
      </c>
      <c r="E57" s="89">
        <f t="shared" si="0"/>
        <v>54</v>
      </c>
      <c r="F57" s="90" t="s">
        <v>188</v>
      </c>
      <c r="G57" s="338" t="s">
        <v>189</v>
      </c>
      <c r="H57" s="48" t="s">
        <v>948</v>
      </c>
      <c r="I57" s="48" t="s">
        <v>71</v>
      </c>
      <c r="J57" s="48" t="s">
        <v>71</v>
      </c>
      <c r="K57" s="48" t="s">
        <v>948</v>
      </c>
      <c r="L57" s="48" t="s">
        <v>71</v>
      </c>
      <c r="M57" s="48" t="s">
        <v>71</v>
      </c>
      <c r="N57" s="48" t="s">
        <v>71</v>
      </c>
      <c r="O57" s="48" t="s">
        <v>71</v>
      </c>
      <c r="P57" s="62" t="s">
        <v>71</v>
      </c>
      <c r="Q57" s="83">
        <v>45692</v>
      </c>
      <c r="R57" s="59"/>
      <c r="S57" s="84"/>
      <c r="T57" s="85" t="s">
        <v>967</v>
      </c>
      <c r="U57" s="100"/>
    </row>
    <row r="58" spans="2:22" ht="28.2" customHeight="1" x14ac:dyDescent="0.35">
      <c r="B58" s="122"/>
      <c r="C58" s="124" t="s">
        <v>190</v>
      </c>
      <c r="D58" s="88" t="s">
        <v>191</v>
      </c>
      <c r="E58" s="89">
        <f t="shared" si="0"/>
        <v>55</v>
      </c>
      <c r="F58" s="90"/>
      <c r="G58" s="91" t="s">
        <v>192</v>
      </c>
      <c r="H58" s="48" t="s">
        <v>948</v>
      </c>
      <c r="I58" s="339" t="s">
        <v>71</v>
      </c>
      <c r="J58" s="339" t="s">
        <v>71</v>
      </c>
      <c r="K58" s="339" t="s">
        <v>71</v>
      </c>
      <c r="L58" s="48" t="s">
        <v>71</v>
      </c>
      <c r="M58" s="48" t="s">
        <v>71</v>
      </c>
      <c r="N58" s="48" t="s">
        <v>71</v>
      </c>
      <c r="O58" s="48" t="s">
        <v>71</v>
      </c>
      <c r="P58" s="62" t="s">
        <v>71</v>
      </c>
      <c r="Q58" s="428">
        <v>45692</v>
      </c>
      <c r="R58" s="429"/>
      <c r="S58" s="430"/>
      <c r="T58" s="85"/>
      <c r="U58" s="100" t="s">
        <v>1014</v>
      </c>
    </row>
    <row r="59" spans="2:22" ht="28.2" customHeight="1" x14ac:dyDescent="0.35">
      <c r="B59" s="122"/>
      <c r="C59" s="123"/>
      <c r="D59" s="88" t="s">
        <v>193</v>
      </c>
      <c r="E59" s="89">
        <f t="shared" si="0"/>
        <v>56</v>
      </c>
      <c r="F59" s="90"/>
      <c r="G59" s="91" t="s">
        <v>194</v>
      </c>
      <c r="H59" s="48" t="s">
        <v>948</v>
      </c>
      <c r="I59" s="339" t="s">
        <v>71</v>
      </c>
      <c r="J59" s="339" t="s">
        <v>71</v>
      </c>
      <c r="K59" s="339" t="s">
        <v>71</v>
      </c>
      <c r="L59" s="48" t="s">
        <v>71</v>
      </c>
      <c r="M59" s="48" t="s">
        <v>71</v>
      </c>
      <c r="N59" s="48" t="s">
        <v>71</v>
      </c>
      <c r="O59" s="48" t="s">
        <v>71</v>
      </c>
      <c r="P59" s="62" t="s">
        <v>71</v>
      </c>
      <c r="Q59" s="428">
        <v>45692</v>
      </c>
      <c r="R59" s="429"/>
      <c r="S59" s="430"/>
      <c r="T59" s="85"/>
      <c r="U59" s="100" t="s">
        <v>1015</v>
      </c>
    </row>
    <row r="60" spans="2:22" ht="28.2" customHeight="1" x14ac:dyDescent="0.35">
      <c r="B60" s="122"/>
      <c r="C60" s="123"/>
      <c r="D60" s="88" t="s">
        <v>195</v>
      </c>
      <c r="E60" s="89">
        <f t="shared" si="0"/>
        <v>57</v>
      </c>
      <c r="F60" s="90"/>
      <c r="G60" s="91" t="s">
        <v>196</v>
      </c>
      <c r="H60" s="48" t="s">
        <v>948</v>
      </c>
      <c r="I60" s="339" t="s">
        <v>71</v>
      </c>
      <c r="J60" s="339" t="s">
        <v>71</v>
      </c>
      <c r="K60" s="339" t="s">
        <v>71</v>
      </c>
      <c r="L60" s="48" t="s">
        <v>71</v>
      </c>
      <c r="M60" s="48" t="s">
        <v>71</v>
      </c>
      <c r="N60" s="48" t="s">
        <v>71</v>
      </c>
      <c r="O60" s="48" t="s">
        <v>71</v>
      </c>
      <c r="P60" s="62" t="s">
        <v>71</v>
      </c>
      <c r="Q60" s="428">
        <v>45692</v>
      </c>
      <c r="R60" s="429"/>
      <c r="S60" s="430"/>
      <c r="T60" s="85"/>
      <c r="U60" s="100" t="s">
        <v>197</v>
      </c>
    </row>
    <row r="61" spans="2:22" ht="28.2" customHeight="1" x14ac:dyDescent="0.35">
      <c r="B61" s="122"/>
      <c r="C61" s="123"/>
      <c r="D61" s="88" t="s">
        <v>1017</v>
      </c>
      <c r="E61" s="89">
        <f t="shared" si="0"/>
        <v>58</v>
      </c>
      <c r="F61" s="90"/>
      <c r="G61" s="91" t="s">
        <v>199</v>
      </c>
      <c r="H61" s="48" t="s">
        <v>948</v>
      </c>
      <c r="I61" s="339" t="s">
        <v>71</v>
      </c>
      <c r="J61" s="339" t="s">
        <v>71</v>
      </c>
      <c r="K61" s="339" t="s">
        <v>71</v>
      </c>
      <c r="L61" s="48" t="s">
        <v>71</v>
      </c>
      <c r="M61" s="48" t="s">
        <v>71</v>
      </c>
      <c r="N61" s="48" t="s">
        <v>71</v>
      </c>
      <c r="O61" s="48" t="s">
        <v>71</v>
      </c>
      <c r="P61" s="62" t="s">
        <v>71</v>
      </c>
      <c r="Q61" s="428">
        <v>45692</v>
      </c>
      <c r="R61" s="429"/>
      <c r="S61" s="430"/>
      <c r="T61" s="85"/>
      <c r="U61" s="100"/>
    </row>
    <row r="62" spans="2:22" ht="28.2" customHeight="1" x14ac:dyDescent="0.35">
      <c r="B62" s="122"/>
      <c r="C62" s="123"/>
      <c r="D62" s="88" t="s">
        <v>200</v>
      </c>
      <c r="E62" s="89">
        <f t="shared" si="0"/>
        <v>59</v>
      </c>
      <c r="F62" s="90"/>
      <c r="G62" s="91" t="s">
        <v>201</v>
      </c>
      <c r="H62" s="48" t="s">
        <v>948</v>
      </c>
      <c r="I62" s="339" t="s">
        <v>71</v>
      </c>
      <c r="J62" s="339" t="s">
        <v>71</v>
      </c>
      <c r="K62" s="339" t="s">
        <v>71</v>
      </c>
      <c r="L62" s="48" t="s">
        <v>71</v>
      </c>
      <c r="M62" s="48" t="s">
        <v>71</v>
      </c>
      <c r="N62" s="48" t="s">
        <v>71</v>
      </c>
      <c r="O62" s="48" t="s">
        <v>71</v>
      </c>
      <c r="P62" s="62" t="s">
        <v>71</v>
      </c>
      <c r="Q62" s="428">
        <v>45692</v>
      </c>
      <c r="R62" s="429"/>
      <c r="S62" s="430"/>
      <c r="T62" s="85"/>
      <c r="U62" s="100"/>
      <c r="V62" s="126"/>
    </row>
    <row r="63" spans="2:22" ht="28.2" customHeight="1" x14ac:dyDescent="0.35">
      <c r="B63" s="122"/>
      <c r="C63" s="123"/>
      <c r="D63" s="88" t="s">
        <v>202</v>
      </c>
      <c r="E63" s="89">
        <f t="shared" si="0"/>
        <v>60</v>
      </c>
      <c r="F63" s="90"/>
      <c r="G63" s="91" t="s">
        <v>201</v>
      </c>
      <c r="H63" s="48" t="s">
        <v>948</v>
      </c>
      <c r="I63" s="339" t="s">
        <v>71</v>
      </c>
      <c r="J63" s="339" t="s">
        <v>71</v>
      </c>
      <c r="K63" s="339" t="s">
        <v>71</v>
      </c>
      <c r="L63" s="48" t="s">
        <v>71</v>
      </c>
      <c r="M63" s="48" t="s">
        <v>71</v>
      </c>
      <c r="N63" s="48" t="s">
        <v>71</v>
      </c>
      <c r="O63" s="48" t="s">
        <v>71</v>
      </c>
      <c r="P63" s="62" t="s">
        <v>71</v>
      </c>
      <c r="Q63" s="428">
        <v>45692</v>
      </c>
      <c r="R63" s="429"/>
      <c r="S63" s="430"/>
      <c r="T63" s="85"/>
      <c r="U63" s="100" t="s">
        <v>1016</v>
      </c>
      <c r="V63" s="126"/>
    </row>
    <row r="64" spans="2:22" ht="28.2" customHeight="1" x14ac:dyDescent="0.35">
      <c r="B64" s="122"/>
      <c r="C64" s="123"/>
      <c r="D64" s="88" t="s">
        <v>203</v>
      </c>
      <c r="E64" s="89">
        <f t="shared" si="0"/>
        <v>61</v>
      </c>
      <c r="F64" s="97"/>
      <c r="G64" s="91" t="s">
        <v>201</v>
      </c>
      <c r="H64" s="48" t="s">
        <v>948</v>
      </c>
      <c r="I64" s="339" t="s">
        <v>71</v>
      </c>
      <c r="J64" s="339" t="s">
        <v>71</v>
      </c>
      <c r="K64" s="339" t="s">
        <v>71</v>
      </c>
      <c r="L64" s="48" t="s">
        <v>71</v>
      </c>
      <c r="M64" s="48" t="s">
        <v>71</v>
      </c>
      <c r="N64" s="48" t="s">
        <v>71</v>
      </c>
      <c r="O64" s="48" t="s">
        <v>71</v>
      </c>
      <c r="P64" s="62" t="s">
        <v>71</v>
      </c>
      <c r="Q64" s="428">
        <v>45692</v>
      </c>
      <c r="R64" s="429"/>
      <c r="S64" s="430"/>
      <c r="T64" s="85"/>
      <c r="U64" s="100"/>
    </row>
    <row r="65" spans="2:22" ht="37.950000000000003" customHeight="1" x14ac:dyDescent="0.35">
      <c r="B65" s="122"/>
      <c r="C65" s="320" t="s">
        <v>204</v>
      </c>
      <c r="D65" s="328" t="s">
        <v>205</v>
      </c>
      <c r="E65" s="94">
        <f t="shared" si="0"/>
        <v>62</v>
      </c>
      <c r="F65" s="95"/>
      <c r="G65" s="96" t="s">
        <v>157</v>
      </c>
      <c r="H65" s="50" t="s">
        <v>71</v>
      </c>
      <c r="I65" s="50" t="s">
        <v>71</v>
      </c>
      <c r="J65" s="50" t="s">
        <v>71</v>
      </c>
      <c r="K65" s="50" t="s">
        <v>71</v>
      </c>
      <c r="L65" s="50" t="s">
        <v>71</v>
      </c>
      <c r="M65" s="50" t="s">
        <v>71</v>
      </c>
      <c r="N65" s="50" t="s">
        <v>71</v>
      </c>
      <c r="O65" s="50" t="s">
        <v>71</v>
      </c>
      <c r="P65" s="63" t="s">
        <v>71</v>
      </c>
      <c r="Q65" s="65"/>
      <c r="R65" s="51"/>
      <c r="S65" s="67"/>
      <c r="T65" s="322"/>
      <c r="U65" s="102" t="s">
        <v>158</v>
      </c>
    </row>
    <row r="66" spans="2:22" ht="37.950000000000003" customHeight="1" x14ac:dyDescent="0.35">
      <c r="B66" s="122"/>
      <c r="C66" s="330"/>
      <c r="D66" s="328" t="s">
        <v>206</v>
      </c>
      <c r="E66" s="94">
        <f t="shared" si="0"/>
        <v>63</v>
      </c>
      <c r="F66" s="95"/>
      <c r="G66" s="96" t="s">
        <v>157</v>
      </c>
      <c r="H66" s="50" t="s">
        <v>71</v>
      </c>
      <c r="I66" s="50" t="s">
        <v>71</v>
      </c>
      <c r="J66" s="50" t="s">
        <v>71</v>
      </c>
      <c r="K66" s="50" t="s">
        <v>71</v>
      </c>
      <c r="L66" s="50" t="s">
        <v>71</v>
      </c>
      <c r="M66" s="50" t="s">
        <v>71</v>
      </c>
      <c r="N66" s="50" t="s">
        <v>71</v>
      </c>
      <c r="O66" s="50" t="s">
        <v>71</v>
      </c>
      <c r="P66" s="63" t="s">
        <v>71</v>
      </c>
      <c r="Q66" s="65"/>
      <c r="R66" s="51"/>
      <c r="S66" s="67"/>
      <c r="T66" s="322"/>
      <c r="U66" s="102" t="s">
        <v>207</v>
      </c>
    </row>
    <row r="67" spans="2:22" ht="37.950000000000003" customHeight="1" x14ac:dyDescent="0.35">
      <c r="B67" s="122"/>
      <c r="C67" s="330"/>
      <c r="D67" s="328" t="s">
        <v>208</v>
      </c>
      <c r="E67" s="94">
        <f t="shared" ref="E67:E98" si="1">ROW()-3</f>
        <v>64</v>
      </c>
      <c r="F67" s="95"/>
      <c r="G67" s="96" t="s">
        <v>157</v>
      </c>
      <c r="H67" s="50" t="s">
        <v>71</v>
      </c>
      <c r="I67" s="50" t="s">
        <v>71</v>
      </c>
      <c r="J67" s="50" t="s">
        <v>71</v>
      </c>
      <c r="K67" s="50" t="s">
        <v>71</v>
      </c>
      <c r="L67" s="50" t="s">
        <v>71</v>
      </c>
      <c r="M67" s="50" t="s">
        <v>71</v>
      </c>
      <c r="N67" s="50" t="s">
        <v>71</v>
      </c>
      <c r="O67" s="50" t="s">
        <v>71</v>
      </c>
      <c r="P67" s="63" t="s">
        <v>71</v>
      </c>
      <c r="Q67" s="65"/>
      <c r="R67" s="51"/>
      <c r="S67" s="67"/>
      <c r="T67" s="322"/>
      <c r="U67" s="102" t="s">
        <v>207</v>
      </c>
    </row>
    <row r="68" spans="2:22" ht="43.95" customHeight="1" x14ac:dyDescent="0.35">
      <c r="B68" s="122"/>
      <c r="C68" s="124" t="s">
        <v>209</v>
      </c>
      <c r="D68" s="92" t="s">
        <v>210</v>
      </c>
      <c r="E68" s="89">
        <f t="shared" si="1"/>
        <v>65</v>
      </c>
      <c r="F68" s="90"/>
      <c r="G68" s="91" t="s">
        <v>211</v>
      </c>
      <c r="H68" s="48" t="s">
        <v>948</v>
      </c>
      <c r="I68" s="339" t="s">
        <v>71</v>
      </c>
      <c r="J68" s="339" t="s">
        <v>71</v>
      </c>
      <c r="K68" s="339" t="s">
        <v>71</v>
      </c>
      <c r="L68" s="48" t="s">
        <v>948</v>
      </c>
      <c r="M68" s="48" t="s">
        <v>948</v>
      </c>
      <c r="N68" s="48" t="s">
        <v>71</v>
      </c>
      <c r="O68" s="48" t="s">
        <v>71</v>
      </c>
      <c r="P68" s="62" t="s">
        <v>71</v>
      </c>
      <c r="Q68" s="83">
        <v>45692</v>
      </c>
      <c r="R68" s="59"/>
      <c r="S68" s="84"/>
      <c r="T68" s="85" t="s">
        <v>967</v>
      </c>
      <c r="U68" s="101"/>
    </row>
    <row r="69" spans="2:22" ht="43.95" customHeight="1" x14ac:dyDescent="0.35">
      <c r="B69" s="122"/>
      <c r="C69" s="123"/>
      <c r="D69" s="92" t="s">
        <v>212</v>
      </c>
      <c r="E69" s="89">
        <f t="shared" si="1"/>
        <v>66</v>
      </c>
      <c r="F69" s="90"/>
      <c r="G69" s="91" t="s">
        <v>213</v>
      </c>
      <c r="H69" s="48" t="s">
        <v>948</v>
      </c>
      <c r="I69" s="339" t="s">
        <v>71</v>
      </c>
      <c r="J69" s="339" t="s">
        <v>71</v>
      </c>
      <c r="K69" s="339" t="s">
        <v>71</v>
      </c>
      <c r="L69" s="48" t="s">
        <v>948</v>
      </c>
      <c r="M69" s="48" t="s">
        <v>948</v>
      </c>
      <c r="N69" s="48" t="s">
        <v>71</v>
      </c>
      <c r="O69" s="48" t="s">
        <v>71</v>
      </c>
      <c r="P69" s="62" t="s">
        <v>71</v>
      </c>
      <c r="Q69" s="83">
        <v>45692</v>
      </c>
      <c r="R69" s="59"/>
      <c r="S69" s="84"/>
      <c r="T69" s="85" t="s">
        <v>967</v>
      </c>
      <c r="U69" s="100"/>
    </row>
    <row r="70" spans="2:22" ht="43.95" customHeight="1" x14ac:dyDescent="0.35">
      <c r="B70" s="122"/>
      <c r="C70" s="123"/>
      <c r="D70" s="92" t="s">
        <v>214</v>
      </c>
      <c r="E70" s="89">
        <f t="shared" si="1"/>
        <v>67</v>
      </c>
      <c r="F70" s="90"/>
      <c r="G70" s="91" t="s">
        <v>215</v>
      </c>
      <c r="H70" s="48" t="s">
        <v>948</v>
      </c>
      <c r="I70" s="339" t="s">
        <v>71</v>
      </c>
      <c r="J70" s="339" t="s">
        <v>71</v>
      </c>
      <c r="K70" s="339" t="s">
        <v>71</v>
      </c>
      <c r="L70" s="48" t="s">
        <v>948</v>
      </c>
      <c r="M70" s="48" t="s">
        <v>948</v>
      </c>
      <c r="N70" s="48" t="s">
        <v>71</v>
      </c>
      <c r="O70" s="48" t="s">
        <v>71</v>
      </c>
      <c r="P70" s="62" t="s">
        <v>71</v>
      </c>
      <c r="Q70" s="83">
        <v>45692</v>
      </c>
      <c r="R70" s="59"/>
      <c r="S70" s="84"/>
      <c r="T70" s="85" t="s">
        <v>967</v>
      </c>
      <c r="U70" s="100"/>
    </row>
    <row r="71" spans="2:22" ht="43.95" customHeight="1" x14ac:dyDescent="0.35">
      <c r="B71" s="122"/>
      <c r="C71" s="123"/>
      <c r="D71" s="88" t="s">
        <v>216</v>
      </c>
      <c r="E71" s="89">
        <f t="shared" si="1"/>
        <v>68</v>
      </c>
      <c r="F71" s="90"/>
      <c r="G71" s="91" t="s">
        <v>217</v>
      </c>
      <c r="H71" s="48" t="s">
        <v>948</v>
      </c>
      <c r="I71" s="339" t="s">
        <v>71</v>
      </c>
      <c r="J71" s="339" t="s">
        <v>71</v>
      </c>
      <c r="K71" s="339" t="s">
        <v>71</v>
      </c>
      <c r="L71" s="48" t="s">
        <v>948</v>
      </c>
      <c r="M71" s="48" t="s">
        <v>948</v>
      </c>
      <c r="N71" s="48" t="s">
        <v>71</v>
      </c>
      <c r="O71" s="48" t="s">
        <v>71</v>
      </c>
      <c r="P71" s="62" t="s">
        <v>71</v>
      </c>
      <c r="Q71" s="83">
        <v>45692</v>
      </c>
      <c r="R71" s="59"/>
      <c r="S71" s="84"/>
      <c r="T71" s="85" t="s">
        <v>967</v>
      </c>
      <c r="U71" s="100"/>
    </row>
    <row r="72" spans="2:22" ht="52.2" customHeight="1" x14ac:dyDescent="0.35">
      <c r="B72" s="122"/>
      <c r="C72" s="123"/>
      <c r="D72" s="93" t="s">
        <v>218</v>
      </c>
      <c r="E72" s="94">
        <f t="shared" si="1"/>
        <v>69</v>
      </c>
      <c r="F72" s="95" t="s">
        <v>219</v>
      </c>
      <c r="G72" s="96" t="s">
        <v>220</v>
      </c>
      <c r="H72" s="50" t="s">
        <v>71</v>
      </c>
      <c r="I72" s="50" t="s">
        <v>71</v>
      </c>
      <c r="J72" s="50" t="s">
        <v>71</v>
      </c>
      <c r="K72" s="50" t="s">
        <v>71</v>
      </c>
      <c r="L72" s="50" t="s">
        <v>71</v>
      </c>
      <c r="M72" s="50" t="s">
        <v>71</v>
      </c>
      <c r="N72" s="50" t="s">
        <v>71</v>
      </c>
      <c r="O72" s="50" t="s">
        <v>71</v>
      </c>
      <c r="P72" s="63" t="s">
        <v>71</v>
      </c>
      <c r="Q72" s="65"/>
      <c r="R72" s="51"/>
      <c r="S72" s="67"/>
      <c r="T72" s="322"/>
      <c r="U72" s="102"/>
    </row>
    <row r="73" spans="2:22" ht="28.2" customHeight="1" x14ac:dyDescent="0.35">
      <c r="B73" s="125" t="s">
        <v>221</v>
      </c>
      <c r="C73" s="124" t="s">
        <v>222</v>
      </c>
      <c r="D73" s="88" t="s">
        <v>223</v>
      </c>
      <c r="E73" s="89">
        <f t="shared" si="1"/>
        <v>70</v>
      </c>
      <c r="F73" s="90" t="s">
        <v>224</v>
      </c>
      <c r="G73" s="91" t="s">
        <v>225</v>
      </c>
      <c r="H73" s="48" t="s">
        <v>948</v>
      </c>
      <c r="I73" s="339" t="s">
        <v>71</v>
      </c>
      <c r="J73" s="339" t="s">
        <v>71</v>
      </c>
      <c r="K73" s="339" t="s">
        <v>71</v>
      </c>
      <c r="L73" s="48" t="s">
        <v>948</v>
      </c>
      <c r="M73" s="48" t="s">
        <v>71</v>
      </c>
      <c r="N73" s="48" t="s">
        <v>71</v>
      </c>
      <c r="O73" s="48" t="s">
        <v>71</v>
      </c>
      <c r="P73" s="62" t="s">
        <v>71</v>
      </c>
      <c r="Q73" s="83">
        <v>45692</v>
      </c>
      <c r="R73" s="59"/>
      <c r="S73" s="84"/>
      <c r="T73" s="85" t="s">
        <v>967</v>
      </c>
      <c r="U73" s="100"/>
    </row>
    <row r="74" spans="2:22" ht="28.2" customHeight="1" x14ac:dyDescent="0.35">
      <c r="B74" s="122"/>
      <c r="C74" s="124" t="s">
        <v>226</v>
      </c>
      <c r="D74" s="88" t="s">
        <v>227</v>
      </c>
      <c r="E74" s="89">
        <f t="shared" si="1"/>
        <v>71</v>
      </c>
      <c r="F74" s="90"/>
      <c r="G74" s="91" t="s">
        <v>228</v>
      </c>
      <c r="H74" s="48" t="s">
        <v>948</v>
      </c>
      <c r="I74" s="339" t="s">
        <v>71</v>
      </c>
      <c r="J74" s="339" t="s">
        <v>71</v>
      </c>
      <c r="K74" s="48" t="s">
        <v>948</v>
      </c>
      <c r="L74" s="48" t="s">
        <v>71</v>
      </c>
      <c r="M74" s="48" t="s">
        <v>71</v>
      </c>
      <c r="N74" s="48" t="s">
        <v>71</v>
      </c>
      <c r="O74" s="48" t="s">
        <v>71</v>
      </c>
      <c r="P74" s="62" t="s">
        <v>71</v>
      </c>
      <c r="Q74" s="83">
        <v>45692</v>
      </c>
      <c r="R74" s="59"/>
      <c r="S74" s="84"/>
      <c r="T74" s="85" t="s">
        <v>967</v>
      </c>
      <c r="U74" s="101"/>
    </row>
    <row r="75" spans="2:22" ht="28.2" customHeight="1" x14ac:dyDescent="0.35">
      <c r="B75" s="122"/>
      <c r="C75" s="123"/>
      <c r="D75" s="88" t="s">
        <v>229</v>
      </c>
      <c r="E75" s="89">
        <f t="shared" si="1"/>
        <v>72</v>
      </c>
      <c r="F75" s="90" t="s">
        <v>230</v>
      </c>
      <c r="G75" s="91" t="s">
        <v>228</v>
      </c>
      <c r="H75" s="48" t="s">
        <v>948</v>
      </c>
      <c r="I75" s="339" t="s">
        <v>71</v>
      </c>
      <c r="J75" s="339" t="s">
        <v>71</v>
      </c>
      <c r="K75" s="48" t="s">
        <v>948</v>
      </c>
      <c r="L75" s="48" t="s">
        <v>71</v>
      </c>
      <c r="M75" s="48" t="s">
        <v>71</v>
      </c>
      <c r="N75" s="48" t="s">
        <v>71</v>
      </c>
      <c r="O75" s="48" t="s">
        <v>71</v>
      </c>
      <c r="P75" s="62" t="s">
        <v>71</v>
      </c>
      <c r="Q75" s="83">
        <v>45692</v>
      </c>
      <c r="R75" s="59"/>
      <c r="S75" s="84"/>
      <c r="T75" s="85" t="s">
        <v>967</v>
      </c>
      <c r="U75" s="101"/>
    </row>
    <row r="76" spans="2:22" ht="28.2" customHeight="1" x14ac:dyDescent="0.35">
      <c r="B76" s="122"/>
      <c r="C76" s="123"/>
      <c r="D76" s="88" t="s">
        <v>231</v>
      </c>
      <c r="E76" s="89">
        <f t="shared" si="1"/>
        <v>73</v>
      </c>
      <c r="F76" s="90" t="s">
        <v>232</v>
      </c>
      <c r="G76" s="91" t="s">
        <v>228</v>
      </c>
      <c r="H76" s="48" t="s">
        <v>948</v>
      </c>
      <c r="I76" s="339" t="s">
        <v>71</v>
      </c>
      <c r="J76" s="339" t="s">
        <v>71</v>
      </c>
      <c r="K76" s="48" t="s">
        <v>948</v>
      </c>
      <c r="L76" s="48" t="s">
        <v>71</v>
      </c>
      <c r="M76" s="48" t="s">
        <v>71</v>
      </c>
      <c r="N76" s="48" t="s">
        <v>71</v>
      </c>
      <c r="O76" s="48" t="s">
        <v>71</v>
      </c>
      <c r="P76" s="62" t="s">
        <v>71</v>
      </c>
      <c r="Q76" s="83">
        <v>45692</v>
      </c>
      <c r="R76" s="59"/>
      <c r="S76" s="84"/>
      <c r="T76" s="85" t="s">
        <v>967</v>
      </c>
      <c r="U76" s="101"/>
    </row>
    <row r="77" spans="2:22" ht="28.2" customHeight="1" x14ac:dyDescent="0.35">
      <c r="B77" s="122"/>
      <c r="C77" s="123"/>
      <c r="D77" s="88" t="s">
        <v>233</v>
      </c>
      <c r="E77" s="89">
        <f t="shared" si="1"/>
        <v>74</v>
      </c>
      <c r="F77" s="90" t="s">
        <v>234</v>
      </c>
      <c r="G77" s="91" t="s">
        <v>235</v>
      </c>
      <c r="H77" s="48" t="s">
        <v>948</v>
      </c>
      <c r="I77" s="339" t="s">
        <v>71</v>
      </c>
      <c r="J77" s="339" t="s">
        <v>71</v>
      </c>
      <c r="K77" s="48" t="s">
        <v>948</v>
      </c>
      <c r="L77" s="48" t="s">
        <v>71</v>
      </c>
      <c r="M77" s="48" t="s">
        <v>71</v>
      </c>
      <c r="N77" s="48" t="s">
        <v>71</v>
      </c>
      <c r="O77" s="48" t="s">
        <v>71</v>
      </c>
      <c r="P77" s="62" t="s">
        <v>71</v>
      </c>
      <c r="Q77" s="83">
        <v>45692</v>
      </c>
      <c r="R77" s="59"/>
      <c r="S77" s="84"/>
      <c r="T77" s="85" t="s">
        <v>967</v>
      </c>
      <c r="U77" s="101"/>
    </row>
    <row r="78" spans="2:22" ht="28.2" customHeight="1" x14ac:dyDescent="0.35">
      <c r="B78" s="122"/>
      <c r="C78" s="123"/>
      <c r="D78" s="88" t="s">
        <v>236</v>
      </c>
      <c r="E78" s="89">
        <f t="shared" si="1"/>
        <v>75</v>
      </c>
      <c r="F78" s="90" t="s">
        <v>237</v>
      </c>
      <c r="G78" s="91" t="s">
        <v>228</v>
      </c>
      <c r="H78" s="48" t="s">
        <v>948</v>
      </c>
      <c r="I78" s="339" t="s">
        <v>71</v>
      </c>
      <c r="J78" s="339" t="s">
        <v>71</v>
      </c>
      <c r="K78" s="48" t="s">
        <v>948</v>
      </c>
      <c r="L78" s="48" t="s">
        <v>71</v>
      </c>
      <c r="M78" s="48" t="s">
        <v>71</v>
      </c>
      <c r="N78" s="48" t="s">
        <v>71</v>
      </c>
      <c r="O78" s="48" t="s">
        <v>71</v>
      </c>
      <c r="P78" s="62" t="s">
        <v>71</v>
      </c>
      <c r="Q78" s="83">
        <v>45692</v>
      </c>
      <c r="R78" s="59"/>
      <c r="S78" s="84"/>
      <c r="T78" s="85" t="s">
        <v>967</v>
      </c>
      <c r="U78" s="101"/>
    </row>
    <row r="79" spans="2:22" ht="28.2" customHeight="1" x14ac:dyDescent="0.35">
      <c r="B79" s="122"/>
      <c r="C79" s="123"/>
      <c r="D79" s="88" t="s">
        <v>238</v>
      </c>
      <c r="E79" s="89">
        <f t="shared" si="1"/>
        <v>76</v>
      </c>
      <c r="F79" s="90" t="s">
        <v>239</v>
      </c>
      <c r="G79" s="91" t="s">
        <v>228</v>
      </c>
      <c r="H79" s="48" t="s">
        <v>948</v>
      </c>
      <c r="I79" s="339" t="s">
        <v>71</v>
      </c>
      <c r="J79" s="339" t="s">
        <v>71</v>
      </c>
      <c r="K79" s="339" t="s">
        <v>71</v>
      </c>
      <c r="L79" s="48" t="s">
        <v>948</v>
      </c>
      <c r="M79" s="48" t="s">
        <v>71</v>
      </c>
      <c r="N79" s="48" t="s">
        <v>71</v>
      </c>
      <c r="O79" s="48" t="s">
        <v>71</v>
      </c>
      <c r="P79" s="62" t="s">
        <v>71</v>
      </c>
      <c r="Q79" s="83">
        <v>45692</v>
      </c>
      <c r="R79" s="59"/>
      <c r="S79" s="84"/>
      <c r="T79" s="85" t="s">
        <v>967</v>
      </c>
      <c r="U79" s="101"/>
    </row>
    <row r="80" spans="2:22" ht="28.2" customHeight="1" x14ac:dyDescent="0.35">
      <c r="B80" s="122"/>
      <c r="C80" s="123"/>
      <c r="D80" s="88" t="s">
        <v>240</v>
      </c>
      <c r="E80" s="89">
        <f t="shared" si="1"/>
        <v>77</v>
      </c>
      <c r="F80" s="90" t="s">
        <v>241</v>
      </c>
      <c r="G80" s="91" t="s">
        <v>228</v>
      </c>
      <c r="H80" s="48" t="s">
        <v>948</v>
      </c>
      <c r="I80" s="339" t="s">
        <v>71</v>
      </c>
      <c r="J80" s="339" t="s">
        <v>71</v>
      </c>
      <c r="K80" s="339" t="s">
        <v>71</v>
      </c>
      <c r="L80" s="48" t="s">
        <v>948</v>
      </c>
      <c r="M80" s="48" t="s">
        <v>71</v>
      </c>
      <c r="N80" s="48" t="s">
        <v>71</v>
      </c>
      <c r="O80" s="48" t="s">
        <v>71</v>
      </c>
      <c r="P80" s="62" t="s">
        <v>71</v>
      </c>
      <c r="Q80" s="83">
        <v>45692</v>
      </c>
      <c r="R80" s="59"/>
      <c r="S80" s="84"/>
      <c r="T80" s="85" t="s">
        <v>967</v>
      </c>
      <c r="U80" s="101"/>
      <c r="V80" s="126"/>
    </row>
    <row r="81" spans="2:22" ht="28.2" customHeight="1" x14ac:dyDescent="0.35">
      <c r="B81" s="122"/>
      <c r="C81" s="124" t="s">
        <v>242</v>
      </c>
      <c r="D81" s="88" t="s">
        <v>227</v>
      </c>
      <c r="E81" s="89">
        <f t="shared" si="1"/>
        <v>78</v>
      </c>
      <c r="F81" s="90" t="s">
        <v>243</v>
      </c>
      <c r="G81" s="91" t="s">
        <v>228</v>
      </c>
      <c r="H81" s="48" t="s">
        <v>948</v>
      </c>
      <c r="I81" s="339" t="s">
        <v>71</v>
      </c>
      <c r="J81" s="339" t="s">
        <v>71</v>
      </c>
      <c r="K81" s="48" t="s">
        <v>948</v>
      </c>
      <c r="L81" s="48" t="s">
        <v>71</v>
      </c>
      <c r="M81" s="48" t="s">
        <v>71</v>
      </c>
      <c r="N81" s="48" t="s">
        <v>71</v>
      </c>
      <c r="O81" s="48" t="s">
        <v>71</v>
      </c>
      <c r="P81" s="62" t="s">
        <v>71</v>
      </c>
      <c r="Q81" s="428">
        <v>45692</v>
      </c>
      <c r="R81" s="429"/>
      <c r="S81" s="430"/>
      <c r="T81" s="85" t="s">
        <v>1018</v>
      </c>
      <c r="U81" s="101"/>
      <c r="V81" s="126"/>
    </row>
    <row r="82" spans="2:22" ht="28.2" customHeight="1" x14ac:dyDescent="0.35">
      <c r="B82" s="122"/>
      <c r="C82" s="123"/>
      <c r="D82" s="88" t="s">
        <v>244</v>
      </c>
      <c r="E82" s="89">
        <f t="shared" si="1"/>
        <v>79</v>
      </c>
      <c r="F82" s="90" t="s">
        <v>245</v>
      </c>
      <c r="G82" s="91" t="s">
        <v>228</v>
      </c>
      <c r="H82" s="48" t="s">
        <v>948</v>
      </c>
      <c r="I82" s="339" t="s">
        <v>71</v>
      </c>
      <c r="J82" s="339" t="s">
        <v>71</v>
      </c>
      <c r="K82" s="48" t="s">
        <v>948</v>
      </c>
      <c r="L82" s="48" t="s">
        <v>71</v>
      </c>
      <c r="M82" s="48" t="s">
        <v>71</v>
      </c>
      <c r="N82" s="48" t="s">
        <v>71</v>
      </c>
      <c r="O82" s="48" t="s">
        <v>71</v>
      </c>
      <c r="P82" s="62" t="s">
        <v>71</v>
      </c>
      <c r="Q82" s="428">
        <v>45692</v>
      </c>
      <c r="R82" s="429"/>
      <c r="S82" s="430"/>
      <c r="T82" s="85" t="s">
        <v>1018</v>
      </c>
      <c r="U82" s="101"/>
    </row>
    <row r="83" spans="2:22" ht="28.2" customHeight="1" x14ac:dyDescent="0.35">
      <c r="B83" s="122"/>
      <c r="C83" s="123"/>
      <c r="D83" s="88" t="s">
        <v>246</v>
      </c>
      <c r="E83" s="89">
        <f t="shared" si="1"/>
        <v>80</v>
      </c>
      <c r="F83" s="90" t="s">
        <v>247</v>
      </c>
      <c r="G83" s="91" t="s">
        <v>228</v>
      </c>
      <c r="H83" s="48" t="s">
        <v>948</v>
      </c>
      <c r="I83" s="339" t="s">
        <v>71</v>
      </c>
      <c r="J83" s="339" t="s">
        <v>71</v>
      </c>
      <c r="K83" s="339" t="s">
        <v>71</v>
      </c>
      <c r="L83" s="48" t="s">
        <v>948</v>
      </c>
      <c r="M83" s="48" t="s">
        <v>71</v>
      </c>
      <c r="N83" s="48" t="s">
        <v>71</v>
      </c>
      <c r="O83" s="48" t="s">
        <v>71</v>
      </c>
      <c r="P83" s="62" t="s">
        <v>71</v>
      </c>
      <c r="Q83" s="428">
        <v>45692</v>
      </c>
      <c r="R83" s="429"/>
      <c r="S83" s="430"/>
      <c r="T83" s="85" t="s">
        <v>1018</v>
      </c>
      <c r="U83" s="101"/>
    </row>
    <row r="84" spans="2:22" ht="28.2" customHeight="1" x14ac:dyDescent="0.35">
      <c r="B84" s="122"/>
      <c r="C84" s="123"/>
      <c r="D84" s="88" t="s">
        <v>248</v>
      </c>
      <c r="E84" s="89">
        <f t="shared" si="1"/>
        <v>81</v>
      </c>
      <c r="F84" s="90" t="s">
        <v>249</v>
      </c>
      <c r="G84" s="91" t="s">
        <v>228</v>
      </c>
      <c r="H84" s="48" t="s">
        <v>948</v>
      </c>
      <c r="I84" s="339" t="s">
        <v>71</v>
      </c>
      <c r="J84" s="339" t="s">
        <v>71</v>
      </c>
      <c r="K84" s="339" t="s">
        <v>71</v>
      </c>
      <c r="L84" s="48" t="s">
        <v>948</v>
      </c>
      <c r="M84" s="48" t="s">
        <v>71</v>
      </c>
      <c r="N84" s="48" t="s">
        <v>71</v>
      </c>
      <c r="O84" s="48" t="s">
        <v>71</v>
      </c>
      <c r="P84" s="62" t="s">
        <v>71</v>
      </c>
      <c r="Q84" s="428">
        <v>45692</v>
      </c>
      <c r="R84" s="429"/>
      <c r="S84" s="430"/>
      <c r="T84" s="85" t="s">
        <v>1018</v>
      </c>
      <c r="U84" s="101"/>
    </row>
    <row r="85" spans="2:22" ht="28.2" customHeight="1" x14ac:dyDescent="0.35">
      <c r="B85" s="122"/>
      <c r="C85" s="124" t="s">
        <v>250</v>
      </c>
      <c r="D85" s="88" t="s">
        <v>251</v>
      </c>
      <c r="E85" s="89">
        <f t="shared" si="1"/>
        <v>82</v>
      </c>
      <c r="F85" s="90" t="s">
        <v>252</v>
      </c>
      <c r="G85" s="91" t="s">
        <v>253</v>
      </c>
      <c r="H85" s="48" t="s">
        <v>948</v>
      </c>
      <c r="I85" s="339" t="s">
        <v>71</v>
      </c>
      <c r="J85" s="339" t="s">
        <v>71</v>
      </c>
      <c r="K85" s="48" t="s">
        <v>948</v>
      </c>
      <c r="L85" s="48" t="s">
        <v>71</v>
      </c>
      <c r="M85" s="48" t="s">
        <v>71</v>
      </c>
      <c r="N85" s="48" t="s">
        <v>71</v>
      </c>
      <c r="O85" s="48" t="s">
        <v>71</v>
      </c>
      <c r="P85" s="62" t="s">
        <v>71</v>
      </c>
      <c r="Q85" s="83">
        <v>45692</v>
      </c>
      <c r="R85" s="59"/>
      <c r="S85" s="84"/>
      <c r="T85" s="85" t="s">
        <v>967</v>
      </c>
      <c r="U85" s="101"/>
    </row>
    <row r="86" spans="2:22" ht="28.2" customHeight="1" x14ac:dyDescent="0.35">
      <c r="B86" s="122"/>
      <c r="C86" s="123"/>
      <c r="D86" s="233" t="s">
        <v>123</v>
      </c>
      <c r="E86" s="89">
        <f t="shared" si="1"/>
        <v>83</v>
      </c>
      <c r="F86" s="90" t="s">
        <v>254</v>
      </c>
      <c r="G86" s="91" t="s">
        <v>124</v>
      </c>
      <c r="H86" s="48" t="s">
        <v>948</v>
      </c>
      <c r="I86" s="339" t="s">
        <v>71</v>
      </c>
      <c r="J86" s="339" t="s">
        <v>71</v>
      </c>
      <c r="K86" s="339" t="s">
        <v>71</v>
      </c>
      <c r="L86" s="48" t="s">
        <v>948</v>
      </c>
      <c r="M86" s="48" t="s">
        <v>948</v>
      </c>
      <c r="N86" s="48" t="s">
        <v>71</v>
      </c>
      <c r="O86" s="48" t="s">
        <v>71</v>
      </c>
      <c r="P86" s="62" t="s">
        <v>71</v>
      </c>
      <c r="Q86" s="83">
        <v>45692</v>
      </c>
      <c r="R86" s="59"/>
      <c r="S86" s="84"/>
      <c r="T86" s="85" t="s">
        <v>967</v>
      </c>
      <c r="U86" s="101"/>
      <c r="V86" s="126"/>
    </row>
    <row r="87" spans="2:22" ht="28.2" customHeight="1" x14ac:dyDescent="0.35">
      <c r="B87" s="122"/>
      <c r="C87" s="123"/>
      <c r="D87" s="235"/>
      <c r="E87" s="89">
        <f t="shared" si="1"/>
        <v>84</v>
      </c>
      <c r="F87" s="90" t="s">
        <v>252</v>
      </c>
      <c r="G87" s="91" t="s">
        <v>125</v>
      </c>
      <c r="H87" s="48" t="s">
        <v>948</v>
      </c>
      <c r="I87" s="339" t="s">
        <v>71</v>
      </c>
      <c r="J87" s="339" t="s">
        <v>71</v>
      </c>
      <c r="K87" s="339" t="s">
        <v>71</v>
      </c>
      <c r="L87" s="48" t="s">
        <v>948</v>
      </c>
      <c r="M87" s="48" t="s">
        <v>948</v>
      </c>
      <c r="N87" s="48" t="s">
        <v>71</v>
      </c>
      <c r="O87" s="48" t="s">
        <v>71</v>
      </c>
      <c r="P87" s="62" t="s">
        <v>71</v>
      </c>
      <c r="Q87" s="83">
        <v>45692</v>
      </c>
      <c r="R87" s="59"/>
      <c r="S87" s="84"/>
      <c r="T87" s="85" t="s">
        <v>967</v>
      </c>
      <c r="U87" s="101"/>
      <c r="V87" s="126"/>
    </row>
    <row r="88" spans="2:22" ht="28.2" customHeight="1" x14ac:dyDescent="0.35">
      <c r="B88" s="122"/>
      <c r="C88" s="124" t="s">
        <v>255</v>
      </c>
      <c r="D88" s="88" t="s">
        <v>255</v>
      </c>
      <c r="E88" s="89">
        <f t="shared" si="1"/>
        <v>85</v>
      </c>
      <c r="F88" s="90" t="s">
        <v>256</v>
      </c>
      <c r="G88" s="91" t="s">
        <v>257</v>
      </c>
      <c r="H88" s="48" t="s">
        <v>948</v>
      </c>
      <c r="I88" s="339" t="s">
        <v>71</v>
      </c>
      <c r="J88" s="339" t="s">
        <v>71</v>
      </c>
      <c r="K88" s="48" t="s">
        <v>948</v>
      </c>
      <c r="L88" s="48" t="s">
        <v>71</v>
      </c>
      <c r="M88" s="48" t="s">
        <v>71</v>
      </c>
      <c r="N88" s="48" t="s">
        <v>71</v>
      </c>
      <c r="O88" s="48" t="s">
        <v>71</v>
      </c>
      <c r="P88" s="62" t="s">
        <v>71</v>
      </c>
      <c r="Q88" s="83">
        <v>45692</v>
      </c>
      <c r="R88" s="59"/>
      <c r="S88" s="84"/>
      <c r="T88" s="85" t="s">
        <v>967</v>
      </c>
      <c r="U88" s="100"/>
    </row>
    <row r="89" spans="2:22" ht="28.2" customHeight="1" x14ac:dyDescent="0.35">
      <c r="B89" s="122"/>
      <c r="C89" s="123"/>
      <c r="D89" s="88" t="s">
        <v>258</v>
      </c>
      <c r="E89" s="89">
        <f t="shared" si="1"/>
        <v>86</v>
      </c>
      <c r="F89" s="90" t="s">
        <v>259</v>
      </c>
      <c r="G89" s="91" t="s">
        <v>257</v>
      </c>
      <c r="H89" s="48" t="s">
        <v>948</v>
      </c>
      <c r="I89" s="339" t="s">
        <v>71</v>
      </c>
      <c r="J89" s="339" t="s">
        <v>71</v>
      </c>
      <c r="K89" s="339" t="s">
        <v>71</v>
      </c>
      <c r="L89" s="48" t="s">
        <v>948</v>
      </c>
      <c r="M89" s="48" t="s">
        <v>71</v>
      </c>
      <c r="N89" s="48" t="s">
        <v>71</v>
      </c>
      <c r="O89" s="48" t="s">
        <v>71</v>
      </c>
      <c r="P89" s="62" t="s">
        <v>71</v>
      </c>
      <c r="Q89" s="83">
        <v>45692</v>
      </c>
      <c r="R89" s="59"/>
      <c r="S89" s="84"/>
      <c r="T89" s="85" t="s">
        <v>967</v>
      </c>
      <c r="U89" s="100"/>
    </row>
    <row r="90" spans="2:22" ht="28.2" customHeight="1" x14ac:dyDescent="0.35">
      <c r="B90" s="125" t="s">
        <v>260</v>
      </c>
      <c r="C90" s="124" t="s">
        <v>261</v>
      </c>
      <c r="D90" s="88" t="s">
        <v>262</v>
      </c>
      <c r="E90" s="89">
        <f t="shared" si="1"/>
        <v>87</v>
      </c>
      <c r="F90" s="90"/>
      <c r="G90" s="91" t="s">
        <v>257</v>
      </c>
      <c r="H90" s="48" t="s">
        <v>948</v>
      </c>
      <c r="I90" s="48" t="s">
        <v>71</v>
      </c>
      <c r="J90" s="48" t="s">
        <v>71</v>
      </c>
      <c r="K90" s="48" t="s">
        <v>948</v>
      </c>
      <c r="L90" s="48" t="s">
        <v>948</v>
      </c>
      <c r="M90" s="48" t="s">
        <v>71</v>
      </c>
      <c r="N90" s="48" t="s">
        <v>71</v>
      </c>
      <c r="O90" s="48" t="s">
        <v>71</v>
      </c>
      <c r="P90" s="62" t="s">
        <v>71</v>
      </c>
      <c r="Q90" s="83">
        <v>45692</v>
      </c>
      <c r="R90" s="59"/>
      <c r="S90" s="84"/>
      <c r="T90" s="85" t="s">
        <v>967</v>
      </c>
      <c r="U90" s="100"/>
    </row>
    <row r="91" spans="2:22" ht="71.400000000000006" customHeight="1" x14ac:dyDescent="0.35">
      <c r="B91" s="122"/>
      <c r="C91" s="123"/>
      <c r="D91" s="88" t="s">
        <v>263</v>
      </c>
      <c r="E91" s="89">
        <f t="shared" si="1"/>
        <v>88</v>
      </c>
      <c r="F91" s="90"/>
      <c r="G91" s="91" t="s">
        <v>264</v>
      </c>
      <c r="H91" s="48" t="s">
        <v>948</v>
      </c>
      <c r="I91" s="48" t="s">
        <v>71</v>
      </c>
      <c r="J91" s="48" t="s">
        <v>71</v>
      </c>
      <c r="K91" s="48" t="s">
        <v>71</v>
      </c>
      <c r="L91" s="48" t="s">
        <v>71</v>
      </c>
      <c r="M91" s="48" t="s">
        <v>71</v>
      </c>
      <c r="N91" s="48" t="s">
        <v>103</v>
      </c>
      <c r="O91" s="48" t="s">
        <v>71</v>
      </c>
      <c r="P91" s="62" t="s">
        <v>71</v>
      </c>
      <c r="Q91" s="83">
        <v>45692</v>
      </c>
      <c r="R91" s="59"/>
      <c r="S91" s="84"/>
      <c r="T91" s="85" t="s">
        <v>967</v>
      </c>
      <c r="U91" s="100" t="s">
        <v>265</v>
      </c>
    </row>
    <row r="92" spans="2:22" ht="28.2" customHeight="1" x14ac:dyDescent="0.35">
      <c r="B92" s="122"/>
      <c r="C92" s="124" t="s">
        <v>266</v>
      </c>
      <c r="D92" s="88" t="s">
        <v>223</v>
      </c>
      <c r="E92" s="89">
        <f t="shared" si="1"/>
        <v>89</v>
      </c>
      <c r="F92" s="90"/>
      <c r="G92" s="91" t="s">
        <v>267</v>
      </c>
      <c r="H92" s="48" t="s">
        <v>948</v>
      </c>
      <c r="I92" s="48" t="s">
        <v>71</v>
      </c>
      <c r="J92" s="48" t="s">
        <v>71</v>
      </c>
      <c r="K92" s="48" t="s">
        <v>948</v>
      </c>
      <c r="L92" s="48" t="s">
        <v>948</v>
      </c>
      <c r="M92" s="48" t="s">
        <v>948</v>
      </c>
      <c r="N92" s="48" t="s">
        <v>71</v>
      </c>
      <c r="O92" s="48" t="s">
        <v>71</v>
      </c>
      <c r="P92" s="62" t="s">
        <v>71</v>
      </c>
      <c r="Q92" s="83">
        <v>45692</v>
      </c>
      <c r="R92" s="59"/>
      <c r="S92" s="84"/>
      <c r="T92" s="85" t="s">
        <v>967</v>
      </c>
      <c r="U92" s="100"/>
    </row>
    <row r="93" spans="2:22" ht="28.2" customHeight="1" x14ac:dyDescent="0.35">
      <c r="B93" s="122"/>
      <c r="C93" s="93" t="s">
        <v>268</v>
      </c>
      <c r="D93" s="93" t="s">
        <v>268</v>
      </c>
      <c r="E93" s="94">
        <f t="shared" si="0"/>
        <v>90</v>
      </c>
      <c r="F93" s="95"/>
      <c r="G93" s="96" t="s">
        <v>235</v>
      </c>
      <c r="H93" s="50" t="s">
        <v>71</v>
      </c>
      <c r="I93" s="50" t="s">
        <v>71</v>
      </c>
      <c r="J93" s="50" t="s">
        <v>71</v>
      </c>
      <c r="K93" s="50" t="s">
        <v>71</v>
      </c>
      <c r="L93" s="50" t="s">
        <v>71</v>
      </c>
      <c r="M93" s="50" t="s">
        <v>71</v>
      </c>
      <c r="N93" s="50" t="s">
        <v>71</v>
      </c>
      <c r="O93" s="50" t="s">
        <v>71</v>
      </c>
      <c r="P93" s="63" t="s">
        <v>71</v>
      </c>
      <c r="Q93" s="329"/>
      <c r="R93" s="379"/>
      <c r="S93" s="380"/>
      <c r="T93" s="322"/>
      <c r="U93" s="326" t="s">
        <v>165</v>
      </c>
      <c r="V93" s="126"/>
    </row>
    <row r="94" spans="2:22" ht="28.2" customHeight="1" x14ac:dyDescent="0.35">
      <c r="B94" s="122"/>
      <c r="C94" s="320" t="s">
        <v>269</v>
      </c>
      <c r="D94" s="93" t="s">
        <v>269</v>
      </c>
      <c r="E94" s="94">
        <f t="shared" si="1"/>
        <v>91</v>
      </c>
      <c r="F94" s="95"/>
      <c r="G94" s="96" t="s">
        <v>235</v>
      </c>
      <c r="H94" s="50" t="s">
        <v>71</v>
      </c>
      <c r="I94" s="50" t="s">
        <v>71</v>
      </c>
      <c r="J94" s="50" t="s">
        <v>71</v>
      </c>
      <c r="K94" s="50" t="s">
        <v>71</v>
      </c>
      <c r="L94" s="50" t="s">
        <v>71</v>
      </c>
      <c r="M94" s="50" t="s">
        <v>71</v>
      </c>
      <c r="N94" s="50" t="s">
        <v>71</v>
      </c>
      <c r="O94" s="50" t="s">
        <v>71</v>
      </c>
      <c r="P94" s="63" t="s">
        <v>71</v>
      </c>
      <c r="Q94" s="329"/>
      <c r="R94" s="379"/>
      <c r="S94" s="380"/>
      <c r="T94" s="322"/>
      <c r="U94" s="326" t="s">
        <v>165</v>
      </c>
    </row>
    <row r="95" spans="2:22" ht="28.2" customHeight="1" x14ac:dyDescent="0.35">
      <c r="B95" s="122"/>
      <c r="C95" s="124" t="s">
        <v>270</v>
      </c>
      <c r="D95" s="233" t="s">
        <v>271</v>
      </c>
      <c r="E95" s="94">
        <f t="shared" si="1"/>
        <v>92</v>
      </c>
      <c r="F95" s="95"/>
      <c r="G95" s="96" t="s">
        <v>272</v>
      </c>
      <c r="H95" s="50" t="s">
        <v>71</v>
      </c>
      <c r="I95" s="50" t="s">
        <v>71</v>
      </c>
      <c r="J95" s="50" t="s">
        <v>71</v>
      </c>
      <c r="K95" s="50" t="s">
        <v>71</v>
      </c>
      <c r="L95" s="50" t="s">
        <v>71</v>
      </c>
      <c r="M95" s="50" t="s">
        <v>71</v>
      </c>
      <c r="N95" s="50" t="s">
        <v>71</v>
      </c>
      <c r="O95" s="50" t="s">
        <v>71</v>
      </c>
      <c r="P95" s="63" t="s">
        <v>71</v>
      </c>
      <c r="Q95" s="329"/>
      <c r="R95" s="379"/>
      <c r="S95" s="380"/>
      <c r="T95" s="322"/>
      <c r="U95" s="326" t="s">
        <v>165</v>
      </c>
    </row>
    <row r="96" spans="2:22" ht="28.2" customHeight="1" x14ac:dyDescent="0.35">
      <c r="B96" s="122"/>
      <c r="C96" s="123"/>
      <c r="D96" s="234"/>
      <c r="E96" s="89">
        <f t="shared" si="1"/>
        <v>93</v>
      </c>
      <c r="F96" s="90"/>
      <c r="G96" s="91" t="s">
        <v>273</v>
      </c>
      <c r="H96" s="48" t="s">
        <v>948</v>
      </c>
      <c r="I96" s="48" t="s">
        <v>71</v>
      </c>
      <c r="J96" s="48" t="s">
        <v>71</v>
      </c>
      <c r="K96" s="48" t="s">
        <v>71</v>
      </c>
      <c r="L96" s="48" t="s">
        <v>71</v>
      </c>
      <c r="M96" s="48" t="s">
        <v>71</v>
      </c>
      <c r="N96" s="48" t="s">
        <v>71</v>
      </c>
      <c r="O96" s="48" t="s">
        <v>71</v>
      </c>
      <c r="P96" s="62" t="s">
        <v>71</v>
      </c>
      <c r="Q96" s="83">
        <v>45692</v>
      </c>
      <c r="R96" s="59"/>
      <c r="S96" s="84"/>
      <c r="T96" s="85" t="s">
        <v>967</v>
      </c>
      <c r="U96" s="100"/>
    </row>
    <row r="97" spans="1:21" ht="64.95" customHeight="1" x14ac:dyDescent="0.35">
      <c r="B97" s="122"/>
      <c r="C97" s="123"/>
      <c r="D97" s="234"/>
      <c r="E97" s="89">
        <f t="shared" si="1"/>
        <v>94</v>
      </c>
      <c r="F97" s="90"/>
      <c r="G97" s="91" t="s">
        <v>274</v>
      </c>
      <c r="H97" s="48" t="s">
        <v>948</v>
      </c>
      <c r="I97" s="48" t="s">
        <v>71</v>
      </c>
      <c r="J97" s="48" t="s">
        <v>71</v>
      </c>
      <c r="K97" s="48" t="s">
        <v>948</v>
      </c>
      <c r="L97" s="48" t="s">
        <v>71</v>
      </c>
      <c r="M97" s="48" t="s">
        <v>71</v>
      </c>
      <c r="N97" s="48" t="s">
        <v>71</v>
      </c>
      <c r="O97" s="48" t="s">
        <v>71</v>
      </c>
      <c r="P97" s="62" t="s">
        <v>71</v>
      </c>
      <c r="Q97" s="83">
        <v>45692</v>
      </c>
      <c r="R97" s="59"/>
      <c r="S97" s="84"/>
      <c r="T97" s="85" t="s">
        <v>967</v>
      </c>
      <c r="U97" s="100"/>
    </row>
    <row r="98" spans="1:21" ht="64.95" customHeight="1" x14ac:dyDescent="0.35">
      <c r="B98" s="122"/>
      <c r="C98" s="123"/>
      <c r="D98" s="235"/>
      <c r="E98" s="89">
        <f t="shared" si="1"/>
        <v>95</v>
      </c>
      <c r="F98" s="90"/>
      <c r="G98" s="91" t="s">
        <v>275</v>
      </c>
      <c r="H98" s="48" t="s">
        <v>948</v>
      </c>
      <c r="I98" s="48" t="s">
        <v>71</v>
      </c>
      <c r="J98" s="48" t="s">
        <v>71</v>
      </c>
      <c r="K98" s="48" t="s">
        <v>71</v>
      </c>
      <c r="L98" s="48" t="s">
        <v>71</v>
      </c>
      <c r="M98" s="48" t="s">
        <v>71</v>
      </c>
      <c r="N98" s="48" t="s">
        <v>71</v>
      </c>
      <c r="O98" s="48" t="s">
        <v>71</v>
      </c>
      <c r="P98" s="62" t="s">
        <v>71</v>
      </c>
      <c r="Q98" s="83">
        <v>45692</v>
      </c>
      <c r="R98" s="59"/>
      <c r="S98" s="84"/>
      <c r="T98" s="85" t="s">
        <v>967</v>
      </c>
      <c r="U98" s="100"/>
    </row>
    <row r="99" spans="1:21" ht="28.2" customHeight="1" x14ac:dyDescent="0.35">
      <c r="B99" s="122"/>
      <c r="C99" s="124" t="s">
        <v>276</v>
      </c>
      <c r="D99" s="88" t="s">
        <v>251</v>
      </c>
      <c r="E99" s="89">
        <f t="shared" ref="E99:E106" si="2">ROW()-3</f>
        <v>96</v>
      </c>
      <c r="F99" s="90" t="s">
        <v>277</v>
      </c>
      <c r="G99" s="91" t="s">
        <v>278</v>
      </c>
      <c r="H99" s="48" t="s">
        <v>948</v>
      </c>
      <c r="I99" s="48" t="s">
        <v>71</v>
      </c>
      <c r="J99" s="48" t="s">
        <v>71</v>
      </c>
      <c r="K99" s="48" t="s">
        <v>71</v>
      </c>
      <c r="L99" s="48" t="s">
        <v>71</v>
      </c>
      <c r="M99" s="48" t="s">
        <v>71</v>
      </c>
      <c r="N99" s="48" t="s">
        <v>71</v>
      </c>
      <c r="O99" s="48" t="s">
        <v>71</v>
      </c>
      <c r="P99" s="62" t="s">
        <v>71</v>
      </c>
      <c r="Q99" s="428">
        <v>45692</v>
      </c>
      <c r="R99" s="429"/>
      <c r="S99" s="430"/>
      <c r="T99" s="85" t="s">
        <v>1013</v>
      </c>
      <c r="U99" s="100" t="s">
        <v>1010</v>
      </c>
    </row>
    <row r="100" spans="1:21" ht="28.2" customHeight="1" x14ac:dyDescent="0.35">
      <c r="B100" s="122"/>
      <c r="C100" s="124" t="s">
        <v>279</v>
      </c>
      <c r="D100" s="88" t="s">
        <v>251</v>
      </c>
      <c r="E100" s="89">
        <f t="shared" si="2"/>
        <v>97</v>
      </c>
      <c r="F100" s="90" t="s">
        <v>280</v>
      </c>
      <c r="G100" s="91" t="s">
        <v>278</v>
      </c>
      <c r="H100" s="48" t="s">
        <v>948</v>
      </c>
      <c r="I100" s="48" t="s">
        <v>71</v>
      </c>
      <c r="J100" s="48" t="s">
        <v>71</v>
      </c>
      <c r="K100" s="48" t="s">
        <v>71</v>
      </c>
      <c r="L100" s="48" t="s">
        <v>71</v>
      </c>
      <c r="M100" s="48" t="s">
        <v>71</v>
      </c>
      <c r="N100" s="48" t="s">
        <v>71</v>
      </c>
      <c r="O100" s="48" t="s">
        <v>71</v>
      </c>
      <c r="P100" s="62" t="s">
        <v>71</v>
      </c>
      <c r="Q100" s="428">
        <v>45692</v>
      </c>
      <c r="R100" s="429"/>
      <c r="S100" s="430"/>
      <c r="T100" s="85" t="s">
        <v>1013</v>
      </c>
      <c r="U100" s="100" t="s">
        <v>1012</v>
      </c>
    </row>
    <row r="101" spans="1:21" ht="28.2" customHeight="1" x14ac:dyDescent="0.35">
      <c r="B101" s="122"/>
      <c r="C101" s="124" t="s">
        <v>281</v>
      </c>
      <c r="D101" s="88" t="s">
        <v>251</v>
      </c>
      <c r="E101" s="89">
        <f t="shared" si="2"/>
        <v>98</v>
      </c>
      <c r="F101" s="90" t="s">
        <v>282</v>
      </c>
      <c r="G101" s="91" t="s">
        <v>278</v>
      </c>
      <c r="H101" s="48" t="s">
        <v>948</v>
      </c>
      <c r="I101" s="48" t="s">
        <v>71</v>
      </c>
      <c r="J101" s="48" t="s">
        <v>71</v>
      </c>
      <c r="K101" s="48" t="s">
        <v>71</v>
      </c>
      <c r="L101" s="48" t="s">
        <v>71</v>
      </c>
      <c r="M101" s="48" t="s">
        <v>71</v>
      </c>
      <c r="N101" s="48" t="s">
        <v>71</v>
      </c>
      <c r="O101" s="48" t="s">
        <v>71</v>
      </c>
      <c r="P101" s="62" t="s">
        <v>71</v>
      </c>
      <c r="Q101" s="428">
        <v>45692</v>
      </c>
      <c r="R101" s="429"/>
      <c r="S101" s="430"/>
      <c r="T101" s="85" t="s">
        <v>1013</v>
      </c>
      <c r="U101" s="100" t="s">
        <v>1011</v>
      </c>
    </row>
    <row r="102" spans="1:21" ht="66.599999999999994" customHeight="1" x14ac:dyDescent="0.35">
      <c r="B102" s="122"/>
      <c r="C102" s="124" t="s">
        <v>283</v>
      </c>
      <c r="D102" s="88" t="s">
        <v>251</v>
      </c>
      <c r="E102" s="89">
        <f t="shared" si="2"/>
        <v>99</v>
      </c>
      <c r="F102" s="90" t="s">
        <v>284</v>
      </c>
      <c r="G102" s="91" t="s">
        <v>278</v>
      </c>
      <c r="H102" s="48" t="s">
        <v>948</v>
      </c>
      <c r="I102" s="48" t="s">
        <v>71</v>
      </c>
      <c r="J102" s="48" t="s">
        <v>71</v>
      </c>
      <c r="K102" s="48" t="s">
        <v>71</v>
      </c>
      <c r="L102" s="48" t="s">
        <v>71</v>
      </c>
      <c r="M102" s="48" t="s">
        <v>71</v>
      </c>
      <c r="N102" s="48" t="s">
        <v>71</v>
      </c>
      <c r="O102" s="48" t="s">
        <v>71</v>
      </c>
      <c r="P102" s="62" t="s">
        <v>71</v>
      </c>
      <c r="Q102" s="428">
        <v>45692</v>
      </c>
      <c r="R102" s="429"/>
      <c r="S102" s="430"/>
      <c r="T102" s="85" t="s">
        <v>1013</v>
      </c>
      <c r="U102" s="100" t="s">
        <v>285</v>
      </c>
    </row>
    <row r="103" spans="1:21" ht="45" customHeight="1" x14ac:dyDescent="0.35">
      <c r="B103" s="122"/>
      <c r="C103" s="320" t="s">
        <v>286</v>
      </c>
      <c r="D103" s="93" t="s">
        <v>251</v>
      </c>
      <c r="E103" s="94">
        <f t="shared" si="2"/>
        <v>100</v>
      </c>
      <c r="F103" s="95"/>
      <c r="G103" s="96" t="s">
        <v>287</v>
      </c>
      <c r="H103" s="79" t="s">
        <v>103</v>
      </c>
      <c r="I103" s="50" t="s">
        <v>103</v>
      </c>
      <c r="J103" s="50" t="s">
        <v>71</v>
      </c>
      <c r="K103" s="50" t="s">
        <v>71</v>
      </c>
      <c r="L103" s="50" t="s">
        <v>71</v>
      </c>
      <c r="M103" s="50" t="s">
        <v>71</v>
      </c>
      <c r="N103" s="321" t="s">
        <v>71</v>
      </c>
      <c r="O103" s="50" t="s">
        <v>71</v>
      </c>
      <c r="P103" s="63" t="s">
        <v>71</v>
      </c>
      <c r="Q103" s="65"/>
      <c r="R103" s="51"/>
      <c r="S103" s="67"/>
      <c r="T103" s="69"/>
      <c r="U103" s="102"/>
    </row>
    <row r="104" spans="1:21" ht="28.2" customHeight="1" x14ac:dyDescent="0.35">
      <c r="B104" s="125" t="s">
        <v>184</v>
      </c>
      <c r="C104" s="124" t="s">
        <v>288</v>
      </c>
      <c r="D104" s="230" t="s">
        <v>289</v>
      </c>
      <c r="E104" s="89">
        <f t="shared" si="2"/>
        <v>101</v>
      </c>
      <c r="F104" s="90"/>
      <c r="G104" s="91" t="s">
        <v>290</v>
      </c>
      <c r="H104" s="48" t="s">
        <v>948</v>
      </c>
      <c r="I104" s="48" t="s">
        <v>71</v>
      </c>
      <c r="J104" s="48" t="s">
        <v>71</v>
      </c>
      <c r="K104" s="48" t="s">
        <v>71</v>
      </c>
      <c r="L104" s="48" t="s">
        <v>948</v>
      </c>
      <c r="M104" s="48" t="s">
        <v>948</v>
      </c>
      <c r="N104" s="48" t="s">
        <v>71</v>
      </c>
      <c r="O104" s="48" t="s">
        <v>71</v>
      </c>
      <c r="P104" s="62" t="s">
        <v>71</v>
      </c>
      <c r="Q104" s="83">
        <v>45692</v>
      </c>
      <c r="R104" s="59"/>
      <c r="S104" s="84"/>
      <c r="T104" s="85" t="s">
        <v>967</v>
      </c>
      <c r="U104" s="103"/>
    </row>
    <row r="105" spans="1:21" ht="28.2" customHeight="1" x14ac:dyDescent="0.35">
      <c r="B105" s="125" t="s">
        <v>291</v>
      </c>
      <c r="C105" s="124" t="s">
        <v>292</v>
      </c>
      <c r="D105" s="230" t="s">
        <v>293</v>
      </c>
      <c r="E105" s="231">
        <f t="shared" si="2"/>
        <v>102</v>
      </c>
      <c r="F105" s="97" t="s">
        <v>294</v>
      </c>
      <c r="G105" s="91" t="s">
        <v>295</v>
      </c>
      <c r="H105" s="377" t="s">
        <v>71</v>
      </c>
      <c r="I105" s="339" t="s">
        <v>71</v>
      </c>
      <c r="J105" s="339" t="s">
        <v>71</v>
      </c>
      <c r="K105" s="378" t="s">
        <v>71</v>
      </c>
      <c r="L105" s="339" t="s">
        <v>71</v>
      </c>
      <c r="M105" s="339" t="s">
        <v>71</v>
      </c>
      <c r="N105" s="378" t="s">
        <v>71</v>
      </c>
      <c r="O105" s="48" t="s">
        <v>948</v>
      </c>
      <c r="P105" s="343" t="s">
        <v>71</v>
      </c>
      <c r="Q105" s="83">
        <v>45692</v>
      </c>
      <c r="R105" s="59"/>
      <c r="S105" s="84"/>
      <c r="T105" s="85" t="s">
        <v>967</v>
      </c>
      <c r="U105" s="341" t="s">
        <v>296</v>
      </c>
    </row>
    <row r="106" spans="1:21" ht="28.2" customHeight="1" thickBot="1" x14ac:dyDescent="0.4">
      <c r="B106" s="122"/>
      <c r="C106" s="124" t="s">
        <v>297</v>
      </c>
      <c r="D106" s="233" t="s">
        <v>293</v>
      </c>
      <c r="E106" s="154">
        <f t="shared" si="2"/>
        <v>103</v>
      </c>
      <c r="F106" s="155" t="s">
        <v>298</v>
      </c>
      <c r="G106" s="156" t="s">
        <v>299</v>
      </c>
      <c r="H106" s="80" t="s">
        <v>71</v>
      </c>
      <c r="I106" s="53" t="s">
        <v>71</v>
      </c>
      <c r="J106" s="53" t="s">
        <v>71</v>
      </c>
      <c r="K106" s="52" t="s">
        <v>71</v>
      </c>
      <c r="L106" s="53" t="s">
        <v>71</v>
      </c>
      <c r="M106" s="53" t="s">
        <v>71</v>
      </c>
      <c r="N106" s="52" t="s">
        <v>71</v>
      </c>
      <c r="O106" s="48" t="s">
        <v>948</v>
      </c>
      <c r="P106" s="72" t="s">
        <v>71</v>
      </c>
      <c r="Q106" s="83">
        <v>45692</v>
      </c>
      <c r="R106" s="59"/>
      <c r="S106" s="84"/>
      <c r="T106" s="85" t="s">
        <v>967</v>
      </c>
      <c r="U106" s="341" t="s">
        <v>296</v>
      </c>
    </row>
    <row r="107" spans="1:21" ht="18" customHeight="1" x14ac:dyDescent="0.35">
      <c r="B107" s="524" t="s">
        <v>300</v>
      </c>
      <c r="C107" s="509"/>
      <c r="D107" s="509">
        <f>SUM(H109:P109)</f>
        <v>129</v>
      </c>
      <c r="E107" s="157"/>
      <c r="F107" s="158"/>
      <c r="G107" s="248" t="s">
        <v>301</v>
      </c>
      <c r="H107" s="160">
        <f>COUNTIF(H4:H106,"●")+COUNTIF(H4:H106,"■")+COUNTIF(H4:H106,"OK")</f>
        <v>67</v>
      </c>
      <c r="I107" s="160">
        <f t="shared" ref="I107:P107" si="3">COUNTIF(I4:I106,"●")+COUNTIF(I4:I106,"■")+COUNTIF(I4:I106,"OK")</f>
        <v>0</v>
      </c>
      <c r="J107" s="160">
        <f t="shared" si="3"/>
        <v>0</v>
      </c>
      <c r="K107" s="160">
        <f t="shared" si="3"/>
        <v>24</v>
      </c>
      <c r="L107" s="160">
        <f t="shared" si="3"/>
        <v>20</v>
      </c>
      <c r="M107" s="160">
        <f t="shared" si="3"/>
        <v>14</v>
      </c>
      <c r="N107" s="160">
        <f t="shared" si="3"/>
        <v>0</v>
      </c>
      <c r="O107" s="160">
        <f t="shared" si="3"/>
        <v>4</v>
      </c>
      <c r="P107" s="160">
        <f t="shared" si="3"/>
        <v>0</v>
      </c>
      <c r="Q107" s="511" t="s">
        <v>302</v>
      </c>
      <c r="R107" s="511"/>
      <c r="S107" s="511"/>
      <c r="T107" s="161"/>
      <c r="U107" s="162"/>
    </row>
    <row r="108" spans="1:21" ht="18" customHeight="1" x14ac:dyDescent="0.35">
      <c r="B108" s="525"/>
      <c r="C108" s="510"/>
      <c r="D108" s="510"/>
      <c r="E108" s="55"/>
      <c r="F108" s="56"/>
      <c r="G108" s="249" t="s">
        <v>303</v>
      </c>
      <c r="H108" s="75">
        <f t="shared" ref="H108:P108" si="4">COUNTIF(H4:H106,"×")+COUNTIF(H4:H106,"NG")</f>
        <v>0</v>
      </c>
      <c r="I108" s="76">
        <f t="shared" si="4"/>
        <v>0</v>
      </c>
      <c r="J108" s="76">
        <f t="shared" si="4"/>
        <v>0</v>
      </c>
      <c r="K108" s="76">
        <f t="shared" si="4"/>
        <v>0</v>
      </c>
      <c r="L108" s="76">
        <f t="shared" si="4"/>
        <v>0</v>
      </c>
      <c r="M108" s="76">
        <f t="shared" si="4"/>
        <v>0</v>
      </c>
      <c r="N108" s="76">
        <f t="shared" si="4"/>
        <v>0</v>
      </c>
      <c r="O108" s="76">
        <f t="shared" si="4"/>
        <v>0</v>
      </c>
      <c r="P108" s="77">
        <f t="shared" si="4"/>
        <v>0</v>
      </c>
      <c r="Q108" s="512"/>
      <c r="R108" s="512"/>
      <c r="S108" s="512"/>
      <c r="T108" s="71"/>
      <c r="U108" s="105"/>
    </row>
    <row r="109" spans="1:21" ht="18" customHeight="1" x14ac:dyDescent="0.35">
      <c r="B109" s="526" t="s">
        <v>304</v>
      </c>
      <c r="C109" s="507"/>
      <c r="D109" s="507">
        <f>SUM(H110:P110)</f>
        <v>130</v>
      </c>
      <c r="E109" s="45"/>
      <c r="F109" s="46"/>
      <c r="G109" s="249" t="s">
        <v>305</v>
      </c>
      <c r="H109" s="75">
        <f t="shared" ref="H109:P109" si="5">H107+H108</f>
        <v>67</v>
      </c>
      <c r="I109" s="76">
        <f t="shared" si="5"/>
        <v>0</v>
      </c>
      <c r="J109" s="76">
        <f t="shared" si="5"/>
        <v>0</v>
      </c>
      <c r="K109" s="76">
        <f t="shared" si="5"/>
        <v>24</v>
      </c>
      <c r="L109" s="76">
        <f t="shared" si="5"/>
        <v>20</v>
      </c>
      <c r="M109" s="76">
        <f t="shared" si="5"/>
        <v>14</v>
      </c>
      <c r="N109" s="76">
        <f t="shared" si="5"/>
        <v>0</v>
      </c>
      <c r="O109" s="76">
        <f t="shared" si="5"/>
        <v>4</v>
      </c>
      <c r="P109" s="77">
        <f t="shared" si="5"/>
        <v>0</v>
      </c>
      <c r="Q109" s="513">
        <f>COUNTA(Q4:Q106)</f>
        <v>78</v>
      </c>
      <c r="R109" s="515">
        <f>COUNTA(R4:R106)</f>
        <v>0</v>
      </c>
      <c r="S109" s="517">
        <f>COUNTA(S4:S106)</f>
        <v>0</v>
      </c>
      <c r="T109" s="71"/>
      <c r="U109" s="105"/>
    </row>
    <row r="110" spans="1:21" ht="18" customHeight="1" thickBot="1" x14ac:dyDescent="0.4">
      <c r="A110" s="118"/>
      <c r="B110" s="527"/>
      <c r="C110" s="508"/>
      <c r="D110" s="508"/>
      <c r="E110" s="106"/>
      <c r="F110" s="107"/>
      <c r="G110" s="250" t="s">
        <v>306</v>
      </c>
      <c r="H110" s="109">
        <f>COUNTBLANK(H4:H106)+H109+COUNTIF(H4:H106,"□")</f>
        <v>68</v>
      </c>
      <c r="I110" s="110">
        <f t="shared" ref="I110:P110" si="6">COUNTBLANK(I4:I106)+I109+COUNTIF(I4:I106,"□")</f>
        <v>0</v>
      </c>
      <c r="J110" s="110">
        <f t="shared" si="6"/>
        <v>0</v>
      </c>
      <c r="K110" s="110">
        <f t="shared" si="6"/>
        <v>24</v>
      </c>
      <c r="L110" s="110">
        <f t="shared" si="6"/>
        <v>20</v>
      </c>
      <c r="M110" s="110">
        <f t="shared" si="6"/>
        <v>14</v>
      </c>
      <c r="N110" s="110">
        <f t="shared" si="6"/>
        <v>0</v>
      </c>
      <c r="O110" s="110">
        <f t="shared" si="6"/>
        <v>4</v>
      </c>
      <c r="P110" s="111">
        <f t="shared" si="6"/>
        <v>0</v>
      </c>
      <c r="Q110" s="514"/>
      <c r="R110" s="516"/>
      <c r="S110" s="518"/>
      <c r="T110" s="112"/>
      <c r="U110" s="113"/>
    </row>
    <row r="111" spans="1:21" ht="24" customHeight="1" x14ac:dyDescent="0.35">
      <c r="P111" s="119">
        <f>SUM(H110:P110)</f>
        <v>130</v>
      </c>
    </row>
    <row r="114" spans="3:3" x14ac:dyDescent="0.35">
      <c r="C114" s="60" t="s">
        <v>307</v>
      </c>
    </row>
    <row r="115" spans="3:3" x14ac:dyDescent="0.35">
      <c r="C115" s="414">
        <f>SUM($D$109+Win10対応_POS!$D$94)</f>
        <v>330</v>
      </c>
    </row>
  </sheetData>
  <mergeCells count="16">
    <mergeCell ref="B2:B3"/>
    <mergeCell ref="C2:C3"/>
    <mergeCell ref="D2:D3"/>
    <mergeCell ref="B107:C108"/>
    <mergeCell ref="B109:C110"/>
    <mergeCell ref="E2:G2"/>
    <mergeCell ref="Q2:S2"/>
    <mergeCell ref="U2:U3"/>
    <mergeCell ref="T2:T3"/>
    <mergeCell ref="D109:D110"/>
    <mergeCell ref="D107:D108"/>
    <mergeCell ref="Q107:S108"/>
    <mergeCell ref="Q109:Q110"/>
    <mergeCell ref="R109:R110"/>
    <mergeCell ref="S109:S110"/>
    <mergeCell ref="H2:P2"/>
  </mergeCells>
  <phoneticPr fontId="17"/>
  <pageMargins left="0.25" right="0.25" top="0.75" bottom="0.75" header="0.3" footer="0.3"/>
  <pageSetup paperSize="8" scale="72" fitToHeight="0" orientation="landscape" r:id="rId1"/>
  <rowBreaks count="2" manualBreakCount="2">
    <brk id="64" max="26" man="1"/>
    <brk id="89" max="26" man="1"/>
  </rowBreaks>
  <customProperties>
    <customPr name="EpmWorksheetKeyString_GU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FFD93-CEDE-4243-9B9B-0A8C1BEA4178}">
  <sheetPr codeName="Sheet111">
    <pageSetUpPr fitToPage="1"/>
  </sheetPr>
  <dimension ref="A1:V114"/>
  <sheetViews>
    <sheetView view="pageBreakPreview" zoomScale="73" zoomScaleNormal="70" zoomScaleSheetLayoutView="73" workbookViewId="0">
      <pane ySplit="3" topLeftCell="A97" activePane="bottomLeft" state="frozen"/>
      <selection pane="bottomLeft" activeCell="Q6" sqref="Q6"/>
    </sheetView>
  </sheetViews>
  <sheetFormatPr defaultColWidth="8.6640625" defaultRowHeight="13.2" x14ac:dyDescent="0.35"/>
  <cols>
    <col min="1" max="1" width="3.109375" style="60" customWidth="1"/>
    <col min="2" max="2" width="8.1093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53.33203125" style="120" bestFit="1" customWidth="1"/>
    <col min="22" max="22" width="5" style="120" customWidth="1"/>
    <col min="23" max="16384" width="8.6640625" style="120"/>
  </cols>
  <sheetData>
    <row r="1" spans="1:22" ht="20.399999999999999" thickBot="1" x14ac:dyDescent="0.4">
      <c r="B1" s="121" t="s">
        <v>42</v>
      </c>
      <c r="E1" s="121"/>
    </row>
    <row r="2" spans="1:22" ht="24" customHeight="1" x14ac:dyDescent="0.35">
      <c r="A2" s="118"/>
      <c r="B2" s="522" t="s">
        <v>43</v>
      </c>
      <c r="C2" s="505" t="s">
        <v>44</v>
      </c>
      <c r="D2" s="505" t="s">
        <v>45</v>
      </c>
      <c r="E2" s="498" t="s">
        <v>46</v>
      </c>
      <c r="F2" s="499"/>
      <c r="G2" s="500"/>
      <c r="H2" s="519" t="s">
        <v>308</v>
      </c>
      <c r="I2" s="520"/>
      <c r="J2" s="520"/>
      <c r="K2" s="520"/>
      <c r="L2" s="520"/>
      <c r="M2" s="520"/>
      <c r="N2" s="520"/>
      <c r="O2" s="520"/>
      <c r="P2" s="521"/>
      <c r="Q2" s="501" t="s">
        <v>48</v>
      </c>
      <c r="R2" s="502"/>
      <c r="S2" s="502"/>
      <c r="T2" s="505" t="s">
        <v>49</v>
      </c>
      <c r="U2" s="503" t="s">
        <v>50</v>
      </c>
    </row>
    <row r="3" spans="1:22" ht="27" thickBot="1" x14ac:dyDescent="0.4">
      <c r="A3" s="118"/>
      <c r="B3" s="523"/>
      <c r="C3" s="506"/>
      <c r="D3" s="506"/>
      <c r="E3" s="114" t="s">
        <v>51</v>
      </c>
      <c r="F3" s="247"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506"/>
      <c r="U3" s="504"/>
    </row>
    <row r="4" spans="1:22" ht="28.2" customHeight="1" x14ac:dyDescent="0.35">
      <c r="B4" s="122" t="s">
        <v>66</v>
      </c>
      <c r="C4" s="123" t="s">
        <v>67</v>
      </c>
      <c r="D4" s="227" t="s">
        <v>68</v>
      </c>
      <c r="E4" s="228">
        <f>ROW()-3</f>
        <v>1</v>
      </c>
      <c r="F4" s="229" t="s">
        <v>69</v>
      </c>
      <c r="G4" s="87" t="s">
        <v>70</v>
      </c>
      <c r="H4" s="81" t="s">
        <v>71</v>
      </c>
      <c r="I4" s="58" t="s">
        <v>71</v>
      </c>
      <c r="J4" s="58" t="s">
        <v>71</v>
      </c>
      <c r="K4" s="57" t="s">
        <v>71</v>
      </c>
      <c r="L4" s="58" t="s">
        <v>71</v>
      </c>
      <c r="M4" s="58" t="s">
        <v>71</v>
      </c>
      <c r="N4" s="58" t="s">
        <v>71</v>
      </c>
      <c r="O4" s="78" t="s">
        <v>310</v>
      </c>
      <c r="P4" s="82" t="s">
        <v>71</v>
      </c>
      <c r="Q4" s="73">
        <v>45692</v>
      </c>
      <c r="R4" s="54"/>
      <c r="S4" s="74"/>
      <c r="T4" s="85"/>
      <c r="U4" s="99"/>
    </row>
    <row r="5" spans="1:22" ht="28.2" customHeight="1" x14ac:dyDescent="0.35">
      <c r="B5" s="122"/>
      <c r="C5" s="123"/>
      <c r="D5" s="230" t="s">
        <v>73</v>
      </c>
      <c r="E5" s="231">
        <f t="shared" ref="E5:E93" si="0">ROW()-3</f>
        <v>2</v>
      </c>
      <c r="F5" s="97" t="s">
        <v>69</v>
      </c>
      <c r="G5" s="91" t="s">
        <v>74</v>
      </c>
      <c r="H5" s="78" t="s">
        <v>71</v>
      </c>
      <c r="I5" s="48" t="s">
        <v>71</v>
      </c>
      <c r="J5" s="48" t="s">
        <v>71</v>
      </c>
      <c r="K5" s="48" t="s">
        <v>71</v>
      </c>
      <c r="L5" s="48" t="s">
        <v>71</v>
      </c>
      <c r="M5" s="48" t="s">
        <v>71</v>
      </c>
      <c r="N5" s="48" t="s">
        <v>71</v>
      </c>
      <c r="O5" s="78" t="s">
        <v>310</v>
      </c>
      <c r="P5" s="62" t="s">
        <v>71</v>
      </c>
      <c r="Q5" s="73">
        <v>45692</v>
      </c>
      <c r="R5" s="54"/>
      <c r="S5" s="74"/>
      <c r="T5" s="85"/>
      <c r="U5" s="100"/>
    </row>
    <row r="6" spans="1:22" ht="28.2" customHeight="1" x14ac:dyDescent="0.35">
      <c r="B6" s="122"/>
      <c r="C6" s="320" t="s">
        <v>75</v>
      </c>
      <c r="D6" s="328" t="s">
        <v>76</v>
      </c>
      <c r="E6" s="94">
        <f t="shared" si="0"/>
        <v>3</v>
      </c>
      <c r="F6" s="95" t="s">
        <v>77</v>
      </c>
      <c r="G6" s="96" t="s">
        <v>78</v>
      </c>
      <c r="H6" s="79" t="s">
        <v>71</v>
      </c>
      <c r="I6" s="50" t="s">
        <v>71</v>
      </c>
      <c r="J6" s="50" t="s">
        <v>71</v>
      </c>
      <c r="K6" s="50" t="s">
        <v>71</v>
      </c>
      <c r="L6" s="50" t="s">
        <v>71</v>
      </c>
      <c r="M6" s="50" t="s">
        <v>71</v>
      </c>
      <c r="N6" s="50" t="s">
        <v>71</v>
      </c>
      <c r="O6" s="50" t="s">
        <v>71</v>
      </c>
      <c r="P6" s="63" t="s">
        <v>71</v>
      </c>
      <c r="Q6" s="65"/>
      <c r="R6" s="51"/>
      <c r="S6" s="67"/>
      <c r="T6" s="322"/>
      <c r="U6" s="102" t="s">
        <v>79</v>
      </c>
    </row>
    <row r="7" spans="1:22" ht="28.2" customHeight="1" x14ac:dyDescent="0.35">
      <c r="B7" s="122"/>
      <c r="C7" s="330"/>
      <c r="D7" s="328" t="s">
        <v>80</v>
      </c>
      <c r="E7" s="94">
        <f t="shared" si="0"/>
        <v>4</v>
      </c>
      <c r="F7" s="95" t="s">
        <v>77</v>
      </c>
      <c r="G7" s="96" t="s">
        <v>81</v>
      </c>
      <c r="H7" s="79" t="s">
        <v>71</v>
      </c>
      <c r="I7" s="50" t="s">
        <v>71</v>
      </c>
      <c r="J7" s="50" t="s">
        <v>71</v>
      </c>
      <c r="K7" s="50" t="s">
        <v>71</v>
      </c>
      <c r="L7" s="50" t="s">
        <v>71</v>
      </c>
      <c r="M7" s="50" t="s">
        <v>71</v>
      </c>
      <c r="N7" s="50" t="s">
        <v>71</v>
      </c>
      <c r="O7" s="50" t="s">
        <v>71</v>
      </c>
      <c r="P7" s="63" t="s">
        <v>71</v>
      </c>
      <c r="Q7" s="65"/>
      <c r="R7" s="51"/>
      <c r="S7" s="67"/>
      <c r="T7" s="322"/>
      <c r="U7" s="102" t="s">
        <v>79</v>
      </c>
    </row>
    <row r="8" spans="1:22" ht="28.2" customHeight="1" x14ac:dyDescent="0.35">
      <c r="B8" s="125" t="s">
        <v>82</v>
      </c>
      <c r="C8" s="124"/>
      <c r="D8" s="230" t="s">
        <v>83</v>
      </c>
      <c r="E8" s="231">
        <f t="shared" si="0"/>
        <v>5</v>
      </c>
      <c r="F8" s="97"/>
      <c r="G8" s="91" t="s">
        <v>309</v>
      </c>
      <c r="H8" s="48" t="s">
        <v>71</v>
      </c>
      <c r="I8" s="48" t="s">
        <v>71</v>
      </c>
      <c r="J8" s="48" t="s">
        <v>71</v>
      </c>
      <c r="K8" s="78" t="s">
        <v>310</v>
      </c>
      <c r="L8" s="48" t="s">
        <v>71</v>
      </c>
      <c r="M8" s="48" t="s">
        <v>71</v>
      </c>
      <c r="N8" s="48" t="s">
        <v>71</v>
      </c>
      <c r="O8" s="48" t="s">
        <v>71</v>
      </c>
      <c r="P8" s="62" t="s">
        <v>71</v>
      </c>
      <c r="Q8" s="64">
        <v>45687</v>
      </c>
      <c r="R8" s="49"/>
      <c r="S8" s="66"/>
      <c r="T8" s="85"/>
      <c r="U8" s="100" t="s">
        <v>311</v>
      </c>
    </row>
    <row r="9" spans="1:22" ht="28.2" customHeight="1" x14ac:dyDescent="0.35">
      <c r="B9" s="122"/>
      <c r="C9" s="123"/>
      <c r="D9" s="232" t="s">
        <v>85</v>
      </c>
      <c r="E9" s="231">
        <f t="shared" si="0"/>
        <v>6</v>
      </c>
      <c r="F9" s="97"/>
      <c r="G9" s="91" t="s">
        <v>86</v>
      </c>
      <c r="H9" s="78" t="s">
        <v>310</v>
      </c>
      <c r="I9" s="48" t="s">
        <v>71</v>
      </c>
      <c r="J9" s="48" t="s">
        <v>71</v>
      </c>
      <c r="K9" s="78" t="s">
        <v>310</v>
      </c>
      <c r="L9" s="48" t="s">
        <v>71</v>
      </c>
      <c r="M9" s="48" t="s">
        <v>71</v>
      </c>
      <c r="N9" s="48" t="s">
        <v>71</v>
      </c>
      <c r="O9" s="48" t="s">
        <v>71</v>
      </c>
      <c r="P9" s="62" t="s">
        <v>71</v>
      </c>
      <c r="Q9" s="64">
        <v>45687</v>
      </c>
      <c r="R9" s="54"/>
      <c r="S9" s="74"/>
      <c r="T9" s="85"/>
      <c r="U9" s="101"/>
    </row>
    <row r="10" spans="1:22" ht="28.2" customHeight="1" x14ac:dyDescent="0.35">
      <c r="B10" s="122"/>
      <c r="C10" s="124" t="s">
        <v>87</v>
      </c>
      <c r="D10" s="232" t="s">
        <v>88</v>
      </c>
      <c r="E10" s="231">
        <f t="shared" si="0"/>
        <v>7</v>
      </c>
      <c r="F10" s="97"/>
      <c r="G10" s="91" t="s">
        <v>89</v>
      </c>
      <c r="H10" s="78" t="s">
        <v>71</v>
      </c>
      <c r="I10" s="48" t="s">
        <v>71</v>
      </c>
      <c r="J10" s="48" t="s">
        <v>71</v>
      </c>
      <c r="K10" s="78" t="s">
        <v>71</v>
      </c>
      <c r="L10" s="78" t="s">
        <v>310</v>
      </c>
      <c r="M10" s="78" t="s">
        <v>310</v>
      </c>
      <c r="N10" s="48" t="s">
        <v>71</v>
      </c>
      <c r="O10" s="48" t="s">
        <v>71</v>
      </c>
      <c r="P10" s="62" t="s">
        <v>71</v>
      </c>
      <c r="Q10" s="64">
        <v>45687</v>
      </c>
      <c r="R10" s="49"/>
      <c r="S10" s="66"/>
      <c r="T10" s="85"/>
      <c r="U10" s="103" t="s">
        <v>312</v>
      </c>
      <c r="V10" s="126"/>
    </row>
    <row r="11" spans="1:22" ht="28.2" customHeight="1" x14ac:dyDescent="0.35">
      <c r="B11" s="125" t="s">
        <v>90</v>
      </c>
      <c r="C11" s="124" t="s">
        <v>91</v>
      </c>
      <c r="D11" s="230" t="s">
        <v>92</v>
      </c>
      <c r="E11" s="231">
        <f t="shared" si="0"/>
        <v>8</v>
      </c>
      <c r="F11" s="97" t="s">
        <v>93</v>
      </c>
      <c r="G11" s="91" t="s">
        <v>94</v>
      </c>
      <c r="H11" s="78" t="s">
        <v>310</v>
      </c>
      <c r="I11" s="48" t="s">
        <v>71</v>
      </c>
      <c r="J11" s="48" t="s">
        <v>71</v>
      </c>
      <c r="K11" s="78" t="s">
        <v>310</v>
      </c>
      <c r="L11" s="48" t="s">
        <v>71</v>
      </c>
      <c r="M11" s="48" t="s">
        <v>71</v>
      </c>
      <c r="N11" s="48" t="s">
        <v>71</v>
      </c>
      <c r="O11" s="48" t="s">
        <v>71</v>
      </c>
      <c r="P11" s="62" t="s">
        <v>71</v>
      </c>
      <c r="Q11" s="64">
        <v>45687</v>
      </c>
      <c r="R11" s="49"/>
      <c r="S11" s="66"/>
      <c r="T11" s="85"/>
      <c r="U11" s="100"/>
    </row>
    <row r="12" spans="1:22" ht="62.4" customHeight="1" x14ac:dyDescent="0.35">
      <c r="B12" s="122"/>
      <c r="C12" s="123"/>
      <c r="D12" s="230" t="s">
        <v>95</v>
      </c>
      <c r="E12" s="231">
        <f t="shared" si="0"/>
        <v>9</v>
      </c>
      <c r="F12" s="98" t="s">
        <v>96</v>
      </c>
      <c r="G12" s="91" t="s">
        <v>97</v>
      </c>
      <c r="H12" s="78" t="s">
        <v>310</v>
      </c>
      <c r="I12" s="48" t="s">
        <v>71</v>
      </c>
      <c r="J12" s="48" t="s">
        <v>71</v>
      </c>
      <c r="K12" s="78" t="s">
        <v>310</v>
      </c>
      <c r="L12" s="48" t="s">
        <v>71</v>
      </c>
      <c r="M12" s="48" t="s">
        <v>71</v>
      </c>
      <c r="N12" s="48" t="s">
        <v>71</v>
      </c>
      <c r="O12" s="48" t="s">
        <v>71</v>
      </c>
      <c r="P12" s="62" t="s">
        <v>71</v>
      </c>
      <c r="Q12" s="64">
        <v>45687</v>
      </c>
      <c r="R12" s="49"/>
      <c r="S12" s="66"/>
      <c r="T12" s="85"/>
      <c r="U12" s="100"/>
    </row>
    <row r="13" spans="1:22" ht="28.2" customHeight="1" x14ac:dyDescent="0.35">
      <c r="B13" s="122"/>
      <c r="C13" s="123"/>
      <c r="D13" s="230" t="s">
        <v>98</v>
      </c>
      <c r="E13" s="231">
        <f t="shared" si="0"/>
        <v>10</v>
      </c>
      <c r="F13" s="98"/>
      <c r="G13" s="91" t="s">
        <v>99</v>
      </c>
      <c r="H13" s="78" t="s">
        <v>310</v>
      </c>
      <c r="I13" s="48" t="s">
        <v>71</v>
      </c>
      <c r="J13" s="48" t="s">
        <v>71</v>
      </c>
      <c r="K13" s="78" t="s">
        <v>310</v>
      </c>
      <c r="L13" s="48" t="s">
        <v>71</v>
      </c>
      <c r="M13" s="48" t="s">
        <v>71</v>
      </c>
      <c r="N13" s="48" t="s">
        <v>71</v>
      </c>
      <c r="O13" s="48" t="s">
        <v>71</v>
      </c>
      <c r="P13" s="62" t="s">
        <v>71</v>
      </c>
      <c r="Q13" s="64">
        <v>45687</v>
      </c>
      <c r="R13" s="49"/>
      <c r="S13" s="66"/>
      <c r="T13" s="85"/>
      <c r="U13" s="100"/>
    </row>
    <row r="14" spans="1:22" ht="28.2" customHeight="1" x14ac:dyDescent="0.35">
      <c r="B14" s="122"/>
      <c r="C14" s="123"/>
      <c r="D14" s="93" t="s">
        <v>100</v>
      </c>
      <c r="E14" s="94">
        <f t="shared" si="0"/>
        <v>11</v>
      </c>
      <c r="F14" s="333" t="s">
        <v>101</v>
      </c>
      <c r="G14" s="96" t="s">
        <v>102</v>
      </c>
      <c r="H14" s="79" t="s">
        <v>103</v>
      </c>
      <c r="I14" s="50" t="s">
        <v>103</v>
      </c>
      <c r="J14" s="50" t="s">
        <v>71</v>
      </c>
      <c r="K14" s="50" t="s">
        <v>71</v>
      </c>
      <c r="L14" s="50" t="s">
        <v>71</v>
      </c>
      <c r="M14" s="50" t="s">
        <v>71</v>
      </c>
      <c r="N14" s="50" t="s">
        <v>71</v>
      </c>
      <c r="O14" s="50" t="s">
        <v>71</v>
      </c>
      <c r="P14" s="63" t="s">
        <v>71</v>
      </c>
      <c r="Q14" s="65"/>
      <c r="R14" s="51"/>
      <c r="S14" s="67"/>
      <c r="T14" s="322"/>
      <c r="U14" s="102" t="s">
        <v>104</v>
      </c>
    </row>
    <row r="15" spans="1:22" ht="28.2" customHeight="1" x14ac:dyDescent="0.35">
      <c r="B15" s="122"/>
      <c r="C15" s="123"/>
      <c r="D15" s="88" t="s">
        <v>105</v>
      </c>
      <c r="E15" s="89">
        <f t="shared" si="0"/>
        <v>12</v>
      </c>
      <c r="F15" s="90"/>
      <c r="G15" s="91" t="s">
        <v>106</v>
      </c>
      <c r="H15" s="78" t="s">
        <v>310</v>
      </c>
      <c r="I15" s="48" t="s">
        <v>71</v>
      </c>
      <c r="J15" s="48" t="s">
        <v>71</v>
      </c>
      <c r="K15" s="78" t="s">
        <v>71</v>
      </c>
      <c r="L15" s="48" t="s">
        <v>71</v>
      </c>
      <c r="M15" s="48" t="s">
        <v>71</v>
      </c>
      <c r="N15" s="48" t="s">
        <v>71</v>
      </c>
      <c r="O15" s="48" t="s">
        <v>71</v>
      </c>
      <c r="P15" s="48" t="s">
        <v>71</v>
      </c>
      <c r="Q15" s="64">
        <v>45687</v>
      </c>
      <c r="R15" s="49"/>
      <c r="S15" s="66"/>
      <c r="T15" s="85"/>
      <c r="U15" s="100"/>
    </row>
    <row r="16" spans="1:22" ht="28.2" customHeight="1" x14ac:dyDescent="0.35">
      <c r="B16" s="122"/>
      <c r="C16" s="123"/>
      <c r="D16" s="88" t="s">
        <v>107</v>
      </c>
      <c r="E16" s="89">
        <f t="shared" si="0"/>
        <v>13</v>
      </c>
      <c r="F16" s="90"/>
      <c r="G16" s="91" t="s">
        <v>108</v>
      </c>
      <c r="H16" s="78" t="s">
        <v>310</v>
      </c>
      <c r="I16" s="48" t="s">
        <v>71</v>
      </c>
      <c r="J16" s="48" t="s">
        <v>71</v>
      </c>
      <c r="K16" s="78" t="s">
        <v>71</v>
      </c>
      <c r="L16" s="48" t="s">
        <v>71</v>
      </c>
      <c r="M16" s="48" t="s">
        <v>71</v>
      </c>
      <c r="N16" s="48" t="s">
        <v>71</v>
      </c>
      <c r="O16" s="48" t="s">
        <v>71</v>
      </c>
      <c r="P16" s="48" t="s">
        <v>71</v>
      </c>
      <c r="Q16" s="64">
        <v>45687</v>
      </c>
      <c r="R16" s="49"/>
      <c r="S16" s="66"/>
      <c r="T16" s="85"/>
      <c r="U16" s="100"/>
    </row>
    <row r="17" spans="1:22" ht="28.2" customHeight="1" x14ac:dyDescent="0.35">
      <c r="B17" s="122"/>
      <c r="C17" s="123"/>
      <c r="D17" s="230" t="s">
        <v>109</v>
      </c>
      <c r="E17" s="231">
        <f t="shared" si="0"/>
        <v>14</v>
      </c>
      <c r="F17" s="97"/>
      <c r="G17" s="91" t="s">
        <v>110</v>
      </c>
      <c r="H17" s="78" t="s">
        <v>310</v>
      </c>
      <c r="I17" s="48" t="s">
        <v>71</v>
      </c>
      <c r="J17" s="48" t="s">
        <v>71</v>
      </c>
      <c r="K17" s="78" t="s">
        <v>71</v>
      </c>
      <c r="L17" s="48" t="s">
        <v>71</v>
      </c>
      <c r="M17" s="48" t="s">
        <v>71</v>
      </c>
      <c r="N17" s="48" t="s">
        <v>71</v>
      </c>
      <c r="O17" s="48" t="s">
        <v>71</v>
      </c>
      <c r="P17" s="62" t="s">
        <v>71</v>
      </c>
      <c r="Q17" s="64">
        <v>45687</v>
      </c>
      <c r="R17" s="49"/>
      <c r="S17" s="66"/>
      <c r="T17" s="85"/>
      <c r="U17" s="101"/>
    </row>
    <row r="18" spans="1:22" ht="28.2" customHeight="1" x14ac:dyDescent="0.35">
      <c r="B18" s="122"/>
      <c r="C18" s="123"/>
      <c r="D18" s="233" t="s">
        <v>111</v>
      </c>
      <c r="E18" s="231">
        <f t="shared" si="0"/>
        <v>15</v>
      </c>
      <c r="F18" s="97"/>
      <c r="G18" s="91" t="s">
        <v>112</v>
      </c>
      <c r="H18" s="78" t="s">
        <v>310</v>
      </c>
      <c r="I18" s="48" t="s">
        <v>71</v>
      </c>
      <c r="J18" s="48" t="s">
        <v>71</v>
      </c>
      <c r="K18" s="78" t="s">
        <v>71</v>
      </c>
      <c r="L18" s="48" t="s">
        <v>71</v>
      </c>
      <c r="M18" s="48" t="s">
        <v>71</v>
      </c>
      <c r="N18" s="48" t="s">
        <v>71</v>
      </c>
      <c r="O18" s="48" t="s">
        <v>71</v>
      </c>
      <c r="P18" s="62" t="s">
        <v>71</v>
      </c>
      <c r="Q18" s="64">
        <v>45687</v>
      </c>
      <c r="R18" s="49"/>
      <c r="S18" s="66"/>
      <c r="T18" s="85"/>
      <c r="U18" s="100"/>
    </row>
    <row r="19" spans="1:22" s="314" customFormat="1" ht="28.2" customHeight="1" x14ac:dyDescent="0.35">
      <c r="A19" s="315"/>
      <c r="B19" s="316"/>
      <c r="C19" s="317"/>
      <c r="D19" s="234"/>
      <c r="E19" s="94">
        <f t="shared" si="0"/>
        <v>16</v>
      </c>
      <c r="F19" s="95"/>
      <c r="G19" s="96" t="s">
        <v>113</v>
      </c>
      <c r="H19" s="50" t="s">
        <v>71</v>
      </c>
      <c r="I19" s="50" t="s">
        <v>71</v>
      </c>
      <c r="J19" s="50" t="s">
        <v>71</v>
      </c>
      <c r="K19" s="50" t="s">
        <v>71</v>
      </c>
      <c r="L19" s="50" t="s">
        <v>71</v>
      </c>
      <c r="M19" s="50" t="s">
        <v>71</v>
      </c>
      <c r="N19" s="50" t="s">
        <v>71</v>
      </c>
      <c r="O19" s="50" t="s">
        <v>71</v>
      </c>
      <c r="P19" s="63" t="s">
        <v>71</v>
      </c>
      <c r="Q19" s="65"/>
      <c r="R19" s="51"/>
      <c r="S19" s="67"/>
      <c r="T19" s="322"/>
      <c r="U19" s="102" t="s">
        <v>313</v>
      </c>
      <c r="V19" s="323"/>
    </row>
    <row r="20" spans="1:22" ht="28.2" customHeight="1" x14ac:dyDescent="0.35">
      <c r="B20" s="122"/>
      <c r="C20" s="123"/>
      <c r="D20" s="235"/>
      <c r="E20" s="231">
        <f t="shared" si="0"/>
        <v>17</v>
      </c>
      <c r="F20" s="97"/>
      <c r="G20" s="91" t="s">
        <v>115</v>
      </c>
      <c r="H20" s="78" t="s">
        <v>310</v>
      </c>
      <c r="I20" s="48" t="s">
        <v>71</v>
      </c>
      <c r="J20" s="48" t="s">
        <v>71</v>
      </c>
      <c r="K20" s="78" t="s">
        <v>310</v>
      </c>
      <c r="L20" s="48" t="s">
        <v>71</v>
      </c>
      <c r="M20" s="48" t="s">
        <v>71</v>
      </c>
      <c r="N20" s="48" t="s">
        <v>71</v>
      </c>
      <c r="O20" s="48" t="s">
        <v>71</v>
      </c>
      <c r="P20" s="62" t="s">
        <v>71</v>
      </c>
      <c r="Q20" s="64">
        <v>45687</v>
      </c>
      <c r="R20" s="49"/>
      <c r="S20" s="66"/>
      <c r="T20" s="85"/>
      <c r="U20" s="100"/>
    </row>
    <row r="21" spans="1:22" ht="28.2" customHeight="1" x14ac:dyDescent="0.35">
      <c r="B21" s="122"/>
      <c r="C21" s="123"/>
      <c r="D21" s="230" t="s">
        <v>116</v>
      </c>
      <c r="E21" s="231">
        <f t="shared" si="0"/>
        <v>18</v>
      </c>
      <c r="F21" s="97"/>
      <c r="G21" s="91" t="s">
        <v>117</v>
      </c>
      <c r="H21" s="78" t="s">
        <v>310</v>
      </c>
      <c r="I21" s="48" t="s">
        <v>71</v>
      </c>
      <c r="J21" s="48" t="s">
        <v>71</v>
      </c>
      <c r="K21" s="78" t="s">
        <v>310</v>
      </c>
      <c r="L21" s="48" t="s">
        <v>71</v>
      </c>
      <c r="M21" s="48" t="s">
        <v>71</v>
      </c>
      <c r="N21" s="48" t="s">
        <v>71</v>
      </c>
      <c r="O21" s="48" t="s">
        <v>71</v>
      </c>
      <c r="P21" s="62" t="s">
        <v>71</v>
      </c>
      <c r="Q21" s="64">
        <v>45687</v>
      </c>
      <c r="R21" s="49"/>
      <c r="S21" s="66"/>
      <c r="T21" s="85"/>
      <c r="U21" s="100"/>
    </row>
    <row r="22" spans="1:22" ht="28.2" customHeight="1" x14ac:dyDescent="0.35">
      <c r="B22" s="122"/>
      <c r="C22" s="123"/>
      <c r="D22" s="232" t="s">
        <v>118</v>
      </c>
      <c r="E22" s="231">
        <f t="shared" si="0"/>
        <v>19</v>
      </c>
      <c r="F22" s="97" t="s">
        <v>119</v>
      </c>
      <c r="G22" s="91" t="s">
        <v>120</v>
      </c>
      <c r="H22" s="78" t="s">
        <v>310</v>
      </c>
      <c r="I22" s="48" t="s">
        <v>71</v>
      </c>
      <c r="J22" s="48" t="s">
        <v>71</v>
      </c>
      <c r="K22" s="78" t="s">
        <v>310</v>
      </c>
      <c r="L22" s="48" t="s">
        <v>71</v>
      </c>
      <c r="M22" s="48" t="s">
        <v>71</v>
      </c>
      <c r="N22" s="48" t="s">
        <v>71</v>
      </c>
      <c r="O22" s="48" t="s">
        <v>71</v>
      </c>
      <c r="P22" s="62" t="s">
        <v>71</v>
      </c>
      <c r="Q22" s="64">
        <v>45687</v>
      </c>
      <c r="R22" s="49"/>
      <c r="S22" s="66"/>
      <c r="T22" s="85"/>
      <c r="U22" s="100"/>
    </row>
    <row r="23" spans="1:22" ht="28.2" customHeight="1" x14ac:dyDescent="0.35">
      <c r="B23" s="122"/>
      <c r="C23" s="123"/>
      <c r="D23" s="88" t="s">
        <v>121</v>
      </c>
      <c r="E23" s="89">
        <f t="shared" si="0"/>
        <v>20</v>
      </c>
      <c r="F23" s="90"/>
      <c r="G23" s="91" t="s">
        <v>122</v>
      </c>
      <c r="H23" s="78" t="s">
        <v>310</v>
      </c>
      <c r="I23" s="48" t="s">
        <v>71</v>
      </c>
      <c r="J23" s="48" t="s">
        <v>71</v>
      </c>
      <c r="K23" s="78" t="s">
        <v>71</v>
      </c>
      <c r="L23" s="48" t="s">
        <v>71</v>
      </c>
      <c r="M23" s="48" t="s">
        <v>71</v>
      </c>
      <c r="N23" s="48" t="s">
        <v>71</v>
      </c>
      <c r="O23" s="48" t="s">
        <v>71</v>
      </c>
      <c r="P23" s="62" t="s">
        <v>71</v>
      </c>
      <c r="Q23" s="64">
        <v>45687</v>
      </c>
      <c r="R23" s="49"/>
      <c r="S23" s="66"/>
      <c r="T23" s="85"/>
      <c r="U23" s="100"/>
    </row>
    <row r="24" spans="1:22" ht="28.2" customHeight="1" x14ac:dyDescent="0.35">
      <c r="B24" s="122"/>
      <c r="C24" s="123"/>
      <c r="D24" s="233" t="s">
        <v>123</v>
      </c>
      <c r="E24" s="89">
        <f t="shared" si="0"/>
        <v>21</v>
      </c>
      <c r="F24" s="90"/>
      <c r="G24" s="91" t="s">
        <v>124</v>
      </c>
      <c r="H24" s="78" t="s">
        <v>71</v>
      </c>
      <c r="I24" s="48" t="s">
        <v>71</v>
      </c>
      <c r="J24" s="48" t="s">
        <v>71</v>
      </c>
      <c r="K24" s="78" t="s">
        <v>71</v>
      </c>
      <c r="L24" s="78" t="s">
        <v>310</v>
      </c>
      <c r="M24" s="78" t="s">
        <v>310</v>
      </c>
      <c r="N24" s="48" t="s">
        <v>71</v>
      </c>
      <c r="O24" s="48" t="s">
        <v>71</v>
      </c>
      <c r="P24" s="62" t="s">
        <v>71</v>
      </c>
      <c r="Q24" s="64">
        <v>45687</v>
      </c>
      <c r="R24" s="49"/>
      <c r="S24" s="66"/>
      <c r="T24" s="85"/>
      <c r="U24" s="103" t="s">
        <v>314</v>
      </c>
      <c r="V24" s="126"/>
    </row>
    <row r="25" spans="1:22" ht="28.2" customHeight="1" x14ac:dyDescent="0.35">
      <c r="B25" s="122"/>
      <c r="C25" s="123"/>
      <c r="D25" s="234"/>
      <c r="E25" s="89">
        <f t="shared" si="0"/>
        <v>22</v>
      </c>
      <c r="F25" s="90"/>
      <c r="G25" s="91" t="s">
        <v>125</v>
      </c>
      <c r="H25" s="78" t="s">
        <v>71</v>
      </c>
      <c r="I25" s="48" t="s">
        <v>71</v>
      </c>
      <c r="J25" s="48" t="s">
        <v>71</v>
      </c>
      <c r="K25" s="78" t="s">
        <v>71</v>
      </c>
      <c r="L25" s="78" t="s">
        <v>310</v>
      </c>
      <c r="M25" s="78" t="s">
        <v>310</v>
      </c>
      <c r="N25" s="48" t="s">
        <v>71</v>
      </c>
      <c r="O25" s="48" t="s">
        <v>71</v>
      </c>
      <c r="P25" s="62" t="s">
        <v>71</v>
      </c>
      <c r="Q25" s="64">
        <v>45687</v>
      </c>
      <c r="R25" s="49"/>
      <c r="S25" s="66"/>
      <c r="T25" s="85"/>
      <c r="U25" s="103" t="s">
        <v>314</v>
      </c>
      <c r="V25" s="126"/>
    </row>
    <row r="26" spans="1:22" ht="28.2" customHeight="1" x14ac:dyDescent="0.35">
      <c r="B26" s="122"/>
      <c r="C26" s="123"/>
      <c r="D26" s="234"/>
      <c r="E26" s="89">
        <f t="shared" si="0"/>
        <v>23</v>
      </c>
      <c r="F26" s="90"/>
      <c r="G26" s="91" t="s">
        <v>126</v>
      </c>
      <c r="H26" s="78" t="s">
        <v>71</v>
      </c>
      <c r="I26" s="48" t="s">
        <v>71</v>
      </c>
      <c r="J26" s="48" t="s">
        <v>71</v>
      </c>
      <c r="K26" s="78" t="s">
        <v>71</v>
      </c>
      <c r="L26" s="78" t="s">
        <v>310</v>
      </c>
      <c r="M26" s="78" t="s">
        <v>310</v>
      </c>
      <c r="N26" s="48" t="s">
        <v>71</v>
      </c>
      <c r="O26" s="48" t="s">
        <v>71</v>
      </c>
      <c r="P26" s="62" t="s">
        <v>71</v>
      </c>
      <c r="Q26" s="64">
        <v>45687</v>
      </c>
      <c r="R26" s="49"/>
      <c r="S26" s="66"/>
      <c r="T26" s="85"/>
      <c r="U26" s="103" t="s">
        <v>314</v>
      </c>
      <c r="V26" s="126"/>
    </row>
    <row r="27" spans="1:22" ht="28.2" customHeight="1" x14ac:dyDescent="0.35">
      <c r="B27" s="122"/>
      <c r="C27" s="123"/>
      <c r="D27" s="328" t="s">
        <v>127</v>
      </c>
      <c r="E27" s="94">
        <f t="shared" si="0"/>
        <v>24</v>
      </c>
      <c r="F27" s="95"/>
      <c r="G27" s="96" t="s">
        <v>128</v>
      </c>
      <c r="H27" s="50" t="s">
        <v>71</v>
      </c>
      <c r="I27" s="50" t="s">
        <v>71</v>
      </c>
      <c r="J27" s="50" t="s">
        <v>71</v>
      </c>
      <c r="K27" s="50" t="s">
        <v>71</v>
      </c>
      <c r="L27" s="50" t="s">
        <v>71</v>
      </c>
      <c r="M27" s="50" t="s">
        <v>71</v>
      </c>
      <c r="N27" s="50" t="s">
        <v>71</v>
      </c>
      <c r="O27" s="50" t="s">
        <v>71</v>
      </c>
      <c r="P27" s="63" t="s">
        <v>71</v>
      </c>
      <c r="Q27" s="65"/>
      <c r="R27" s="51"/>
      <c r="S27" s="67"/>
      <c r="T27" s="322"/>
      <c r="U27" s="326" t="s">
        <v>315</v>
      </c>
      <c r="V27" s="126"/>
    </row>
    <row r="28" spans="1:22" ht="28.2" customHeight="1" x14ac:dyDescent="0.35">
      <c r="B28" s="122"/>
      <c r="C28" s="124" t="s">
        <v>129</v>
      </c>
      <c r="D28" s="88" t="s">
        <v>130</v>
      </c>
      <c r="E28" s="89">
        <f t="shared" si="0"/>
        <v>25</v>
      </c>
      <c r="F28" s="90"/>
      <c r="G28" s="91" t="s">
        <v>131</v>
      </c>
      <c r="H28" s="78" t="s">
        <v>310</v>
      </c>
      <c r="I28" s="48" t="s">
        <v>71</v>
      </c>
      <c r="J28" s="48" t="s">
        <v>71</v>
      </c>
      <c r="K28" s="78" t="s">
        <v>71</v>
      </c>
      <c r="L28" s="48" t="s">
        <v>71</v>
      </c>
      <c r="M28" s="48" t="s">
        <v>71</v>
      </c>
      <c r="N28" s="48" t="s">
        <v>71</v>
      </c>
      <c r="O28" s="48" t="s">
        <v>71</v>
      </c>
      <c r="P28" s="62" t="s">
        <v>71</v>
      </c>
      <c r="Q28" s="64">
        <v>45687</v>
      </c>
      <c r="R28" s="49"/>
      <c r="S28" s="66"/>
      <c r="T28" s="85"/>
      <c r="U28" s="100"/>
    </row>
    <row r="29" spans="1:22" ht="28.2" customHeight="1" x14ac:dyDescent="0.35">
      <c r="B29" s="122"/>
      <c r="C29" s="123"/>
      <c r="D29" s="88" t="s">
        <v>133</v>
      </c>
      <c r="E29" s="89">
        <f t="shared" si="0"/>
        <v>26</v>
      </c>
      <c r="F29" s="90"/>
      <c r="G29" s="91" t="s">
        <v>131</v>
      </c>
      <c r="H29" s="78" t="s">
        <v>310</v>
      </c>
      <c r="I29" s="48" t="s">
        <v>71</v>
      </c>
      <c r="J29" s="48" t="s">
        <v>71</v>
      </c>
      <c r="K29" s="78" t="s">
        <v>71</v>
      </c>
      <c r="L29" s="48" t="s">
        <v>71</v>
      </c>
      <c r="M29" s="48" t="s">
        <v>71</v>
      </c>
      <c r="N29" s="48" t="s">
        <v>71</v>
      </c>
      <c r="O29" s="48" t="s">
        <v>71</v>
      </c>
      <c r="P29" s="62" t="s">
        <v>71</v>
      </c>
      <c r="Q29" s="64">
        <v>45687</v>
      </c>
      <c r="R29" s="49"/>
      <c r="S29" s="66"/>
      <c r="T29" s="85"/>
      <c r="U29" s="100"/>
      <c r="V29" s="318"/>
    </row>
    <row r="30" spans="1:22" ht="28.2" customHeight="1" x14ac:dyDescent="0.35">
      <c r="B30" s="122"/>
      <c r="C30" s="123"/>
      <c r="D30" s="331" t="s">
        <v>134</v>
      </c>
      <c r="E30" s="94">
        <f t="shared" si="0"/>
        <v>27</v>
      </c>
      <c r="F30" s="95"/>
      <c r="G30" s="96" t="s">
        <v>135</v>
      </c>
      <c r="H30" s="50" t="s">
        <v>71</v>
      </c>
      <c r="I30" s="50" t="s">
        <v>71</v>
      </c>
      <c r="J30" s="50" t="s">
        <v>71</v>
      </c>
      <c r="K30" s="50" t="s">
        <v>71</v>
      </c>
      <c r="L30" s="50" t="s">
        <v>71</v>
      </c>
      <c r="M30" s="50" t="s">
        <v>71</v>
      </c>
      <c r="N30" s="50" t="s">
        <v>71</v>
      </c>
      <c r="O30" s="50" t="s">
        <v>71</v>
      </c>
      <c r="P30" s="50" t="s">
        <v>71</v>
      </c>
      <c r="Q30" s="65"/>
      <c r="R30" s="51"/>
      <c r="S30" s="67"/>
      <c r="T30" s="322"/>
      <c r="U30" s="102"/>
      <c r="V30" s="126"/>
    </row>
    <row r="31" spans="1:22" ht="28.2" customHeight="1" x14ac:dyDescent="0.35">
      <c r="B31" s="122"/>
      <c r="C31" s="123"/>
      <c r="D31" s="332"/>
      <c r="E31" s="94">
        <f t="shared" si="0"/>
        <v>28</v>
      </c>
      <c r="F31" s="95"/>
      <c r="G31" s="96" t="s">
        <v>136</v>
      </c>
      <c r="H31" s="50" t="s">
        <v>71</v>
      </c>
      <c r="I31" s="50" t="s">
        <v>71</v>
      </c>
      <c r="J31" s="50" t="s">
        <v>71</v>
      </c>
      <c r="K31" s="50" t="s">
        <v>71</v>
      </c>
      <c r="L31" s="50" t="s">
        <v>71</v>
      </c>
      <c r="M31" s="50" t="s">
        <v>71</v>
      </c>
      <c r="N31" s="50" t="s">
        <v>71</v>
      </c>
      <c r="O31" s="50" t="s">
        <v>71</v>
      </c>
      <c r="P31" s="50" t="s">
        <v>71</v>
      </c>
      <c r="Q31" s="65"/>
      <c r="R31" s="51"/>
      <c r="S31" s="67"/>
      <c r="T31" s="322"/>
      <c r="U31" s="102"/>
      <c r="V31" s="126"/>
    </row>
    <row r="32" spans="1:22" ht="28.2" customHeight="1" x14ac:dyDescent="0.35">
      <c r="B32" s="122"/>
      <c r="C32" s="123"/>
      <c r="D32" s="93" t="s">
        <v>137</v>
      </c>
      <c r="E32" s="94">
        <f t="shared" si="0"/>
        <v>29</v>
      </c>
      <c r="F32" s="95"/>
      <c r="G32" s="96" t="s">
        <v>316</v>
      </c>
      <c r="H32" s="50" t="s">
        <v>71</v>
      </c>
      <c r="I32" s="50" t="s">
        <v>71</v>
      </c>
      <c r="J32" s="50" t="s">
        <v>71</v>
      </c>
      <c r="K32" s="50" t="s">
        <v>71</v>
      </c>
      <c r="L32" s="50" t="s">
        <v>71</v>
      </c>
      <c r="M32" s="50" t="s">
        <v>71</v>
      </c>
      <c r="N32" s="50" t="s">
        <v>71</v>
      </c>
      <c r="O32" s="50" t="s">
        <v>71</v>
      </c>
      <c r="P32" s="63" t="s">
        <v>71</v>
      </c>
      <c r="Q32" s="65"/>
      <c r="R32" s="51"/>
      <c r="S32" s="67"/>
      <c r="T32" s="322"/>
      <c r="U32" s="102" t="s">
        <v>317</v>
      </c>
    </row>
    <row r="33" spans="2:22" ht="28.2" customHeight="1" x14ac:dyDescent="0.35">
      <c r="B33" s="122"/>
      <c r="C33" s="123"/>
      <c r="D33" s="93" t="s">
        <v>140</v>
      </c>
      <c r="E33" s="94">
        <f t="shared" si="0"/>
        <v>30</v>
      </c>
      <c r="F33" s="95"/>
      <c r="G33" s="96" t="s">
        <v>318</v>
      </c>
      <c r="H33" s="50" t="s">
        <v>71</v>
      </c>
      <c r="I33" s="50" t="s">
        <v>71</v>
      </c>
      <c r="J33" s="50" t="s">
        <v>71</v>
      </c>
      <c r="K33" s="50" t="s">
        <v>71</v>
      </c>
      <c r="L33" s="50" t="s">
        <v>71</v>
      </c>
      <c r="M33" s="50" t="s">
        <v>71</v>
      </c>
      <c r="N33" s="50" t="s">
        <v>71</v>
      </c>
      <c r="O33" s="50" t="s">
        <v>71</v>
      </c>
      <c r="P33" s="63" t="s">
        <v>71</v>
      </c>
      <c r="Q33" s="65"/>
      <c r="R33" s="51"/>
      <c r="S33" s="67"/>
      <c r="T33" s="322"/>
      <c r="U33" s="102" t="s">
        <v>317</v>
      </c>
    </row>
    <row r="34" spans="2:22" ht="28.2" customHeight="1" x14ac:dyDescent="0.35">
      <c r="B34" s="122"/>
      <c r="C34" s="123"/>
      <c r="D34" s="88" t="s">
        <v>142</v>
      </c>
      <c r="E34" s="89">
        <f t="shared" si="0"/>
        <v>31</v>
      </c>
      <c r="F34" s="90"/>
      <c r="G34" s="91" t="s">
        <v>143</v>
      </c>
      <c r="H34" s="78" t="s">
        <v>310</v>
      </c>
      <c r="I34" s="48" t="s">
        <v>71</v>
      </c>
      <c r="J34" s="48" t="s">
        <v>71</v>
      </c>
      <c r="K34" s="78" t="s">
        <v>71</v>
      </c>
      <c r="L34" s="48" t="s">
        <v>71</v>
      </c>
      <c r="M34" s="48" t="s">
        <v>71</v>
      </c>
      <c r="N34" s="48" t="s">
        <v>71</v>
      </c>
      <c r="O34" s="48" t="s">
        <v>71</v>
      </c>
      <c r="P34" s="62" t="s">
        <v>71</v>
      </c>
      <c r="Q34" s="64">
        <v>45687</v>
      </c>
      <c r="R34" s="49"/>
      <c r="S34" s="66"/>
      <c r="T34" s="85"/>
      <c r="U34" s="100"/>
    </row>
    <row r="35" spans="2:22" ht="28.2" customHeight="1" x14ac:dyDescent="0.35">
      <c r="B35" s="122"/>
      <c r="C35" s="123"/>
      <c r="D35" s="88" t="s">
        <v>144</v>
      </c>
      <c r="E35" s="89">
        <f t="shared" si="0"/>
        <v>32</v>
      </c>
      <c r="F35" s="90"/>
      <c r="G35" s="91" t="s">
        <v>143</v>
      </c>
      <c r="H35" s="78" t="s">
        <v>310</v>
      </c>
      <c r="I35" s="48" t="s">
        <v>71</v>
      </c>
      <c r="J35" s="48" t="s">
        <v>71</v>
      </c>
      <c r="K35" s="78" t="s">
        <v>71</v>
      </c>
      <c r="L35" s="48" t="s">
        <v>71</v>
      </c>
      <c r="M35" s="48" t="s">
        <v>71</v>
      </c>
      <c r="N35" s="48" t="s">
        <v>71</v>
      </c>
      <c r="O35" s="48" t="s">
        <v>71</v>
      </c>
      <c r="P35" s="62" t="s">
        <v>71</v>
      </c>
      <c r="Q35" s="64">
        <v>45687</v>
      </c>
      <c r="R35" s="49"/>
      <c r="S35" s="66"/>
      <c r="T35" s="85"/>
      <c r="U35" s="100"/>
    </row>
    <row r="36" spans="2:22" ht="28.2" customHeight="1" x14ac:dyDescent="0.35">
      <c r="B36" s="122"/>
      <c r="C36" s="123"/>
      <c r="D36" s="88" t="s">
        <v>145</v>
      </c>
      <c r="E36" s="89">
        <f t="shared" si="0"/>
        <v>33</v>
      </c>
      <c r="F36" s="90"/>
      <c r="G36" s="91" t="s">
        <v>143</v>
      </c>
      <c r="H36" s="78" t="s">
        <v>310</v>
      </c>
      <c r="I36" s="48" t="s">
        <v>71</v>
      </c>
      <c r="J36" s="48" t="s">
        <v>71</v>
      </c>
      <c r="K36" s="78" t="s">
        <v>71</v>
      </c>
      <c r="L36" s="48" t="s">
        <v>71</v>
      </c>
      <c r="M36" s="48" t="s">
        <v>71</v>
      </c>
      <c r="N36" s="48" t="s">
        <v>71</v>
      </c>
      <c r="O36" s="48" t="s">
        <v>71</v>
      </c>
      <c r="P36" s="62" t="s">
        <v>71</v>
      </c>
      <c r="Q36" s="64">
        <v>45687</v>
      </c>
      <c r="R36" s="49"/>
      <c r="S36" s="66"/>
      <c r="T36" s="85"/>
      <c r="U36" s="100"/>
    </row>
    <row r="37" spans="2:22" ht="28.2" customHeight="1" x14ac:dyDescent="0.35">
      <c r="B37" s="122"/>
      <c r="C37" s="123"/>
      <c r="D37" s="88" t="s">
        <v>146</v>
      </c>
      <c r="E37" s="89">
        <f t="shared" si="0"/>
        <v>34</v>
      </c>
      <c r="F37" s="90"/>
      <c r="G37" s="91" t="s">
        <v>143</v>
      </c>
      <c r="H37" s="78" t="s">
        <v>310</v>
      </c>
      <c r="I37" s="48" t="s">
        <v>71</v>
      </c>
      <c r="J37" s="48" t="s">
        <v>71</v>
      </c>
      <c r="K37" s="78" t="s">
        <v>71</v>
      </c>
      <c r="L37" s="48" t="s">
        <v>71</v>
      </c>
      <c r="M37" s="48" t="s">
        <v>71</v>
      </c>
      <c r="N37" s="48" t="s">
        <v>71</v>
      </c>
      <c r="O37" s="48" t="s">
        <v>71</v>
      </c>
      <c r="P37" s="62" t="s">
        <v>71</v>
      </c>
      <c r="Q37" s="64">
        <v>45687</v>
      </c>
      <c r="R37" s="49"/>
      <c r="S37" s="66"/>
      <c r="T37" s="85"/>
      <c r="U37" s="100"/>
    </row>
    <row r="38" spans="2:22" ht="28.2" customHeight="1" x14ac:dyDescent="0.35">
      <c r="B38" s="122"/>
      <c r="C38" s="123"/>
      <c r="D38" s="88" t="s">
        <v>147</v>
      </c>
      <c r="E38" s="89">
        <f t="shared" si="0"/>
        <v>35</v>
      </c>
      <c r="F38" s="90"/>
      <c r="G38" s="91" t="s">
        <v>148</v>
      </c>
      <c r="H38" s="78" t="s">
        <v>310</v>
      </c>
      <c r="I38" s="48" t="s">
        <v>71</v>
      </c>
      <c r="J38" s="48" t="s">
        <v>71</v>
      </c>
      <c r="K38" s="78" t="s">
        <v>310</v>
      </c>
      <c r="L38" s="48" t="s">
        <v>71</v>
      </c>
      <c r="M38" s="48" t="s">
        <v>71</v>
      </c>
      <c r="N38" s="48" t="s">
        <v>71</v>
      </c>
      <c r="O38" s="48" t="s">
        <v>71</v>
      </c>
      <c r="P38" s="62" t="s">
        <v>71</v>
      </c>
      <c r="Q38" s="64">
        <v>45687</v>
      </c>
      <c r="R38" s="49"/>
      <c r="S38" s="66"/>
      <c r="T38" s="85"/>
      <c r="U38" s="100"/>
    </row>
    <row r="39" spans="2:22" ht="28.2" customHeight="1" x14ac:dyDescent="0.35">
      <c r="B39" s="122"/>
      <c r="C39" s="124" t="s">
        <v>149</v>
      </c>
      <c r="D39" s="88" t="s">
        <v>150</v>
      </c>
      <c r="E39" s="89">
        <f t="shared" si="0"/>
        <v>36</v>
      </c>
      <c r="F39" s="97"/>
      <c r="G39" s="91" t="s">
        <v>148</v>
      </c>
      <c r="H39" s="78" t="s">
        <v>310</v>
      </c>
      <c r="I39" s="48" t="s">
        <v>71</v>
      </c>
      <c r="J39" s="48" t="s">
        <v>71</v>
      </c>
      <c r="K39" s="78" t="s">
        <v>71</v>
      </c>
      <c r="L39" s="48" t="s">
        <v>71</v>
      </c>
      <c r="M39" s="48" t="s">
        <v>71</v>
      </c>
      <c r="N39" s="48" t="s">
        <v>71</v>
      </c>
      <c r="O39" s="48" t="s">
        <v>71</v>
      </c>
      <c r="P39" s="62" t="s">
        <v>71</v>
      </c>
      <c r="Q39" s="64">
        <v>45687</v>
      </c>
      <c r="R39" s="49"/>
      <c r="S39" s="66"/>
      <c r="T39" s="85"/>
      <c r="U39" s="100"/>
      <c r="V39" s="126"/>
    </row>
    <row r="40" spans="2:22" ht="48.6" customHeight="1" x14ac:dyDescent="0.35">
      <c r="B40" s="122"/>
      <c r="C40" s="123"/>
      <c r="D40" s="88" t="s">
        <v>151</v>
      </c>
      <c r="E40" s="89">
        <f t="shared" si="0"/>
        <v>37</v>
      </c>
      <c r="F40" s="97" t="s">
        <v>152</v>
      </c>
      <c r="G40" s="91" t="s">
        <v>148</v>
      </c>
      <c r="H40" s="78" t="s">
        <v>310</v>
      </c>
      <c r="I40" s="48" t="s">
        <v>71</v>
      </c>
      <c r="J40" s="48" t="s">
        <v>71</v>
      </c>
      <c r="K40" s="78" t="s">
        <v>71</v>
      </c>
      <c r="L40" s="48" t="s">
        <v>71</v>
      </c>
      <c r="M40" s="48" t="s">
        <v>71</v>
      </c>
      <c r="N40" s="48" t="s">
        <v>71</v>
      </c>
      <c r="O40" s="48" t="s">
        <v>71</v>
      </c>
      <c r="P40" s="62" t="s">
        <v>71</v>
      </c>
      <c r="Q40" s="64">
        <v>45687</v>
      </c>
      <c r="R40" s="49"/>
      <c r="S40" s="66"/>
      <c r="T40" s="85"/>
      <c r="U40" s="100"/>
      <c r="V40" s="126"/>
    </row>
    <row r="41" spans="2:22" ht="28.2" customHeight="1" x14ac:dyDescent="0.35">
      <c r="B41" s="122"/>
      <c r="C41" s="123"/>
      <c r="D41" s="88" t="s">
        <v>153</v>
      </c>
      <c r="E41" s="89">
        <f t="shared" si="0"/>
        <v>38</v>
      </c>
      <c r="F41" s="97"/>
      <c r="G41" s="91" t="s">
        <v>154</v>
      </c>
      <c r="H41" s="78" t="s">
        <v>310</v>
      </c>
      <c r="I41" s="48" t="s">
        <v>71</v>
      </c>
      <c r="J41" s="48" t="s">
        <v>71</v>
      </c>
      <c r="K41" s="78" t="s">
        <v>71</v>
      </c>
      <c r="L41" s="48" t="s">
        <v>71</v>
      </c>
      <c r="M41" s="48" t="s">
        <v>71</v>
      </c>
      <c r="N41" s="48" t="s">
        <v>71</v>
      </c>
      <c r="O41" s="48" t="s">
        <v>71</v>
      </c>
      <c r="P41" s="62" t="s">
        <v>71</v>
      </c>
      <c r="Q41" s="64">
        <v>45687</v>
      </c>
      <c r="R41" s="49"/>
      <c r="S41" s="66"/>
      <c r="T41" s="85"/>
      <c r="U41" s="100"/>
    </row>
    <row r="42" spans="2:22" ht="28.2" customHeight="1" x14ac:dyDescent="0.35">
      <c r="B42" s="122"/>
      <c r="C42" s="123"/>
      <c r="D42" s="88" t="s">
        <v>155</v>
      </c>
      <c r="E42" s="89">
        <f t="shared" si="0"/>
        <v>39</v>
      </c>
      <c r="F42" s="97"/>
      <c r="G42" s="91" t="s">
        <v>148</v>
      </c>
      <c r="H42" s="78" t="s">
        <v>310</v>
      </c>
      <c r="I42" s="48" t="s">
        <v>71</v>
      </c>
      <c r="J42" s="48" t="s">
        <v>71</v>
      </c>
      <c r="K42" s="78" t="s">
        <v>71</v>
      </c>
      <c r="L42" s="48" t="s">
        <v>71</v>
      </c>
      <c r="M42" s="48" t="s">
        <v>71</v>
      </c>
      <c r="N42" s="48" t="s">
        <v>71</v>
      </c>
      <c r="O42" s="48" t="s">
        <v>71</v>
      </c>
      <c r="P42" s="62" t="s">
        <v>71</v>
      </c>
      <c r="Q42" s="64">
        <v>45687</v>
      </c>
      <c r="R42" s="49"/>
      <c r="S42" s="66"/>
      <c r="T42" s="85"/>
      <c r="U42" s="100"/>
      <c r="V42" s="126"/>
    </row>
    <row r="43" spans="2:22" ht="28.2" customHeight="1" x14ac:dyDescent="0.35">
      <c r="B43" s="122"/>
      <c r="C43" s="123"/>
      <c r="D43" s="328" t="s">
        <v>156</v>
      </c>
      <c r="E43" s="94">
        <f t="shared" si="0"/>
        <v>40</v>
      </c>
      <c r="F43" s="95" t="s">
        <v>157</v>
      </c>
      <c r="G43" s="96" t="s">
        <v>148</v>
      </c>
      <c r="H43" s="50" t="s">
        <v>71</v>
      </c>
      <c r="I43" s="50" t="s">
        <v>71</v>
      </c>
      <c r="J43" s="50" t="s">
        <v>71</v>
      </c>
      <c r="K43" s="50" t="s">
        <v>71</v>
      </c>
      <c r="L43" s="50" t="s">
        <v>71</v>
      </c>
      <c r="M43" s="50" t="s">
        <v>71</v>
      </c>
      <c r="N43" s="50" t="s">
        <v>71</v>
      </c>
      <c r="O43" s="50" t="s">
        <v>71</v>
      </c>
      <c r="P43" s="63" t="s">
        <v>71</v>
      </c>
      <c r="Q43" s="65"/>
      <c r="R43" s="51"/>
      <c r="S43" s="67"/>
      <c r="T43" s="322"/>
      <c r="U43" s="102" t="s">
        <v>319</v>
      </c>
      <c r="V43" s="126"/>
    </row>
    <row r="44" spans="2:22" ht="37.950000000000003" customHeight="1" x14ac:dyDescent="0.35">
      <c r="B44" s="122"/>
      <c r="C44" s="123"/>
      <c r="D44" s="88" t="s">
        <v>159</v>
      </c>
      <c r="E44" s="89">
        <f t="shared" si="0"/>
        <v>41</v>
      </c>
      <c r="F44" s="97" t="s">
        <v>160</v>
      </c>
      <c r="G44" s="91" t="s">
        <v>148</v>
      </c>
      <c r="H44" s="78" t="s">
        <v>310</v>
      </c>
      <c r="I44" s="48" t="s">
        <v>71</v>
      </c>
      <c r="J44" s="48" t="s">
        <v>71</v>
      </c>
      <c r="K44" s="78" t="s">
        <v>71</v>
      </c>
      <c r="L44" s="48" t="s">
        <v>71</v>
      </c>
      <c r="M44" s="48" t="s">
        <v>71</v>
      </c>
      <c r="N44" s="48" t="s">
        <v>71</v>
      </c>
      <c r="O44" s="48" t="s">
        <v>71</v>
      </c>
      <c r="P44" s="62" t="s">
        <v>71</v>
      </c>
      <c r="Q44" s="64">
        <v>45687</v>
      </c>
      <c r="R44" s="49"/>
      <c r="S44" s="66"/>
      <c r="T44" s="85"/>
      <c r="U44" s="101"/>
    </row>
    <row r="45" spans="2:22" ht="28.2" customHeight="1" x14ac:dyDescent="0.35">
      <c r="B45" s="122"/>
      <c r="C45" s="123"/>
      <c r="D45" s="88" t="s">
        <v>161</v>
      </c>
      <c r="E45" s="89">
        <f t="shared" si="0"/>
        <v>42</v>
      </c>
      <c r="F45" s="97" t="s">
        <v>162</v>
      </c>
      <c r="G45" s="91" t="s">
        <v>148</v>
      </c>
      <c r="H45" s="78" t="s">
        <v>310</v>
      </c>
      <c r="I45" s="48" t="s">
        <v>71</v>
      </c>
      <c r="J45" s="48" t="s">
        <v>71</v>
      </c>
      <c r="K45" s="78" t="s">
        <v>71</v>
      </c>
      <c r="L45" s="48" t="s">
        <v>71</v>
      </c>
      <c r="M45" s="48" t="s">
        <v>71</v>
      </c>
      <c r="N45" s="48" t="s">
        <v>71</v>
      </c>
      <c r="O45" s="48" t="s">
        <v>71</v>
      </c>
      <c r="P45" s="62" t="s">
        <v>71</v>
      </c>
      <c r="Q45" s="64">
        <v>45687</v>
      </c>
      <c r="R45" s="49"/>
      <c r="S45" s="66"/>
      <c r="T45" s="85"/>
      <c r="U45" s="100" t="s">
        <v>320</v>
      </c>
    </row>
    <row r="46" spans="2:22" ht="36" customHeight="1" x14ac:dyDescent="0.35">
      <c r="B46" s="122"/>
      <c r="C46" s="123"/>
      <c r="D46" s="233" t="s">
        <v>163</v>
      </c>
      <c r="E46" s="94">
        <f t="shared" si="0"/>
        <v>43</v>
      </c>
      <c r="F46" s="95" t="s">
        <v>164</v>
      </c>
      <c r="G46" s="96" t="s">
        <v>148</v>
      </c>
      <c r="H46" s="79" t="s">
        <v>71</v>
      </c>
      <c r="I46" s="50" t="s">
        <v>71</v>
      </c>
      <c r="J46" s="50" t="s">
        <v>71</v>
      </c>
      <c r="K46" s="79" t="s">
        <v>71</v>
      </c>
      <c r="L46" s="50" t="s">
        <v>71</v>
      </c>
      <c r="M46" s="50" t="s">
        <v>71</v>
      </c>
      <c r="N46" s="50" t="s">
        <v>71</v>
      </c>
      <c r="O46" s="50" t="s">
        <v>71</v>
      </c>
      <c r="P46" s="63" t="s">
        <v>71</v>
      </c>
      <c r="Q46" s="65"/>
      <c r="R46" s="51"/>
      <c r="S46" s="67"/>
      <c r="T46" s="322"/>
      <c r="U46" s="102" t="s">
        <v>321</v>
      </c>
    </row>
    <row r="47" spans="2:22" ht="36" customHeight="1" x14ac:dyDescent="0.35">
      <c r="B47" s="122"/>
      <c r="C47" s="123"/>
      <c r="D47" s="234"/>
      <c r="E47" s="89">
        <f t="shared" si="0"/>
        <v>44</v>
      </c>
      <c r="F47" s="97" t="s">
        <v>166</v>
      </c>
      <c r="G47" s="91" t="s">
        <v>167</v>
      </c>
      <c r="H47" s="78" t="s">
        <v>310</v>
      </c>
      <c r="I47" s="48" t="s">
        <v>71</v>
      </c>
      <c r="J47" s="48" t="s">
        <v>71</v>
      </c>
      <c r="K47" s="78" t="s">
        <v>310</v>
      </c>
      <c r="L47" s="48" t="s">
        <v>71</v>
      </c>
      <c r="M47" s="48" t="s">
        <v>71</v>
      </c>
      <c r="N47" s="48" t="s">
        <v>71</v>
      </c>
      <c r="O47" s="48" t="s">
        <v>71</v>
      </c>
      <c r="P47" s="62" t="s">
        <v>71</v>
      </c>
      <c r="Q47" s="64">
        <v>45687</v>
      </c>
      <c r="R47" s="49"/>
      <c r="S47" s="66"/>
      <c r="T47" s="85"/>
      <c r="U47" s="100"/>
    </row>
    <row r="48" spans="2:22" ht="52.95" customHeight="1" x14ac:dyDescent="0.35">
      <c r="B48" s="122"/>
      <c r="C48" s="123"/>
      <c r="D48" s="240"/>
      <c r="E48" s="89">
        <f t="shared" si="0"/>
        <v>45</v>
      </c>
      <c r="F48" s="97" t="s">
        <v>168</v>
      </c>
      <c r="G48" s="91" t="s">
        <v>169</v>
      </c>
      <c r="H48" s="78" t="s">
        <v>310</v>
      </c>
      <c r="I48" s="48" t="s">
        <v>71</v>
      </c>
      <c r="J48" s="48" t="s">
        <v>71</v>
      </c>
      <c r="K48" s="78" t="s">
        <v>71</v>
      </c>
      <c r="L48" s="48" t="s">
        <v>71</v>
      </c>
      <c r="M48" s="48" t="s">
        <v>71</v>
      </c>
      <c r="N48" s="48" t="s">
        <v>71</v>
      </c>
      <c r="O48" s="48" t="s">
        <v>71</v>
      </c>
      <c r="P48" s="62" t="s">
        <v>71</v>
      </c>
      <c r="Q48" s="64">
        <v>45687</v>
      </c>
      <c r="R48" s="49"/>
      <c r="S48" s="66"/>
      <c r="T48" s="85"/>
      <c r="U48" s="100"/>
    </row>
    <row r="49" spans="2:22" ht="28.2" customHeight="1" x14ac:dyDescent="0.35">
      <c r="B49" s="122"/>
      <c r="C49" s="320" t="s">
        <v>170</v>
      </c>
      <c r="D49" s="93" t="s">
        <v>171</v>
      </c>
      <c r="E49" s="94">
        <f t="shared" si="0"/>
        <v>46</v>
      </c>
      <c r="F49" s="95"/>
      <c r="G49" s="96" t="s">
        <v>172</v>
      </c>
      <c r="H49" s="50" t="s">
        <v>71</v>
      </c>
      <c r="I49" s="50" t="s">
        <v>71</v>
      </c>
      <c r="J49" s="50" t="s">
        <v>71</v>
      </c>
      <c r="K49" s="50" t="s">
        <v>71</v>
      </c>
      <c r="L49" s="50" t="s">
        <v>71</v>
      </c>
      <c r="M49" s="50" t="s">
        <v>71</v>
      </c>
      <c r="N49" s="50" t="s">
        <v>71</v>
      </c>
      <c r="O49" s="50" t="s">
        <v>71</v>
      </c>
      <c r="P49" s="63" t="s">
        <v>71</v>
      </c>
      <c r="Q49" s="65"/>
      <c r="R49" s="51"/>
      <c r="S49" s="67"/>
      <c r="T49" s="322"/>
      <c r="U49" s="102" t="s">
        <v>313</v>
      </c>
    </row>
    <row r="50" spans="2:22" ht="28.2" customHeight="1" x14ac:dyDescent="0.35">
      <c r="B50" s="122"/>
      <c r="C50" s="330"/>
      <c r="D50" s="331" t="s">
        <v>171</v>
      </c>
      <c r="E50" s="94">
        <f t="shared" si="0"/>
        <v>47</v>
      </c>
      <c r="F50" s="95"/>
      <c r="G50" s="96" t="s">
        <v>172</v>
      </c>
      <c r="H50" s="50" t="s">
        <v>71</v>
      </c>
      <c r="I50" s="50" t="s">
        <v>71</v>
      </c>
      <c r="J50" s="50" t="s">
        <v>71</v>
      </c>
      <c r="K50" s="50" t="s">
        <v>71</v>
      </c>
      <c r="L50" s="50" t="s">
        <v>71</v>
      </c>
      <c r="M50" s="50" t="s">
        <v>71</v>
      </c>
      <c r="N50" s="50" t="s">
        <v>71</v>
      </c>
      <c r="O50" s="50" t="s">
        <v>71</v>
      </c>
      <c r="P50" s="63" t="s">
        <v>71</v>
      </c>
      <c r="Q50" s="65"/>
      <c r="R50" s="51"/>
      <c r="S50" s="67"/>
      <c r="T50" s="322"/>
      <c r="U50" s="102" t="s">
        <v>313</v>
      </c>
    </row>
    <row r="51" spans="2:22" ht="28.2" customHeight="1" x14ac:dyDescent="0.35">
      <c r="B51" s="122"/>
      <c r="C51" s="330"/>
      <c r="D51" s="337"/>
      <c r="E51" s="94">
        <f t="shared" si="0"/>
        <v>48</v>
      </c>
      <c r="F51" s="95"/>
      <c r="G51" s="96" t="s">
        <v>173</v>
      </c>
      <c r="H51" s="50" t="s">
        <v>71</v>
      </c>
      <c r="I51" s="50" t="s">
        <v>71</v>
      </c>
      <c r="J51" s="50" t="s">
        <v>71</v>
      </c>
      <c r="K51" s="50" t="s">
        <v>71</v>
      </c>
      <c r="L51" s="50" t="s">
        <v>71</v>
      </c>
      <c r="M51" s="50" t="s">
        <v>71</v>
      </c>
      <c r="N51" s="50" t="s">
        <v>71</v>
      </c>
      <c r="O51" s="50" t="s">
        <v>71</v>
      </c>
      <c r="P51" s="63" t="s">
        <v>71</v>
      </c>
      <c r="Q51" s="65"/>
      <c r="R51" s="51"/>
      <c r="S51" s="67"/>
      <c r="T51" s="322"/>
      <c r="U51" s="102" t="s">
        <v>313</v>
      </c>
    </row>
    <row r="52" spans="2:22" ht="28.2" customHeight="1" x14ac:dyDescent="0.35">
      <c r="B52" s="122"/>
      <c r="C52" s="320" t="s">
        <v>174</v>
      </c>
      <c r="D52" s="93" t="s">
        <v>175</v>
      </c>
      <c r="E52" s="94">
        <f t="shared" si="0"/>
        <v>49</v>
      </c>
      <c r="F52" s="95"/>
      <c r="G52" s="96" t="s">
        <v>322</v>
      </c>
      <c r="H52" s="50" t="s">
        <v>71</v>
      </c>
      <c r="I52" s="50" t="s">
        <v>71</v>
      </c>
      <c r="J52" s="50" t="s">
        <v>71</v>
      </c>
      <c r="K52" s="50" t="s">
        <v>71</v>
      </c>
      <c r="L52" s="50" t="s">
        <v>71</v>
      </c>
      <c r="M52" s="50" t="s">
        <v>71</v>
      </c>
      <c r="N52" s="50" t="s">
        <v>71</v>
      </c>
      <c r="O52" s="50" t="s">
        <v>71</v>
      </c>
      <c r="P52" s="63" t="s">
        <v>71</v>
      </c>
      <c r="Q52" s="65"/>
      <c r="R52" s="51"/>
      <c r="S52" s="67"/>
      <c r="T52" s="322"/>
      <c r="U52" s="102" t="s">
        <v>323</v>
      </c>
    </row>
    <row r="53" spans="2:22" ht="28.2" customHeight="1" x14ac:dyDescent="0.35">
      <c r="B53" s="122"/>
      <c r="C53" s="330"/>
      <c r="D53" s="93" t="s">
        <v>177</v>
      </c>
      <c r="E53" s="94">
        <f t="shared" si="0"/>
        <v>50</v>
      </c>
      <c r="F53" s="95"/>
      <c r="G53" s="96" t="s">
        <v>178</v>
      </c>
      <c r="H53" s="50" t="s">
        <v>71</v>
      </c>
      <c r="I53" s="50" t="s">
        <v>71</v>
      </c>
      <c r="J53" s="50" t="s">
        <v>71</v>
      </c>
      <c r="K53" s="50" t="s">
        <v>71</v>
      </c>
      <c r="L53" s="50" t="s">
        <v>71</v>
      </c>
      <c r="M53" s="50" t="s">
        <v>71</v>
      </c>
      <c r="N53" s="50" t="s">
        <v>71</v>
      </c>
      <c r="O53" s="50" t="s">
        <v>71</v>
      </c>
      <c r="P53" s="50" t="s">
        <v>71</v>
      </c>
      <c r="Q53" s="65"/>
      <c r="R53" s="51"/>
      <c r="S53" s="67"/>
      <c r="T53" s="322"/>
      <c r="U53" s="102"/>
    </row>
    <row r="54" spans="2:22" ht="28.2" customHeight="1" x14ac:dyDescent="0.35">
      <c r="B54" s="122"/>
      <c r="C54" s="330"/>
      <c r="D54" s="93" t="s">
        <v>179</v>
      </c>
      <c r="E54" s="94">
        <f t="shared" si="0"/>
        <v>51</v>
      </c>
      <c r="F54" s="95"/>
      <c r="G54" s="96" t="s">
        <v>180</v>
      </c>
      <c r="H54" s="79" t="s">
        <v>71</v>
      </c>
      <c r="I54" s="50" t="s">
        <v>71</v>
      </c>
      <c r="J54" s="50" t="s">
        <v>71</v>
      </c>
      <c r="K54" s="50" t="s">
        <v>71</v>
      </c>
      <c r="L54" s="50" t="s">
        <v>71</v>
      </c>
      <c r="M54" s="50" t="s">
        <v>71</v>
      </c>
      <c r="N54" s="50" t="s">
        <v>71</v>
      </c>
      <c r="O54" s="50" t="s">
        <v>71</v>
      </c>
      <c r="P54" s="63" t="s">
        <v>71</v>
      </c>
      <c r="Q54" s="65"/>
      <c r="R54" s="51"/>
      <c r="S54" s="67"/>
      <c r="T54" s="69"/>
      <c r="U54" s="102" t="s">
        <v>315</v>
      </c>
    </row>
    <row r="55" spans="2:22" ht="28.2" customHeight="1" x14ac:dyDescent="0.35">
      <c r="B55" s="122"/>
      <c r="C55" s="330"/>
      <c r="D55" s="93" t="s">
        <v>181</v>
      </c>
      <c r="E55" s="94">
        <f t="shared" si="0"/>
        <v>52</v>
      </c>
      <c r="F55" s="95"/>
      <c r="G55" s="96" t="s">
        <v>182</v>
      </c>
      <c r="H55" s="79" t="s">
        <v>71</v>
      </c>
      <c r="I55" s="50" t="s">
        <v>71</v>
      </c>
      <c r="J55" s="50" t="s">
        <v>71</v>
      </c>
      <c r="K55" s="50" t="s">
        <v>71</v>
      </c>
      <c r="L55" s="50" t="s">
        <v>71</v>
      </c>
      <c r="M55" s="50" t="s">
        <v>71</v>
      </c>
      <c r="N55" s="50" t="s">
        <v>71</v>
      </c>
      <c r="O55" s="50" t="s">
        <v>71</v>
      </c>
      <c r="P55" s="63" t="s">
        <v>71</v>
      </c>
      <c r="Q55" s="65"/>
      <c r="R55" s="51"/>
      <c r="S55" s="67"/>
      <c r="T55" s="69"/>
      <c r="U55" s="102" t="s">
        <v>183</v>
      </c>
    </row>
    <row r="56" spans="2:22" ht="28.2" customHeight="1" x14ac:dyDescent="0.35">
      <c r="B56" s="122"/>
      <c r="C56" s="124" t="s">
        <v>184</v>
      </c>
      <c r="D56" s="88" t="s">
        <v>185</v>
      </c>
      <c r="E56" s="89">
        <f t="shared" si="0"/>
        <v>53</v>
      </c>
      <c r="F56" s="90"/>
      <c r="G56" s="91" t="s">
        <v>186</v>
      </c>
      <c r="H56" s="61" t="s">
        <v>71</v>
      </c>
      <c r="I56" s="48" t="s">
        <v>71</v>
      </c>
      <c r="J56" s="48" t="s">
        <v>71</v>
      </c>
      <c r="K56" s="78" t="s">
        <v>310</v>
      </c>
      <c r="L56" s="48" t="s">
        <v>71</v>
      </c>
      <c r="M56" s="78" t="s">
        <v>310</v>
      </c>
      <c r="N56" s="48" t="s">
        <v>71</v>
      </c>
      <c r="O56" s="48" t="s">
        <v>71</v>
      </c>
      <c r="P56" s="62" t="s">
        <v>71</v>
      </c>
      <c r="Q56" s="64">
        <v>45687</v>
      </c>
      <c r="R56" s="49"/>
      <c r="S56" s="66"/>
      <c r="T56" s="85"/>
      <c r="U56" s="101"/>
    </row>
    <row r="57" spans="2:22" ht="52.95" customHeight="1" x14ac:dyDescent="0.35">
      <c r="B57" s="122"/>
      <c r="C57" s="123"/>
      <c r="D57" s="93" t="s">
        <v>187</v>
      </c>
      <c r="E57" s="94">
        <f t="shared" si="0"/>
        <v>54</v>
      </c>
      <c r="F57" s="95" t="s">
        <v>188</v>
      </c>
      <c r="G57" s="389" t="s">
        <v>189</v>
      </c>
      <c r="H57" s="50" t="s">
        <v>71</v>
      </c>
      <c r="I57" s="50" t="s">
        <v>71</v>
      </c>
      <c r="J57" s="50" t="s">
        <v>71</v>
      </c>
      <c r="K57" s="50" t="s">
        <v>71</v>
      </c>
      <c r="L57" s="50" t="s">
        <v>71</v>
      </c>
      <c r="M57" s="50" t="s">
        <v>71</v>
      </c>
      <c r="N57" s="50" t="s">
        <v>71</v>
      </c>
      <c r="O57" s="50" t="s">
        <v>71</v>
      </c>
      <c r="P57" s="50" t="s">
        <v>71</v>
      </c>
      <c r="Q57" s="65"/>
      <c r="R57" s="51"/>
      <c r="S57" s="67"/>
      <c r="T57" s="322"/>
      <c r="U57" s="102" t="s">
        <v>324</v>
      </c>
    </row>
    <row r="58" spans="2:22" ht="28.2" customHeight="1" x14ac:dyDescent="0.35">
      <c r="B58" s="122"/>
      <c r="C58" s="320" t="s">
        <v>325</v>
      </c>
      <c r="D58" s="93" t="s">
        <v>191</v>
      </c>
      <c r="E58" s="94">
        <f t="shared" si="0"/>
        <v>55</v>
      </c>
      <c r="F58" s="95"/>
      <c r="G58" s="96" t="s">
        <v>192</v>
      </c>
      <c r="H58" s="50" t="s">
        <v>71</v>
      </c>
      <c r="I58" s="50" t="s">
        <v>71</v>
      </c>
      <c r="J58" s="50" t="s">
        <v>71</v>
      </c>
      <c r="K58" s="50" t="s">
        <v>71</v>
      </c>
      <c r="L58" s="50" t="s">
        <v>71</v>
      </c>
      <c r="M58" s="50" t="s">
        <v>71</v>
      </c>
      <c r="N58" s="50" t="s">
        <v>71</v>
      </c>
      <c r="O58" s="50" t="s">
        <v>71</v>
      </c>
      <c r="P58" s="63" t="s">
        <v>71</v>
      </c>
      <c r="Q58" s="65"/>
      <c r="R58" s="51"/>
      <c r="S58" s="67"/>
      <c r="T58" s="322"/>
      <c r="U58" s="102" t="s">
        <v>326</v>
      </c>
    </row>
    <row r="59" spans="2:22" ht="28.2" customHeight="1" x14ac:dyDescent="0.35">
      <c r="B59" s="122"/>
      <c r="C59" s="330"/>
      <c r="D59" s="93" t="s">
        <v>193</v>
      </c>
      <c r="E59" s="94">
        <f t="shared" si="0"/>
        <v>56</v>
      </c>
      <c r="F59" s="95"/>
      <c r="G59" s="96" t="s">
        <v>194</v>
      </c>
      <c r="H59" s="50" t="s">
        <v>71</v>
      </c>
      <c r="I59" s="50" t="s">
        <v>71</v>
      </c>
      <c r="J59" s="50" t="s">
        <v>71</v>
      </c>
      <c r="K59" s="50" t="s">
        <v>71</v>
      </c>
      <c r="L59" s="50" t="s">
        <v>71</v>
      </c>
      <c r="M59" s="50" t="s">
        <v>71</v>
      </c>
      <c r="N59" s="50" t="s">
        <v>71</v>
      </c>
      <c r="O59" s="50" t="s">
        <v>71</v>
      </c>
      <c r="P59" s="63" t="s">
        <v>71</v>
      </c>
      <c r="Q59" s="65"/>
      <c r="R59" s="51"/>
      <c r="S59" s="67"/>
      <c r="T59" s="322"/>
      <c r="U59" s="102" t="s">
        <v>326</v>
      </c>
    </row>
    <row r="60" spans="2:22" ht="28.2" customHeight="1" x14ac:dyDescent="0.35">
      <c r="B60" s="122"/>
      <c r="C60" s="330"/>
      <c r="D60" s="93" t="s">
        <v>195</v>
      </c>
      <c r="E60" s="94">
        <f t="shared" si="0"/>
        <v>57</v>
      </c>
      <c r="F60" s="95"/>
      <c r="G60" s="96" t="s">
        <v>196</v>
      </c>
      <c r="H60" s="50" t="s">
        <v>71</v>
      </c>
      <c r="I60" s="50" t="s">
        <v>71</v>
      </c>
      <c r="J60" s="50" t="s">
        <v>71</v>
      </c>
      <c r="K60" s="50" t="s">
        <v>71</v>
      </c>
      <c r="L60" s="50" t="s">
        <v>71</v>
      </c>
      <c r="M60" s="50" t="s">
        <v>71</v>
      </c>
      <c r="N60" s="50" t="s">
        <v>71</v>
      </c>
      <c r="O60" s="50" t="s">
        <v>71</v>
      </c>
      <c r="P60" s="63" t="s">
        <v>71</v>
      </c>
      <c r="Q60" s="65"/>
      <c r="R60" s="51"/>
      <c r="S60" s="67"/>
      <c r="T60" s="322"/>
      <c r="U60" s="102" t="s">
        <v>326</v>
      </c>
    </row>
    <row r="61" spans="2:22" ht="28.2" customHeight="1" x14ac:dyDescent="0.35">
      <c r="B61" s="122"/>
      <c r="C61" s="330"/>
      <c r="D61" s="93" t="s">
        <v>198</v>
      </c>
      <c r="E61" s="94">
        <f t="shared" si="0"/>
        <v>58</v>
      </c>
      <c r="F61" s="95"/>
      <c r="G61" s="96" t="s">
        <v>199</v>
      </c>
      <c r="H61" s="50" t="s">
        <v>71</v>
      </c>
      <c r="I61" s="50" t="s">
        <v>71</v>
      </c>
      <c r="J61" s="50" t="s">
        <v>71</v>
      </c>
      <c r="K61" s="50" t="s">
        <v>71</v>
      </c>
      <c r="L61" s="50" t="s">
        <v>71</v>
      </c>
      <c r="M61" s="50" t="s">
        <v>71</v>
      </c>
      <c r="N61" s="50" t="s">
        <v>71</v>
      </c>
      <c r="O61" s="50" t="s">
        <v>71</v>
      </c>
      <c r="P61" s="63" t="s">
        <v>71</v>
      </c>
      <c r="Q61" s="65"/>
      <c r="R61" s="51"/>
      <c r="S61" s="67"/>
      <c r="T61" s="322"/>
      <c r="U61" s="102" t="s">
        <v>326</v>
      </c>
    </row>
    <row r="62" spans="2:22" ht="28.2" customHeight="1" x14ac:dyDescent="0.35">
      <c r="B62" s="122"/>
      <c r="C62" s="330"/>
      <c r="D62" s="93" t="s">
        <v>200</v>
      </c>
      <c r="E62" s="94">
        <f t="shared" si="0"/>
        <v>59</v>
      </c>
      <c r="F62" s="95"/>
      <c r="G62" s="96" t="s">
        <v>201</v>
      </c>
      <c r="H62" s="50" t="s">
        <v>71</v>
      </c>
      <c r="I62" s="50" t="s">
        <v>71</v>
      </c>
      <c r="J62" s="50" t="s">
        <v>71</v>
      </c>
      <c r="K62" s="50" t="s">
        <v>71</v>
      </c>
      <c r="L62" s="50" t="s">
        <v>71</v>
      </c>
      <c r="M62" s="50" t="s">
        <v>71</v>
      </c>
      <c r="N62" s="50" t="s">
        <v>71</v>
      </c>
      <c r="O62" s="50" t="s">
        <v>71</v>
      </c>
      <c r="P62" s="63" t="s">
        <v>71</v>
      </c>
      <c r="Q62" s="65"/>
      <c r="R62" s="51"/>
      <c r="S62" s="67"/>
      <c r="T62" s="322"/>
      <c r="U62" s="102" t="s">
        <v>326</v>
      </c>
      <c r="V62" s="126"/>
    </row>
    <row r="63" spans="2:22" ht="28.2" customHeight="1" x14ac:dyDescent="0.35">
      <c r="B63" s="122"/>
      <c r="C63" s="330"/>
      <c r="D63" s="93" t="s">
        <v>202</v>
      </c>
      <c r="E63" s="94">
        <f t="shared" si="0"/>
        <v>60</v>
      </c>
      <c r="F63" s="95"/>
      <c r="G63" s="96" t="s">
        <v>201</v>
      </c>
      <c r="H63" s="50" t="s">
        <v>71</v>
      </c>
      <c r="I63" s="50" t="s">
        <v>71</v>
      </c>
      <c r="J63" s="50" t="s">
        <v>71</v>
      </c>
      <c r="K63" s="50" t="s">
        <v>71</v>
      </c>
      <c r="L63" s="50" t="s">
        <v>71</v>
      </c>
      <c r="M63" s="50" t="s">
        <v>71</v>
      </c>
      <c r="N63" s="50" t="s">
        <v>71</v>
      </c>
      <c r="O63" s="50" t="s">
        <v>71</v>
      </c>
      <c r="P63" s="63" t="s">
        <v>71</v>
      </c>
      <c r="Q63" s="65"/>
      <c r="R63" s="51"/>
      <c r="S63" s="67"/>
      <c r="T63" s="322"/>
      <c r="U63" s="102" t="s">
        <v>326</v>
      </c>
      <c r="V63" s="126"/>
    </row>
    <row r="64" spans="2:22" ht="28.2" customHeight="1" x14ac:dyDescent="0.35">
      <c r="B64" s="122"/>
      <c r="C64" s="330"/>
      <c r="D64" s="93" t="s">
        <v>203</v>
      </c>
      <c r="E64" s="94">
        <f t="shared" si="0"/>
        <v>61</v>
      </c>
      <c r="F64" s="95"/>
      <c r="G64" s="96" t="s">
        <v>201</v>
      </c>
      <c r="H64" s="50" t="s">
        <v>71</v>
      </c>
      <c r="I64" s="50" t="s">
        <v>71</v>
      </c>
      <c r="J64" s="50" t="s">
        <v>71</v>
      </c>
      <c r="K64" s="50" t="s">
        <v>71</v>
      </c>
      <c r="L64" s="50" t="s">
        <v>71</v>
      </c>
      <c r="M64" s="50" t="s">
        <v>71</v>
      </c>
      <c r="N64" s="50" t="s">
        <v>71</v>
      </c>
      <c r="O64" s="50" t="s">
        <v>71</v>
      </c>
      <c r="P64" s="63" t="s">
        <v>71</v>
      </c>
      <c r="Q64" s="65"/>
      <c r="R64" s="51"/>
      <c r="S64" s="67"/>
      <c r="T64" s="322"/>
      <c r="U64" s="102" t="s">
        <v>326</v>
      </c>
    </row>
    <row r="65" spans="2:22" ht="37.950000000000003" customHeight="1" x14ac:dyDescent="0.35">
      <c r="B65" s="122"/>
      <c r="C65" s="320" t="s">
        <v>204</v>
      </c>
      <c r="D65" s="328" t="s">
        <v>205</v>
      </c>
      <c r="E65" s="94">
        <f t="shared" si="0"/>
        <v>62</v>
      </c>
      <c r="F65" s="95"/>
      <c r="G65" s="96" t="s">
        <v>157</v>
      </c>
      <c r="H65" s="50" t="s">
        <v>71</v>
      </c>
      <c r="I65" s="50" t="s">
        <v>71</v>
      </c>
      <c r="J65" s="50" t="s">
        <v>71</v>
      </c>
      <c r="K65" s="50" t="s">
        <v>71</v>
      </c>
      <c r="L65" s="50" t="s">
        <v>71</v>
      </c>
      <c r="M65" s="50" t="s">
        <v>71</v>
      </c>
      <c r="N65" s="50" t="s">
        <v>71</v>
      </c>
      <c r="O65" s="50" t="s">
        <v>71</v>
      </c>
      <c r="P65" s="63" t="s">
        <v>71</v>
      </c>
      <c r="Q65" s="65"/>
      <c r="R65" s="51"/>
      <c r="S65" s="67"/>
      <c r="T65" s="322"/>
      <c r="U65" s="102" t="s">
        <v>319</v>
      </c>
    </row>
    <row r="66" spans="2:22" ht="37.950000000000003" customHeight="1" x14ac:dyDescent="0.35">
      <c r="B66" s="122"/>
      <c r="C66" s="330"/>
      <c r="D66" s="328" t="s">
        <v>206</v>
      </c>
      <c r="E66" s="94">
        <f t="shared" si="0"/>
        <v>63</v>
      </c>
      <c r="F66" s="95"/>
      <c r="G66" s="96" t="s">
        <v>157</v>
      </c>
      <c r="H66" s="50" t="s">
        <v>71</v>
      </c>
      <c r="I66" s="50" t="s">
        <v>71</v>
      </c>
      <c r="J66" s="50" t="s">
        <v>71</v>
      </c>
      <c r="K66" s="50" t="s">
        <v>71</v>
      </c>
      <c r="L66" s="50" t="s">
        <v>71</v>
      </c>
      <c r="M66" s="50" t="s">
        <v>71</v>
      </c>
      <c r="N66" s="50" t="s">
        <v>71</v>
      </c>
      <c r="O66" s="50" t="s">
        <v>71</v>
      </c>
      <c r="P66" s="63" t="s">
        <v>71</v>
      </c>
      <c r="Q66" s="65"/>
      <c r="R66" s="51"/>
      <c r="S66" s="67"/>
      <c r="T66" s="322"/>
      <c r="U66" s="102" t="s">
        <v>327</v>
      </c>
    </row>
    <row r="67" spans="2:22" ht="37.950000000000003" customHeight="1" x14ac:dyDescent="0.35">
      <c r="B67" s="122"/>
      <c r="C67" s="330"/>
      <c r="D67" s="328" t="s">
        <v>208</v>
      </c>
      <c r="E67" s="94">
        <f t="shared" si="0"/>
        <v>64</v>
      </c>
      <c r="F67" s="95"/>
      <c r="G67" s="96" t="s">
        <v>157</v>
      </c>
      <c r="H67" s="50" t="s">
        <v>71</v>
      </c>
      <c r="I67" s="50" t="s">
        <v>71</v>
      </c>
      <c r="J67" s="50" t="s">
        <v>71</v>
      </c>
      <c r="K67" s="50" t="s">
        <v>71</v>
      </c>
      <c r="L67" s="50" t="s">
        <v>71</v>
      </c>
      <c r="M67" s="50" t="s">
        <v>71</v>
      </c>
      <c r="N67" s="50" t="s">
        <v>71</v>
      </c>
      <c r="O67" s="50" t="s">
        <v>71</v>
      </c>
      <c r="P67" s="63" t="s">
        <v>71</v>
      </c>
      <c r="Q67" s="65"/>
      <c r="R67" s="51"/>
      <c r="S67" s="67"/>
      <c r="T67" s="322"/>
      <c r="U67" s="102" t="s">
        <v>327</v>
      </c>
    </row>
    <row r="68" spans="2:22" ht="43.95" customHeight="1" x14ac:dyDescent="0.35">
      <c r="B68" s="122"/>
      <c r="C68" s="124" t="s">
        <v>209</v>
      </c>
      <c r="D68" s="328" t="s">
        <v>210</v>
      </c>
      <c r="E68" s="94">
        <f t="shared" si="0"/>
        <v>65</v>
      </c>
      <c r="F68" s="95"/>
      <c r="G68" s="96" t="s">
        <v>211</v>
      </c>
      <c r="H68" s="79" t="s">
        <v>71</v>
      </c>
      <c r="I68" s="50" t="s">
        <v>71</v>
      </c>
      <c r="J68" s="50" t="s">
        <v>71</v>
      </c>
      <c r="K68" s="79" t="s">
        <v>71</v>
      </c>
      <c r="L68" s="79" t="s">
        <v>71</v>
      </c>
      <c r="M68" s="79" t="s">
        <v>71</v>
      </c>
      <c r="N68" s="50" t="s">
        <v>71</v>
      </c>
      <c r="O68" s="50" t="s">
        <v>71</v>
      </c>
      <c r="P68" s="63" t="s">
        <v>71</v>
      </c>
      <c r="Q68" s="65"/>
      <c r="R68" s="51"/>
      <c r="S68" s="67"/>
      <c r="T68" s="322"/>
      <c r="U68" s="326" t="s">
        <v>321</v>
      </c>
    </row>
    <row r="69" spans="2:22" ht="43.95" customHeight="1" x14ac:dyDescent="0.35">
      <c r="B69" s="122"/>
      <c r="C69" s="123"/>
      <c r="D69" s="92" t="s">
        <v>212</v>
      </c>
      <c r="E69" s="89">
        <f t="shared" si="0"/>
        <v>66</v>
      </c>
      <c r="F69" s="90"/>
      <c r="G69" s="91" t="s">
        <v>213</v>
      </c>
      <c r="H69" s="78" t="s">
        <v>310</v>
      </c>
      <c r="I69" s="48" t="s">
        <v>71</v>
      </c>
      <c r="J69" s="48" t="s">
        <v>71</v>
      </c>
      <c r="K69" s="78" t="s">
        <v>71</v>
      </c>
      <c r="L69" s="78" t="s">
        <v>310</v>
      </c>
      <c r="M69" s="78" t="s">
        <v>310</v>
      </c>
      <c r="N69" s="48" t="s">
        <v>71</v>
      </c>
      <c r="O69" s="48" t="s">
        <v>71</v>
      </c>
      <c r="P69" s="62" t="s">
        <v>71</v>
      </c>
      <c r="Q69" s="64">
        <v>45687</v>
      </c>
      <c r="R69" s="49"/>
      <c r="S69" s="66"/>
      <c r="T69" s="85"/>
      <c r="U69" s="100" t="s">
        <v>328</v>
      </c>
    </row>
    <row r="70" spans="2:22" ht="43.95" customHeight="1" x14ac:dyDescent="0.35">
      <c r="B70" s="122"/>
      <c r="C70" s="123"/>
      <c r="D70" s="328" t="s">
        <v>214</v>
      </c>
      <c r="E70" s="94">
        <f t="shared" si="0"/>
        <v>67</v>
      </c>
      <c r="F70" s="95"/>
      <c r="G70" s="96" t="s">
        <v>215</v>
      </c>
      <c r="H70" s="79" t="s">
        <v>71</v>
      </c>
      <c r="I70" s="50" t="s">
        <v>71</v>
      </c>
      <c r="J70" s="50" t="s">
        <v>71</v>
      </c>
      <c r="K70" s="79" t="s">
        <v>71</v>
      </c>
      <c r="L70" s="79" t="s">
        <v>71</v>
      </c>
      <c r="M70" s="79" t="s">
        <v>71</v>
      </c>
      <c r="N70" s="50" t="s">
        <v>71</v>
      </c>
      <c r="O70" s="50" t="s">
        <v>71</v>
      </c>
      <c r="P70" s="63" t="s">
        <v>71</v>
      </c>
      <c r="Q70" s="65"/>
      <c r="R70" s="51"/>
      <c r="S70" s="67"/>
      <c r="T70" s="322"/>
      <c r="U70" s="326" t="s">
        <v>329</v>
      </c>
    </row>
    <row r="71" spans="2:22" ht="43.95" customHeight="1" x14ac:dyDescent="0.35">
      <c r="B71" s="122"/>
      <c r="C71" s="123"/>
      <c r="D71" s="88" t="s">
        <v>216</v>
      </c>
      <c r="E71" s="89">
        <f t="shared" si="0"/>
        <v>68</v>
      </c>
      <c r="F71" s="90"/>
      <c r="G71" s="91" t="s">
        <v>217</v>
      </c>
      <c r="H71" s="78" t="s">
        <v>310</v>
      </c>
      <c r="I71" s="48" t="s">
        <v>71</v>
      </c>
      <c r="J71" s="48" t="s">
        <v>71</v>
      </c>
      <c r="K71" s="78" t="s">
        <v>71</v>
      </c>
      <c r="L71" s="78" t="s">
        <v>310</v>
      </c>
      <c r="M71" s="78" t="s">
        <v>310</v>
      </c>
      <c r="N71" s="48" t="s">
        <v>71</v>
      </c>
      <c r="O71" s="48" t="s">
        <v>71</v>
      </c>
      <c r="P71" s="62" t="s">
        <v>71</v>
      </c>
      <c r="Q71" s="64">
        <v>45687</v>
      </c>
      <c r="R71" s="54"/>
      <c r="S71" s="74"/>
      <c r="T71" s="70"/>
      <c r="U71" s="100" t="s">
        <v>330</v>
      </c>
    </row>
    <row r="72" spans="2:22" ht="52.2" customHeight="1" x14ac:dyDescent="0.35">
      <c r="B72" s="122"/>
      <c r="C72" s="123"/>
      <c r="D72" s="93" t="s">
        <v>218</v>
      </c>
      <c r="E72" s="94">
        <f t="shared" si="0"/>
        <v>69</v>
      </c>
      <c r="F72" s="95" t="s">
        <v>219</v>
      </c>
      <c r="G72" s="96" t="s">
        <v>220</v>
      </c>
      <c r="H72" s="50" t="s">
        <v>71</v>
      </c>
      <c r="I72" s="50" t="s">
        <v>71</v>
      </c>
      <c r="J72" s="50" t="s">
        <v>71</v>
      </c>
      <c r="K72" s="50" t="s">
        <v>71</v>
      </c>
      <c r="L72" s="50" t="s">
        <v>71</v>
      </c>
      <c r="M72" s="50" t="s">
        <v>71</v>
      </c>
      <c r="N72" s="50" t="s">
        <v>71</v>
      </c>
      <c r="O72" s="50" t="s">
        <v>71</v>
      </c>
      <c r="P72" s="63" t="s">
        <v>71</v>
      </c>
      <c r="Q72" s="65"/>
      <c r="R72" s="51"/>
      <c r="S72" s="67"/>
      <c r="T72" s="322"/>
      <c r="U72" s="102"/>
    </row>
    <row r="73" spans="2:22" ht="28.2" customHeight="1" x14ac:dyDescent="0.35">
      <c r="B73" s="125" t="s">
        <v>221</v>
      </c>
      <c r="C73" s="124" t="s">
        <v>222</v>
      </c>
      <c r="D73" s="88" t="s">
        <v>223</v>
      </c>
      <c r="E73" s="89">
        <f t="shared" si="0"/>
        <v>70</v>
      </c>
      <c r="F73" s="90"/>
      <c r="G73" s="91" t="s">
        <v>225</v>
      </c>
      <c r="H73" s="78" t="s">
        <v>310</v>
      </c>
      <c r="I73" s="48" t="s">
        <v>71</v>
      </c>
      <c r="J73" s="48" t="s">
        <v>71</v>
      </c>
      <c r="K73" s="48" t="s">
        <v>71</v>
      </c>
      <c r="L73" s="78" t="s">
        <v>310</v>
      </c>
      <c r="M73" s="48" t="s">
        <v>71</v>
      </c>
      <c r="N73" s="48" t="s">
        <v>71</v>
      </c>
      <c r="O73" s="48" t="s">
        <v>71</v>
      </c>
      <c r="P73" s="62" t="s">
        <v>71</v>
      </c>
      <c r="Q73" s="64">
        <v>45687</v>
      </c>
      <c r="R73" s="54"/>
      <c r="S73" s="74"/>
      <c r="T73" s="70"/>
      <c r="U73" s="100" t="s">
        <v>331</v>
      </c>
    </row>
    <row r="74" spans="2:22" ht="28.2" customHeight="1" x14ac:dyDescent="0.35">
      <c r="B74" s="122"/>
      <c r="C74" s="124" t="s">
        <v>226</v>
      </c>
      <c r="D74" s="88" t="s">
        <v>227</v>
      </c>
      <c r="E74" s="89">
        <f t="shared" si="0"/>
        <v>71</v>
      </c>
      <c r="F74" s="90"/>
      <c r="G74" s="91" t="s">
        <v>228</v>
      </c>
      <c r="H74" s="78" t="s">
        <v>310</v>
      </c>
      <c r="I74" s="48" t="s">
        <v>71</v>
      </c>
      <c r="J74" s="48" t="s">
        <v>71</v>
      </c>
      <c r="K74" s="78" t="s">
        <v>310</v>
      </c>
      <c r="L74" s="48" t="s">
        <v>71</v>
      </c>
      <c r="M74" s="48" t="s">
        <v>71</v>
      </c>
      <c r="N74" s="48" t="s">
        <v>71</v>
      </c>
      <c r="O74" s="48" t="s">
        <v>71</v>
      </c>
      <c r="P74" s="62" t="s">
        <v>71</v>
      </c>
      <c r="Q74" s="64">
        <v>45687</v>
      </c>
      <c r="R74" s="54"/>
      <c r="S74" s="74"/>
      <c r="T74" s="70"/>
      <c r="U74" s="100"/>
    </row>
    <row r="75" spans="2:22" ht="28.2" customHeight="1" x14ac:dyDescent="0.35">
      <c r="B75" s="122"/>
      <c r="C75" s="123"/>
      <c r="D75" s="88" t="s">
        <v>229</v>
      </c>
      <c r="E75" s="89">
        <f t="shared" si="0"/>
        <v>72</v>
      </c>
      <c r="F75" s="90" t="s">
        <v>230</v>
      </c>
      <c r="G75" s="91" t="s">
        <v>228</v>
      </c>
      <c r="H75" s="78" t="s">
        <v>310</v>
      </c>
      <c r="I75" s="48" t="s">
        <v>71</v>
      </c>
      <c r="J75" s="48" t="s">
        <v>71</v>
      </c>
      <c r="K75" s="78" t="s">
        <v>310</v>
      </c>
      <c r="L75" s="48" t="s">
        <v>71</v>
      </c>
      <c r="M75" s="48" t="s">
        <v>71</v>
      </c>
      <c r="N75" s="48" t="s">
        <v>71</v>
      </c>
      <c r="O75" s="48" t="s">
        <v>71</v>
      </c>
      <c r="P75" s="62" t="s">
        <v>71</v>
      </c>
      <c r="Q75" s="64">
        <v>45687</v>
      </c>
      <c r="R75" s="54"/>
      <c r="S75" s="74"/>
      <c r="T75" s="70"/>
      <c r="U75" s="100"/>
    </row>
    <row r="76" spans="2:22" ht="28.2" customHeight="1" x14ac:dyDescent="0.35">
      <c r="B76" s="122"/>
      <c r="C76" s="123"/>
      <c r="D76" s="88" t="s">
        <v>231</v>
      </c>
      <c r="E76" s="89">
        <f t="shared" si="0"/>
        <v>73</v>
      </c>
      <c r="F76" s="90" t="s">
        <v>232</v>
      </c>
      <c r="G76" s="91" t="s">
        <v>228</v>
      </c>
      <c r="H76" s="78" t="s">
        <v>310</v>
      </c>
      <c r="I76" s="48" t="s">
        <v>71</v>
      </c>
      <c r="J76" s="48" t="s">
        <v>71</v>
      </c>
      <c r="K76" s="78" t="s">
        <v>310</v>
      </c>
      <c r="L76" s="48" t="s">
        <v>71</v>
      </c>
      <c r="M76" s="48" t="s">
        <v>71</v>
      </c>
      <c r="N76" s="48" t="s">
        <v>71</v>
      </c>
      <c r="O76" s="48" t="s">
        <v>71</v>
      </c>
      <c r="P76" s="62" t="s">
        <v>71</v>
      </c>
      <c r="Q76" s="64">
        <v>45687</v>
      </c>
      <c r="R76" s="54"/>
      <c r="S76" s="74"/>
      <c r="T76" s="70"/>
      <c r="U76" s="101"/>
    </row>
    <row r="77" spans="2:22" ht="28.2" customHeight="1" x14ac:dyDescent="0.35">
      <c r="B77" s="122"/>
      <c r="C77" s="123"/>
      <c r="D77" s="88" t="s">
        <v>233</v>
      </c>
      <c r="E77" s="89">
        <f t="shared" si="0"/>
        <v>74</v>
      </c>
      <c r="F77" s="90" t="s">
        <v>234</v>
      </c>
      <c r="G77" s="91" t="s">
        <v>235</v>
      </c>
      <c r="H77" s="78" t="s">
        <v>310</v>
      </c>
      <c r="I77" s="48" t="s">
        <v>71</v>
      </c>
      <c r="J77" s="48" t="s">
        <v>71</v>
      </c>
      <c r="K77" s="78" t="s">
        <v>310</v>
      </c>
      <c r="L77" s="48" t="s">
        <v>71</v>
      </c>
      <c r="M77" s="48" t="s">
        <v>71</v>
      </c>
      <c r="N77" s="48" t="s">
        <v>71</v>
      </c>
      <c r="O77" s="48" t="s">
        <v>71</v>
      </c>
      <c r="P77" s="62" t="s">
        <v>71</v>
      </c>
      <c r="Q77" s="64">
        <v>45687</v>
      </c>
      <c r="R77" s="54"/>
      <c r="S77" s="74"/>
      <c r="T77" s="70"/>
      <c r="U77" s="100"/>
    </row>
    <row r="78" spans="2:22" ht="28.2" customHeight="1" x14ac:dyDescent="0.35">
      <c r="B78" s="122"/>
      <c r="C78" s="123"/>
      <c r="D78" s="88" t="s">
        <v>236</v>
      </c>
      <c r="E78" s="89">
        <f t="shared" si="0"/>
        <v>75</v>
      </c>
      <c r="F78" s="90" t="s">
        <v>237</v>
      </c>
      <c r="G78" s="91" t="s">
        <v>228</v>
      </c>
      <c r="H78" s="78" t="s">
        <v>310</v>
      </c>
      <c r="I78" s="48" t="s">
        <v>71</v>
      </c>
      <c r="J78" s="48" t="s">
        <v>71</v>
      </c>
      <c r="K78" s="78" t="s">
        <v>310</v>
      </c>
      <c r="L78" s="48" t="s">
        <v>71</v>
      </c>
      <c r="M78" s="48" t="s">
        <v>71</v>
      </c>
      <c r="N78" s="48" t="s">
        <v>71</v>
      </c>
      <c r="O78" s="48" t="s">
        <v>71</v>
      </c>
      <c r="P78" s="62" t="s">
        <v>71</v>
      </c>
      <c r="Q78" s="64">
        <v>45687</v>
      </c>
      <c r="R78" s="54"/>
      <c r="S78" s="74"/>
      <c r="T78" s="70"/>
      <c r="U78" s="100"/>
    </row>
    <row r="79" spans="2:22" ht="28.2" customHeight="1" x14ac:dyDescent="0.35">
      <c r="B79" s="122"/>
      <c r="C79" s="123"/>
      <c r="D79" s="88" t="s">
        <v>238</v>
      </c>
      <c r="E79" s="89">
        <f t="shared" si="0"/>
        <v>76</v>
      </c>
      <c r="F79" s="90" t="s">
        <v>239</v>
      </c>
      <c r="G79" s="91" t="s">
        <v>228</v>
      </c>
      <c r="H79" s="78" t="s">
        <v>310</v>
      </c>
      <c r="I79" s="48" t="s">
        <v>71</v>
      </c>
      <c r="J79" s="48" t="s">
        <v>71</v>
      </c>
      <c r="K79" s="48" t="s">
        <v>71</v>
      </c>
      <c r="L79" s="78" t="s">
        <v>310</v>
      </c>
      <c r="M79" s="48" t="s">
        <v>71</v>
      </c>
      <c r="N79" s="48" t="s">
        <v>71</v>
      </c>
      <c r="O79" s="48" t="s">
        <v>71</v>
      </c>
      <c r="P79" s="62" t="s">
        <v>71</v>
      </c>
      <c r="Q79" s="64">
        <v>45687</v>
      </c>
      <c r="R79" s="54"/>
      <c r="S79" s="74"/>
      <c r="T79" s="70"/>
      <c r="U79" s="100" t="s">
        <v>332</v>
      </c>
    </row>
    <row r="80" spans="2:22" ht="28.2" customHeight="1" x14ac:dyDescent="0.35">
      <c r="B80" s="122"/>
      <c r="C80" s="123"/>
      <c r="D80" s="88" t="s">
        <v>240</v>
      </c>
      <c r="E80" s="89">
        <f t="shared" si="0"/>
        <v>77</v>
      </c>
      <c r="F80" s="90" t="s">
        <v>241</v>
      </c>
      <c r="G80" s="91" t="s">
        <v>228</v>
      </c>
      <c r="H80" s="78" t="s">
        <v>310</v>
      </c>
      <c r="I80" s="48" t="s">
        <v>71</v>
      </c>
      <c r="J80" s="48" t="s">
        <v>71</v>
      </c>
      <c r="K80" s="48" t="s">
        <v>71</v>
      </c>
      <c r="L80" s="78" t="s">
        <v>310</v>
      </c>
      <c r="M80" s="48" t="s">
        <v>71</v>
      </c>
      <c r="N80" s="48" t="s">
        <v>71</v>
      </c>
      <c r="O80" s="48" t="s">
        <v>71</v>
      </c>
      <c r="P80" s="62" t="s">
        <v>71</v>
      </c>
      <c r="Q80" s="64">
        <v>45687</v>
      </c>
      <c r="R80" s="54"/>
      <c r="S80" s="74"/>
      <c r="T80" s="70"/>
      <c r="U80" s="100" t="s">
        <v>332</v>
      </c>
      <c r="V80" s="126"/>
    </row>
    <row r="81" spans="2:22" ht="28.2" customHeight="1" x14ac:dyDescent="0.35">
      <c r="B81" s="122"/>
      <c r="C81" s="124" t="s">
        <v>242</v>
      </c>
      <c r="D81" s="88" t="s">
        <v>227</v>
      </c>
      <c r="E81" s="89">
        <f t="shared" si="0"/>
        <v>78</v>
      </c>
      <c r="F81" s="90" t="s">
        <v>243</v>
      </c>
      <c r="G81" s="91" t="s">
        <v>228</v>
      </c>
      <c r="H81" s="78" t="s">
        <v>310</v>
      </c>
      <c r="I81" s="48" t="s">
        <v>71</v>
      </c>
      <c r="J81" s="48" t="s">
        <v>71</v>
      </c>
      <c r="K81" s="78" t="s">
        <v>310</v>
      </c>
      <c r="L81" s="48" t="s">
        <v>71</v>
      </c>
      <c r="M81" s="48" t="s">
        <v>71</v>
      </c>
      <c r="N81" s="48" t="s">
        <v>71</v>
      </c>
      <c r="O81" s="48" t="s">
        <v>71</v>
      </c>
      <c r="P81" s="62" t="s">
        <v>71</v>
      </c>
      <c r="Q81" s="64">
        <v>45687</v>
      </c>
      <c r="R81" s="54"/>
      <c r="S81" s="74"/>
      <c r="T81" s="70"/>
      <c r="U81" s="100"/>
      <c r="V81" s="126"/>
    </row>
    <row r="82" spans="2:22" ht="28.2" customHeight="1" x14ac:dyDescent="0.35">
      <c r="B82" s="122"/>
      <c r="C82" s="123"/>
      <c r="D82" s="88" t="s">
        <v>244</v>
      </c>
      <c r="E82" s="89">
        <f t="shared" si="0"/>
        <v>79</v>
      </c>
      <c r="F82" s="90" t="s">
        <v>245</v>
      </c>
      <c r="G82" s="91" t="s">
        <v>228</v>
      </c>
      <c r="H82" s="78" t="s">
        <v>310</v>
      </c>
      <c r="I82" s="48" t="s">
        <v>71</v>
      </c>
      <c r="J82" s="48" t="s">
        <v>71</v>
      </c>
      <c r="K82" s="78" t="s">
        <v>310</v>
      </c>
      <c r="L82" s="48" t="s">
        <v>71</v>
      </c>
      <c r="M82" s="48" t="s">
        <v>71</v>
      </c>
      <c r="N82" s="48" t="s">
        <v>71</v>
      </c>
      <c r="O82" s="48" t="s">
        <v>71</v>
      </c>
      <c r="P82" s="62" t="s">
        <v>71</v>
      </c>
      <c r="Q82" s="64">
        <v>45687</v>
      </c>
      <c r="R82" s="54"/>
      <c r="S82" s="74"/>
      <c r="T82" s="70"/>
      <c r="U82" s="100"/>
    </row>
    <row r="83" spans="2:22" ht="28.2" customHeight="1" x14ac:dyDescent="0.35">
      <c r="B83" s="122"/>
      <c r="C83" s="123"/>
      <c r="D83" s="88" t="s">
        <v>246</v>
      </c>
      <c r="E83" s="89">
        <f t="shared" si="0"/>
        <v>80</v>
      </c>
      <c r="F83" s="90" t="s">
        <v>247</v>
      </c>
      <c r="G83" s="91" t="s">
        <v>228</v>
      </c>
      <c r="H83" s="78" t="s">
        <v>310</v>
      </c>
      <c r="I83" s="48" t="s">
        <v>71</v>
      </c>
      <c r="J83" s="48" t="s">
        <v>71</v>
      </c>
      <c r="K83" s="48" t="s">
        <v>71</v>
      </c>
      <c r="L83" s="78" t="s">
        <v>310</v>
      </c>
      <c r="M83" s="48" t="s">
        <v>71</v>
      </c>
      <c r="N83" s="48" t="s">
        <v>71</v>
      </c>
      <c r="O83" s="48" t="s">
        <v>71</v>
      </c>
      <c r="P83" s="62" t="s">
        <v>71</v>
      </c>
      <c r="Q83" s="64">
        <v>45687</v>
      </c>
      <c r="R83" s="54"/>
      <c r="S83" s="74"/>
      <c r="T83" s="70"/>
      <c r="U83" s="101" t="s">
        <v>333</v>
      </c>
    </row>
    <row r="84" spans="2:22" ht="28.2" customHeight="1" x14ac:dyDescent="0.35">
      <c r="B84" s="122"/>
      <c r="C84" s="123"/>
      <c r="D84" s="88" t="s">
        <v>248</v>
      </c>
      <c r="E84" s="89">
        <f t="shared" si="0"/>
        <v>81</v>
      </c>
      <c r="F84" s="90" t="s">
        <v>249</v>
      </c>
      <c r="G84" s="91" t="s">
        <v>228</v>
      </c>
      <c r="H84" s="78" t="s">
        <v>310</v>
      </c>
      <c r="I84" s="48" t="s">
        <v>71</v>
      </c>
      <c r="J84" s="48" t="s">
        <v>71</v>
      </c>
      <c r="K84" s="48" t="s">
        <v>71</v>
      </c>
      <c r="L84" s="78" t="s">
        <v>310</v>
      </c>
      <c r="M84" s="48" t="s">
        <v>71</v>
      </c>
      <c r="N84" s="48" t="s">
        <v>71</v>
      </c>
      <c r="O84" s="48" t="s">
        <v>71</v>
      </c>
      <c r="P84" s="62" t="s">
        <v>71</v>
      </c>
      <c r="Q84" s="64">
        <v>45687</v>
      </c>
      <c r="R84" s="54"/>
      <c r="S84" s="74"/>
      <c r="T84" s="70"/>
      <c r="U84" s="101" t="s">
        <v>333</v>
      </c>
    </row>
    <row r="85" spans="2:22" ht="28.2" customHeight="1" x14ac:dyDescent="0.35">
      <c r="B85" s="122"/>
      <c r="C85" s="124" t="s">
        <v>250</v>
      </c>
      <c r="D85" s="88" t="s">
        <v>251</v>
      </c>
      <c r="E85" s="89">
        <f t="shared" si="0"/>
        <v>82</v>
      </c>
      <c r="F85" s="90" t="s">
        <v>252</v>
      </c>
      <c r="G85" s="91" t="s">
        <v>253</v>
      </c>
      <c r="H85" s="78" t="s">
        <v>310</v>
      </c>
      <c r="I85" s="48" t="s">
        <v>71</v>
      </c>
      <c r="J85" s="48" t="s">
        <v>71</v>
      </c>
      <c r="K85" s="78" t="s">
        <v>310</v>
      </c>
      <c r="L85" s="48" t="s">
        <v>71</v>
      </c>
      <c r="M85" s="48" t="s">
        <v>71</v>
      </c>
      <c r="N85" s="48" t="s">
        <v>71</v>
      </c>
      <c r="O85" s="48" t="s">
        <v>71</v>
      </c>
      <c r="P85" s="62" t="s">
        <v>71</v>
      </c>
      <c r="Q85" s="64">
        <v>45687</v>
      </c>
      <c r="R85" s="54"/>
      <c r="S85" s="74"/>
      <c r="T85" s="70"/>
      <c r="U85" s="101"/>
    </row>
    <row r="86" spans="2:22" ht="28.2" customHeight="1" x14ac:dyDescent="0.35">
      <c r="B86" s="122"/>
      <c r="C86" s="123"/>
      <c r="D86" s="233" t="s">
        <v>123</v>
      </c>
      <c r="E86" s="89">
        <f t="shared" si="0"/>
        <v>83</v>
      </c>
      <c r="F86" s="90" t="s">
        <v>254</v>
      </c>
      <c r="G86" s="91" t="s">
        <v>124</v>
      </c>
      <c r="H86" s="78" t="s">
        <v>310</v>
      </c>
      <c r="I86" s="48" t="s">
        <v>71</v>
      </c>
      <c r="J86" s="48" t="s">
        <v>71</v>
      </c>
      <c r="K86" s="48" t="s">
        <v>71</v>
      </c>
      <c r="L86" s="78" t="s">
        <v>310</v>
      </c>
      <c r="M86" s="78" t="s">
        <v>310</v>
      </c>
      <c r="N86" s="48" t="s">
        <v>71</v>
      </c>
      <c r="O86" s="48" t="s">
        <v>71</v>
      </c>
      <c r="P86" s="62" t="s">
        <v>71</v>
      </c>
      <c r="Q86" s="64">
        <v>45687</v>
      </c>
      <c r="R86" s="54"/>
      <c r="S86" s="74"/>
      <c r="T86" s="70"/>
      <c r="U86" s="103" t="s">
        <v>334</v>
      </c>
      <c r="V86" s="126"/>
    </row>
    <row r="87" spans="2:22" ht="28.2" customHeight="1" x14ac:dyDescent="0.35">
      <c r="B87" s="122"/>
      <c r="C87" s="123"/>
      <c r="D87" s="235"/>
      <c r="E87" s="89">
        <f t="shared" si="0"/>
        <v>84</v>
      </c>
      <c r="F87" s="90" t="s">
        <v>252</v>
      </c>
      <c r="G87" s="91" t="s">
        <v>125</v>
      </c>
      <c r="H87" s="78" t="s">
        <v>310</v>
      </c>
      <c r="I87" s="48" t="s">
        <v>71</v>
      </c>
      <c r="J87" s="48" t="s">
        <v>71</v>
      </c>
      <c r="K87" s="48" t="s">
        <v>71</v>
      </c>
      <c r="L87" s="78" t="s">
        <v>310</v>
      </c>
      <c r="M87" s="78" t="s">
        <v>310</v>
      </c>
      <c r="N87" s="48" t="s">
        <v>71</v>
      </c>
      <c r="O87" s="48" t="s">
        <v>71</v>
      </c>
      <c r="P87" s="62" t="s">
        <v>71</v>
      </c>
      <c r="Q87" s="64">
        <v>45687</v>
      </c>
      <c r="R87" s="54"/>
      <c r="S87" s="74"/>
      <c r="T87" s="70"/>
      <c r="U87" s="103" t="s">
        <v>334</v>
      </c>
      <c r="V87" s="126"/>
    </row>
    <row r="88" spans="2:22" ht="28.2" customHeight="1" x14ac:dyDescent="0.35">
      <c r="B88" s="122"/>
      <c r="C88" s="124" t="s">
        <v>255</v>
      </c>
      <c r="D88" s="230" t="s">
        <v>255</v>
      </c>
      <c r="E88" s="89">
        <f t="shared" si="0"/>
        <v>85</v>
      </c>
      <c r="F88" s="90" t="s">
        <v>256</v>
      </c>
      <c r="G88" s="91" t="s">
        <v>257</v>
      </c>
      <c r="H88" s="78" t="s">
        <v>310</v>
      </c>
      <c r="I88" s="48" t="s">
        <v>71</v>
      </c>
      <c r="J88" s="48" t="s">
        <v>71</v>
      </c>
      <c r="K88" s="78" t="s">
        <v>310</v>
      </c>
      <c r="L88" s="48" t="s">
        <v>71</v>
      </c>
      <c r="M88" s="48" t="s">
        <v>71</v>
      </c>
      <c r="N88" s="48" t="s">
        <v>71</v>
      </c>
      <c r="O88" s="48" t="s">
        <v>71</v>
      </c>
      <c r="P88" s="62" t="s">
        <v>71</v>
      </c>
      <c r="Q88" s="64">
        <v>45687</v>
      </c>
      <c r="R88" s="54"/>
      <c r="S88" s="74"/>
      <c r="T88" s="70"/>
      <c r="U88" s="100"/>
    </row>
    <row r="89" spans="2:22" ht="28.2" customHeight="1" x14ac:dyDescent="0.35">
      <c r="B89" s="122"/>
      <c r="C89" s="123"/>
      <c r="D89" s="230" t="s">
        <v>258</v>
      </c>
      <c r="E89" s="89">
        <f t="shared" si="0"/>
        <v>86</v>
      </c>
      <c r="F89" s="90" t="s">
        <v>259</v>
      </c>
      <c r="G89" s="91" t="s">
        <v>257</v>
      </c>
      <c r="H89" s="78" t="s">
        <v>310</v>
      </c>
      <c r="I89" s="48" t="s">
        <v>71</v>
      </c>
      <c r="J89" s="48" t="s">
        <v>71</v>
      </c>
      <c r="K89" s="48" t="s">
        <v>71</v>
      </c>
      <c r="L89" s="78" t="s">
        <v>310</v>
      </c>
      <c r="M89" s="48" t="s">
        <v>71</v>
      </c>
      <c r="N89" s="48" t="s">
        <v>71</v>
      </c>
      <c r="O89" s="48" t="s">
        <v>71</v>
      </c>
      <c r="P89" s="62" t="s">
        <v>71</v>
      </c>
      <c r="Q89" s="64">
        <v>45687</v>
      </c>
      <c r="R89" s="54"/>
      <c r="S89" s="74"/>
      <c r="T89" s="70"/>
      <c r="U89" s="100"/>
    </row>
    <row r="90" spans="2:22" ht="28.2" customHeight="1" x14ac:dyDescent="0.35">
      <c r="B90" s="125" t="s">
        <v>260</v>
      </c>
      <c r="C90" s="124" t="s">
        <v>261</v>
      </c>
      <c r="D90" s="88" t="s">
        <v>262</v>
      </c>
      <c r="E90" s="89">
        <f t="shared" si="0"/>
        <v>87</v>
      </c>
      <c r="F90" s="90"/>
      <c r="G90" s="91" t="s">
        <v>278</v>
      </c>
      <c r="H90" s="78" t="s">
        <v>310</v>
      </c>
      <c r="I90" s="48" t="s">
        <v>71</v>
      </c>
      <c r="J90" s="48" t="s">
        <v>71</v>
      </c>
      <c r="K90" s="78" t="s">
        <v>310</v>
      </c>
      <c r="L90" s="78" t="s">
        <v>310</v>
      </c>
      <c r="M90" s="48" t="s">
        <v>71</v>
      </c>
      <c r="N90" s="48" t="s">
        <v>71</v>
      </c>
      <c r="O90" s="48" t="s">
        <v>71</v>
      </c>
      <c r="P90" s="62" t="s">
        <v>71</v>
      </c>
      <c r="Q90" s="64">
        <v>45686</v>
      </c>
      <c r="R90" s="49"/>
      <c r="S90" s="66"/>
      <c r="T90" s="85"/>
      <c r="U90" s="100" t="s">
        <v>335</v>
      </c>
    </row>
    <row r="91" spans="2:22" ht="71.400000000000006" customHeight="1" x14ac:dyDescent="0.35">
      <c r="B91" s="122"/>
      <c r="C91" s="123"/>
      <c r="D91" s="93" t="s">
        <v>263</v>
      </c>
      <c r="E91" s="94">
        <f t="shared" si="0"/>
        <v>88</v>
      </c>
      <c r="F91" s="95"/>
      <c r="G91" s="96" t="s">
        <v>336</v>
      </c>
      <c r="H91" s="50" t="s">
        <v>71</v>
      </c>
      <c r="I91" s="50" t="s">
        <v>71</v>
      </c>
      <c r="J91" s="50" t="s">
        <v>71</v>
      </c>
      <c r="K91" s="50" t="s">
        <v>71</v>
      </c>
      <c r="L91" s="50" t="s">
        <v>71</v>
      </c>
      <c r="M91" s="50" t="s">
        <v>71</v>
      </c>
      <c r="N91" s="50" t="s">
        <v>71</v>
      </c>
      <c r="O91" s="50" t="s">
        <v>71</v>
      </c>
      <c r="P91" s="63" t="s">
        <v>71</v>
      </c>
      <c r="Q91" s="65"/>
      <c r="R91" s="51"/>
      <c r="S91" s="67"/>
      <c r="T91" s="69"/>
      <c r="U91" s="102" t="s">
        <v>337</v>
      </c>
    </row>
    <row r="92" spans="2:22" ht="28.2" customHeight="1" x14ac:dyDescent="0.35">
      <c r="B92" s="122"/>
      <c r="C92" s="124" t="s">
        <v>266</v>
      </c>
      <c r="D92" s="230" t="s">
        <v>223</v>
      </c>
      <c r="E92" s="89">
        <f t="shared" si="0"/>
        <v>89</v>
      </c>
      <c r="F92" s="90"/>
      <c r="G92" s="91" t="s">
        <v>267</v>
      </c>
      <c r="H92" s="78" t="s">
        <v>310</v>
      </c>
      <c r="I92" s="48" t="s">
        <v>71</v>
      </c>
      <c r="J92" s="48" t="s">
        <v>71</v>
      </c>
      <c r="K92" s="78" t="s">
        <v>310</v>
      </c>
      <c r="L92" s="78" t="s">
        <v>310</v>
      </c>
      <c r="M92" s="78" t="s">
        <v>310</v>
      </c>
      <c r="N92" s="48" t="s">
        <v>71</v>
      </c>
      <c r="O92" s="48" t="s">
        <v>71</v>
      </c>
      <c r="P92" s="62" t="s">
        <v>71</v>
      </c>
      <c r="Q92" s="64">
        <v>45687</v>
      </c>
      <c r="R92" s="54"/>
      <c r="S92" s="74"/>
      <c r="T92" s="70"/>
      <c r="U92" s="100" t="s">
        <v>338</v>
      </c>
    </row>
    <row r="93" spans="2:22" ht="28.2" customHeight="1" x14ac:dyDescent="0.35">
      <c r="B93" s="122"/>
      <c r="C93" s="230" t="s">
        <v>268</v>
      </c>
      <c r="D93" s="230" t="s">
        <v>268</v>
      </c>
      <c r="E93" s="231">
        <f t="shared" si="0"/>
        <v>90</v>
      </c>
      <c r="F93" s="97"/>
      <c r="G93" s="91" t="s">
        <v>235</v>
      </c>
      <c r="H93" s="78" t="s">
        <v>310</v>
      </c>
      <c r="I93" s="48" t="s">
        <v>71</v>
      </c>
      <c r="J93" s="48" t="s">
        <v>71</v>
      </c>
      <c r="K93" s="78" t="s">
        <v>310</v>
      </c>
      <c r="L93" s="78" t="s">
        <v>310</v>
      </c>
      <c r="M93" s="78" t="s">
        <v>310</v>
      </c>
      <c r="N93" s="48" t="s">
        <v>71</v>
      </c>
      <c r="O93" s="48" t="s">
        <v>71</v>
      </c>
      <c r="P93" s="62" t="s">
        <v>71</v>
      </c>
      <c r="Q93" s="64">
        <v>45687</v>
      </c>
      <c r="R93" s="54"/>
      <c r="S93" s="74"/>
      <c r="T93" s="70"/>
      <c r="U93" s="100" t="s">
        <v>339</v>
      </c>
      <c r="V93" s="126"/>
    </row>
    <row r="94" spans="2:22" ht="28.2" customHeight="1" x14ac:dyDescent="0.35">
      <c r="B94" s="122"/>
      <c r="C94" s="124" t="s">
        <v>269</v>
      </c>
      <c r="D94" s="230" t="s">
        <v>269</v>
      </c>
      <c r="E94" s="89">
        <f t="shared" ref="E94:E106" si="1">ROW()-3</f>
        <v>91</v>
      </c>
      <c r="F94" s="90"/>
      <c r="G94" s="91" t="s">
        <v>235</v>
      </c>
      <c r="H94" s="78" t="s">
        <v>310</v>
      </c>
      <c r="I94" s="48" t="s">
        <v>71</v>
      </c>
      <c r="J94" s="48" t="s">
        <v>71</v>
      </c>
      <c r="K94" s="78" t="s">
        <v>310</v>
      </c>
      <c r="L94" s="78" t="s">
        <v>310</v>
      </c>
      <c r="M94" s="78" t="s">
        <v>310</v>
      </c>
      <c r="N94" s="48" t="s">
        <v>71</v>
      </c>
      <c r="O94" s="48" t="s">
        <v>71</v>
      </c>
      <c r="P94" s="62" t="s">
        <v>71</v>
      </c>
      <c r="Q94" s="64">
        <v>45687</v>
      </c>
      <c r="R94" s="54"/>
      <c r="S94" s="74"/>
      <c r="T94" s="70"/>
      <c r="U94" s="100" t="s">
        <v>340</v>
      </c>
    </row>
    <row r="95" spans="2:22" ht="28.2" customHeight="1" x14ac:dyDescent="0.35">
      <c r="B95" s="122"/>
      <c r="C95" s="320" t="s">
        <v>270</v>
      </c>
      <c r="D95" s="331" t="s">
        <v>271</v>
      </c>
      <c r="E95" s="94">
        <f t="shared" si="1"/>
        <v>92</v>
      </c>
      <c r="F95" s="95"/>
      <c r="G95" s="96" t="s">
        <v>272</v>
      </c>
      <c r="H95" s="50" t="s">
        <v>71</v>
      </c>
      <c r="I95" s="50" t="s">
        <v>71</v>
      </c>
      <c r="J95" s="50" t="s">
        <v>71</v>
      </c>
      <c r="K95" s="50" t="s">
        <v>71</v>
      </c>
      <c r="L95" s="50" t="s">
        <v>71</v>
      </c>
      <c r="M95" s="50" t="s">
        <v>71</v>
      </c>
      <c r="N95" s="50" t="s">
        <v>71</v>
      </c>
      <c r="O95" s="50" t="s">
        <v>71</v>
      </c>
      <c r="P95" s="63" t="s">
        <v>71</v>
      </c>
      <c r="Q95" s="65"/>
      <c r="R95" s="51"/>
      <c r="S95" s="67"/>
      <c r="T95" s="69"/>
      <c r="U95" s="102" t="s">
        <v>341</v>
      </c>
    </row>
    <row r="96" spans="2:22" ht="28.2" customHeight="1" x14ac:dyDescent="0.35">
      <c r="B96" s="122"/>
      <c r="C96" s="330"/>
      <c r="D96" s="332"/>
      <c r="E96" s="94">
        <f t="shared" si="1"/>
        <v>93</v>
      </c>
      <c r="F96" s="95"/>
      <c r="G96" s="96" t="s">
        <v>273</v>
      </c>
      <c r="H96" s="50" t="s">
        <v>71</v>
      </c>
      <c r="I96" s="50" t="s">
        <v>71</v>
      </c>
      <c r="J96" s="50" t="s">
        <v>71</v>
      </c>
      <c r="K96" s="50" t="s">
        <v>71</v>
      </c>
      <c r="L96" s="50" t="s">
        <v>71</v>
      </c>
      <c r="M96" s="50" t="s">
        <v>71</v>
      </c>
      <c r="N96" s="50" t="s">
        <v>71</v>
      </c>
      <c r="O96" s="50" t="s">
        <v>71</v>
      </c>
      <c r="P96" s="63" t="s">
        <v>71</v>
      </c>
      <c r="Q96" s="65"/>
      <c r="R96" s="51"/>
      <c r="S96" s="67"/>
      <c r="T96" s="69"/>
      <c r="U96" s="102" t="s">
        <v>341</v>
      </c>
    </row>
    <row r="97" spans="1:21" ht="64.95" customHeight="1" x14ac:dyDescent="0.35">
      <c r="B97" s="122"/>
      <c r="C97" s="330"/>
      <c r="D97" s="332"/>
      <c r="E97" s="94">
        <f>ROW()-3</f>
        <v>94</v>
      </c>
      <c r="F97" s="95"/>
      <c r="G97" s="96" t="s">
        <v>274</v>
      </c>
      <c r="H97" s="50" t="s">
        <v>71</v>
      </c>
      <c r="I97" s="50" t="s">
        <v>71</v>
      </c>
      <c r="J97" s="50" t="s">
        <v>71</v>
      </c>
      <c r="K97" s="50" t="s">
        <v>71</v>
      </c>
      <c r="L97" s="50" t="s">
        <v>71</v>
      </c>
      <c r="M97" s="50" t="s">
        <v>71</v>
      </c>
      <c r="N97" s="50" t="s">
        <v>71</v>
      </c>
      <c r="O97" s="50" t="s">
        <v>71</v>
      </c>
      <c r="P97" s="63" t="s">
        <v>71</v>
      </c>
      <c r="Q97" s="65"/>
      <c r="R97" s="51"/>
      <c r="S97" s="67"/>
      <c r="T97" s="69"/>
      <c r="U97" s="102" t="s">
        <v>341</v>
      </c>
    </row>
    <row r="98" spans="1:21" ht="64.95" customHeight="1" x14ac:dyDescent="0.35">
      <c r="B98" s="122"/>
      <c r="C98" s="330"/>
      <c r="D98" s="337"/>
      <c r="E98" s="94">
        <f t="shared" si="1"/>
        <v>95</v>
      </c>
      <c r="F98" s="95"/>
      <c r="G98" s="96" t="s">
        <v>275</v>
      </c>
      <c r="H98" s="50" t="s">
        <v>71</v>
      </c>
      <c r="I98" s="50" t="s">
        <v>71</v>
      </c>
      <c r="J98" s="50" t="s">
        <v>71</v>
      </c>
      <c r="K98" s="50" t="s">
        <v>71</v>
      </c>
      <c r="L98" s="50" t="s">
        <v>71</v>
      </c>
      <c r="M98" s="50" t="s">
        <v>71</v>
      </c>
      <c r="N98" s="50" t="s">
        <v>71</v>
      </c>
      <c r="O98" s="50" t="s">
        <v>71</v>
      </c>
      <c r="P98" s="63" t="s">
        <v>71</v>
      </c>
      <c r="Q98" s="65"/>
      <c r="R98" s="51"/>
      <c r="S98" s="67"/>
      <c r="T98" s="69"/>
      <c r="U98" s="102" t="s">
        <v>341</v>
      </c>
    </row>
    <row r="99" spans="1:21" ht="28.2" customHeight="1" x14ac:dyDescent="0.35">
      <c r="B99" s="122"/>
      <c r="C99" s="320" t="s">
        <v>276</v>
      </c>
      <c r="D99" s="93" t="s">
        <v>251</v>
      </c>
      <c r="E99" s="94">
        <f t="shared" si="1"/>
        <v>96</v>
      </c>
      <c r="F99" s="95"/>
      <c r="G99" s="96" t="s">
        <v>278</v>
      </c>
      <c r="H99" s="50" t="s">
        <v>71</v>
      </c>
      <c r="I99" s="50" t="s">
        <v>71</v>
      </c>
      <c r="J99" s="50" t="s">
        <v>71</v>
      </c>
      <c r="K99" s="50" t="s">
        <v>71</v>
      </c>
      <c r="L99" s="50" t="s">
        <v>71</v>
      </c>
      <c r="M99" s="50" t="s">
        <v>71</v>
      </c>
      <c r="N99" s="50" t="s">
        <v>71</v>
      </c>
      <c r="O99" s="50" t="s">
        <v>71</v>
      </c>
      <c r="P99" s="63" t="s">
        <v>71</v>
      </c>
      <c r="Q99" s="65"/>
      <c r="R99" s="51"/>
      <c r="S99" s="67"/>
      <c r="T99" s="69"/>
      <c r="U99" s="102"/>
    </row>
    <row r="100" spans="1:21" ht="28.2" customHeight="1" x14ac:dyDescent="0.35">
      <c r="B100" s="122"/>
      <c r="C100" s="320" t="s">
        <v>279</v>
      </c>
      <c r="D100" s="93" t="s">
        <v>251</v>
      </c>
      <c r="E100" s="94">
        <f t="shared" si="1"/>
        <v>97</v>
      </c>
      <c r="F100" s="95"/>
      <c r="G100" s="96" t="s">
        <v>278</v>
      </c>
      <c r="H100" s="50" t="s">
        <v>71</v>
      </c>
      <c r="I100" s="50" t="s">
        <v>71</v>
      </c>
      <c r="J100" s="50" t="s">
        <v>71</v>
      </c>
      <c r="K100" s="50" t="s">
        <v>71</v>
      </c>
      <c r="L100" s="50" t="s">
        <v>71</v>
      </c>
      <c r="M100" s="50" t="s">
        <v>71</v>
      </c>
      <c r="N100" s="50" t="s">
        <v>71</v>
      </c>
      <c r="O100" s="50" t="s">
        <v>71</v>
      </c>
      <c r="P100" s="63" t="s">
        <v>71</v>
      </c>
      <c r="Q100" s="65"/>
      <c r="R100" s="51"/>
      <c r="S100" s="67"/>
      <c r="T100" s="69"/>
      <c r="U100" s="102" t="s">
        <v>342</v>
      </c>
    </row>
    <row r="101" spans="1:21" ht="28.2" customHeight="1" x14ac:dyDescent="0.35">
      <c r="B101" s="122"/>
      <c r="C101" s="320" t="s">
        <v>281</v>
      </c>
      <c r="D101" s="93" t="s">
        <v>251</v>
      </c>
      <c r="E101" s="94">
        <f t="shared" si="1"/>
        <v>98</v>
      </c>
      <c r="F101" s="95"/>
      <c r="G101" s="96" t="s">
        <v>278</v>
      </c>
      <c r="H101" s="50" t="s">
        <v>71</v>
      </c>
      <c r="I101" s="50" t="s">
        <v>71</v>
      </c>
      <c r="J101" s="50" t="s">
        <v>71</v>
      </c>
      <c r="K101" s="50" t="s">
        <v>71</v>
      </c>
      <c r="L101" s="50" t="s">
        <v>71</v>
      </c>
      <c r="M101" s="50" t="s">
        <v>71</v>
      </c>
      <c r="N101" s="50" t="s">
        <v>71</v>
      </c>
      <c r="O101" s="50" t="s">
        <v>71</v>
      </c>
      <c r="P101" s="63" t="s">
        <v>71</v>
      </c>
      <c r="Q101" s="65"/>
      <c r="R101" s="51"/>
      <c r="S101" s="67"/>
      <c r="T101" s="69"/>
      <c r="U101" s="102"/>
    </row>
    <row r="102" spans="1:21" ht="66.599999999999994" customHeight="1" x14ac:dyDescent="0.35">
      <c r="B102" s="122"/>
      <c r="C102" s="320" t="s">
        <v>283</v>
      </c>
      <c r="D102" s="93" t="s">
        <v>251</v>
      </c>
      <c r="E102" s="94">
        <f t="shared" si="1"/>
        <v>99</v>
      </c>
      <c r="F102" s="95"/>
      <c r="G102" s="96" t="s">
        <v>278</v>
      </c>
      <c r="H102" s="50" t="s">
        <v>71</v>
      </c>
      <c r="I102" s="50" t="s">
        <v>71</v>
      </c>
      <c r="J102" s="50" t="s">
        <v>71</v>
      </c>
      <c r="K102" s="50" t="s">
        <v>71</v>
      </c>
      <c r="L102" s="50" t="s">
        <v>71</v>
      </c>
      <c r="M102" s="50" t="s">
        <v>71</v>
      </c>
      <c r="N102" s="50" t="s">
        <v>71</v>
      </c>
      <c r="O102" s="50" t="s">
        <v>71</v>
      </c>
      <c r="P102" s="63" t="s">
        <v>71</v>
      </c>
      <c r="Q102" s="65"/>
      <c r="R102" s="51"/>
      <c r="S102" s="67"/>
      <c r="T102" s="69"/>
      <c r="U102" s="102" t="s">
        <v>265</v>
      </c>
    </row>
    <row r="103" spans="1:21" ht="45" customHeight="1" x14ac:dyDescent="0.35">
      <c r="B103" s="122"/>
      <c r="C103" s="320" t="s">
        <v>286</v>
      </c>
      <c r="D103" s="93" t="s">
        <v>251</v>
      </c>
      <c r="E103" s="94">
        <f t="shared" si="1"/>
        <v>100</v>
      </c>
      <c r="F103" s="95"/>
      <c r="G103" s="96" t="s">
        <v>287</v>
      </c>
      <c r="H103" s="50" t="s">
        <v>71</v>
      </c>
      <c r="I103" s="50" t="s">
        <v>71</v>
      </c>
      <c r="J103" s="50" t="s">
        <v>71</v>
      </c>
      <c r="K103" s="50" t="s">
        <v>71</v>
      </c>
      <c r="L103" s="50" t="s">
        <v>71</v>
      </c>
      <c r="M103" s="50" t="s">
        <v>71</v>
      </c>
      <c r="N103" s="321" t="s">
        <v>71</v>
      </c>
      <c r="O103" s="50" t="s">
        <v>71</v>
      </c>
      <c r="P103" s="63" t="s">
        <v>71</v>
      </c>
      <c r="Q103" s="65"/>
      <c r="R103" s="51"/>
      <c r="S103" s="67"/>
      <c r="T103" s="69"/>
      <c r="U103" s="102"/>
    </row>
    <row r="104" spans="1:21" ht="28.2" customHeight="1" x14ac:dyDescent="0.35">
      <c r="B104" s="125" t="s">
        <v>184</v>
      </c>
      <c r="C104" s="124" t="s">
        <v>288</v>
      </c>
      <c r="D104" s="88" t="s">
        <v>289</v>
      </c>
      <c r="E104" s="89">
        <f t="shared" si="1"/>
        <v>101</v>
      </c>
      <c r="F104" s="90"/>
      <c r="G104" s="91" t="s">
        <v>290</v>
      </c>
      <c r="H104" s="78" t="s">
        <v>310</v>
      </c>
      <c r="I104" s="48" t="s">
        <v>71</v>
      </c>
      <c r="J104" s="48" t="s">
        <v>71</v>
      </c>
      <c r="K104" s="48" t="s">
        <v>71</v>
      </c>
      <c r="L104" s="78" t="s">
        <v>310</v>
      </c>
      <c r="M104" s="78" t="s">
        <v>310</v>
      </c>
      <c r="N104" s="48" t="s">
        <v>71</v>
      </c>
      <c r="O104" s="48" t="s">
        <v>71</v>
      </c>
      <c r="P104" s="62" t="s">
        <v>71</v>
      </c>
      <c r="Q104" s="64">
        <v>45687</v>
      </c>
      <c r="R104" s="54"/>
      <c r="S104" s="74"/>
      <c r="T104" s="70"/>
      <c r="U104" s="103" t="s">
        <v>343</v>
      </c>
    </row>
    <row r="105" spans="1:21" ht="28.2" customHeight="1" x14ac:dyDescent="0.35">
      <c r="B105" s="125" t="s">
        <v>291</v>
      </c>
      <c r="C105" s="124" t="s">
        <v>292</v>
      </c>
      <c r="D105" s="230" t="s">
        <v>293</v>
      </c>
      <c r="E105" s="231">
        <f t="shared" si="1"/>
        <v>102</v>
      </c>
      <c r="F105" s="97" t="s">
        <v>294</v>
      </c>
      <c r="G105" s="91" t="s">
        <v>295</v>
      </c>
      <c r="H105" s="377" t="s">
        <v>71</v>
      </c>
      <c r="I105" s="339" t="s">
        <v>71</v>
      </c>
      <c r="J105" s="339" t="s">
        <v>71</v>
      </c>
      <c r="K105" s="378" t="s">
        <v>71</v>
      </c>
      <c r="L105" s="339" t="s">
        <v>71</v>
      </c>
      <c r="M105" s="339" t="s">
        <v>71</v>
      </c>
      <c r="N105" s="378" t="s">
        <v>71</v>
      </c>
      <c r="O105" s="78" t="s">
        <v>310</v>
      </c>
      <c r="P105" s="343" t="s">
        <v>71</v>
      </c>
      <c r="Q105" s="64">
        <v>45687</v>
      </c>
      <c r="R105" s="54"/>
      <c r="S105" s="74"/>
      <c r="T105" s="70"/>
      <c r="U105" s="341" t="s">
        <v>344</v>
      </c>
    </row>
    <row r="106" spans="1:21" ht="28.2" customHeight="1" thickBot="1" x14ac:dyDescent="0.4">
      <c r="B106" s="122"/>
      <c r="C106" s="124" t="s">
        <v>297</v>
      </c>
      <c r="D106" s="153" t="s">
        <v>293</v>
      </c>
      <c r="E106" s="154">
        <f t="shared" si="1"/>
        <v>103</v>
      </c>
      <c r="F106" s="155" t="s">
        <v>298</v>
      </c>
      <c r="G106" s="156" t="s">
        <v>299</v>
      </c>
      <c r="H106" s="80" t="s">
        <v>71</v>
      </c>
      <c r="I106" s="53" t="s">
        <v>71</v>
      </c>
      <c r="J106" s="53" t="s">
        <v>71</v>
      </c>
      <c r="K106" s="52" t="s">
        <v>71</v>
      </c>
      <c r="L106" s="53" t="s">
        <v>71</v>
      </c>
      <c r="M106" s="53" t="s">
        <v>71</v>
      </c>
      <c r="N106" s="52" t="s">
        <v>71</v>
      </c>
      <c r="O106" s="78" t="s">
        <v>310</v>
      </c>
      <c r="P106" s="72" t="s">
        <v>71</v>
      </c>
      <c r="Q106" s="64">
        <v>45687</v>
      </c>
      <c r="R106" s="54"/>
      <c r="S106" s="74"/>
      <c r="T106" s="70"/>
      <c r="U106" s="100" t="s">
        <v>345</v>
      </c>
    </row>
    <row r="107" spans="1:21" ht="18" customHeight="1" x14ac:dyDescent="0.35">
      <c r="B107" s="524" t="s">
        <v>300</v>
      </c>
      <c r="C107" s="509"/>
      <c r="D107" s="509">
        <f>SUM(H109:P109)</f>
        <v>111</v>
      </c>
      <c r="E107" s="157"/>
      <c r="F107" s="158"/>
      <c r="G107" s="248" t="s">
        <v>301</v>
      </c>
      <c r="H107" s="160">
        <f>COUNTIF(H4:H106,"●")+COUNTIF(H4:H106,"■")+COUNTIF(H4:H106,"OK")</f>
        <v>51</v>
      </c>
      <c r="I107" s="160">
        <f t="shared" ref="I107:P107" si="2">COUNTIF(I4:I106,"●")+COUNTIF(I4:I106,"■")+COUNTIF(I4:I106,"OK")</f>
        <v>0</v>
      </c>
      <c r="J107" s="160">
        <f t="shared" si="2"/>
        <v>0</v>
      </c>
      <c r="K107" s="160">
        <f t="shared" si="2"/>
        <v>24</v>
      </c>
      <c r="L107" s="160">
        <f t="shared" si="2"/>
        <v>19</v>
      </c>
      <c r="M107" s="160">
        <f t="shared" si="2"/>
        <v>13</v>
      </c>
      <c r="N107" s="160">
        <f t="shared" si="2"/>
        <v>0</v>
      </c>
      <c r="O107" s="160">
        <f t="shared" si="2"/>
        <v>4</v>
      </c>
      <c r="P107" s="160">
        <f t="shared" si="2"/>
        <v>0</v>
      </c>
      <c r="Q107" s="511" t="s">
        <v>302</v>
      </c>
      <c r="R107" s="511"/>
      <c r="S107" s="511"/>
      <c r="T107" s="161"/>
      <c r="U107" s="162"/>
    </row>
    <row r="108" spans="1:21" ht="18" customHeight="1" x14ac:dyDescent="0.35">
      <c r="B108" s="525"/>
      <c r="C108" s="510"/>
      <c r="D108" s="510"/>
      <c r="E108" s="55"/>
      <c r="F108" s="56"/>
      <c r="G108" s="249" t="s">
        <v>303</v>
      </c>
      <c r="H108" s="75">
        <f t="shared" ref="H108:P108" si="3">COUNTIF(H4:H106,"×")+COUNTIF(H4:H106,"NG")</f>
        <v>0</v>
      </c>
      <c r="I108" s="76">
        <f t="shared" si="3"/>
        <v>0</v>
      </c>
      <c r="J108" s="76">
        <f t="shared" si="3"/>
        <v>0</v>
      </c>
      <c r="K108" s="76">
        <f t="shared" si="3"/>
        <v>0</v>
      </c>
      <c r="L108" s="76">
        <f t="shared" si="3"/>
        <v>0</v>
      </c>
      <c r="M108" s="76">
        <f t="shared" si="3"/>
        <v>0</v>
      </c>
      <c r="N108" s="76">
        <f t="shared" si="3"/>
        <v>0</v>
      </c>
      <c r="O108" s="76">
        <f>COUNTIF(O4:O106,"×")+COUNTIF(O4:O106,"NG")</f>
        <v>0</v>
      </c>
      <c r="P108" s="77">
        <f t="shared" si="3"/>
        <v>0</v>
      </c>
      <c r="Q108" s="512"/>
      <c r="R108" s="512"/>
      <c r="S108" s="512"/>
      <c r="T108" s="71"/>
      <c r="U108" s="105"/>
    </row>
    <row r="109" spans="1:21" ht="18" customHeight="1" x14ac:dyDescent="0.35">
      <c r="B109" s="526" t="s">
        <v>304</v>
      </c>
      <c r="C109" s="507"/>
      <c r="D109" s="507">
        <f>SUM(H110:P110)</f>
        <v>111</v>
      </c>
      <c r="E109" s="45"/>
      <c r="F109" s="46"/>
      <c r="G109" s="249" t="s">
        <v>305</v>
      </c>
      <c r="H109" s="75">
        <f t="shared" ref="H109:P109" si="4">H107+H108</f>
        <v>51</v>
      </c>
      <c r="I109" s="76">
        <f t="shared" si="4"/>
        <v>0</v>
      </c>
      <c r="J109" s="76">
        <f t="shared" si="4"/>
        <v>0</v>
      </c>
      <c r="K109" s="76">
        <f t="shared" si="4"/>
        <v>24</v>
      </c>
      <c r="L109" s="76">
        <f t="shared" si="4"/>
        <v>19</v>
      </c>
      <c r="M109" s="76">
        <f t="shared" si="4"/>
        <v>13</v>
      </c>
      <c r="N109" s="76">
        <f t="shared" si="4"/>
        <v>0</v>
      </c>
      <c r="O109" s="76">
        <f t="shared" si="4"/>
        <v>4</v>
      </c>
      <c r="P109" s="77">
        <f t="shared" si="4"/>
        <v>0</v>
      </c>
      <c r="Q109" s="513">
        <f>COUNTA(Q4:Q106)</f>
        <v>61</v>
      </c>
      <c r="R109" s="515">
        <f>COUNTA(R4:R106)</f>
        <v>0</v>
      </c>
      <c r="S109" s="517">
        <f>COUNTA(S4:S106)</f>
        <v>0</v>
      </c>
      <c r="T109" s="71"/>
      <c r="U109" s="105"/>
    </row>
    <row r="110" spans="1:21" ht="18" customHeight="1" thickBot="1" x14ac:dyDescent="0.4">
      <c r="A110" s="118"/>
      <c r="B110" s="527"/>
      <c r="C110" s="508"/>
      <c r="D110" s="508"/>
      <c r="E110" s="106"/>
      <c r="F110" s="107"/>
      <c r="G110" s="250" t="s">
        <v>306</v>
      </c>
      <c r="H110" s="109">
        <f t="shared" ref="H110:P110" si="5">COUNTBLANK(H4:H106)+H109+COUNTIF(H4:H106,"□")</f>
        <v>51</v>
      </c>
      <c r="I110" s="109">
        <f t="shared" si="5"/>
        <v>0</v>
      </c>
      <c r="J110" s="109">
        <f t="shared" si="5"/>
        <v>0</v>
      </c>
      <c r="K110" s="109">
        <f t="shared" si="5"/>
        <v>24</v>
      </c>
      <c r="L110" s="109">
        <f t="shared" si="5"/>
        <v>19</v>
      </c>
      <c r="M110" s="109">
        <f t="shared" si="5"/>
        <v>13</v>
      </c>
      <c r="N110" s="109">
        <f t="shared" si="5"/>
        <v>0</v>
      </c>
      <c r="O110" s="109">
        <f t="shared" si="5"/>
        <v>4</v>
      </c>
      <c r="P110" s="109">
        <f t="shared" si="5"/>
        <v>0</v>
      </c>
      <c r="Q110" s="514"/>
      <c r="R110" s="516"/>
      <c r="S110" s="518"/>
      <c r="T110" s="112"/>
      <c r="U110" s="113"/>
    </row>
    <row r="111" spans="1:21" ht="24" customHeight="1" x14ac:dyDescent="0.35"/>
    <row r="113" spans="2:3" x14ac:dyDescent="0.35">
      <c r="B113" s="60" t="s">
        <v>346</v>
      </c>
      <c r="C113" s="60" cm="1">
        <f t="array" ref="C113">SUM(Win10対応_SS!D76+'パッケージ系 (SS)'!D109:D110)</f>
        <v>205</v>
      </c>
    </row>
    <row r="114" spans="2:3" x14ac:dyDescent="0.35">
      <c r="B114" s="60" t="s">
        <v>347</v>
      </c>
      <c r="C114" s="60">
        <v>180</v>
      </c>
    </row>
  </sheetData>
  <mergeCells count="16">
    <mergeCell ref="T2:T3"/>
    <mergeCell ref="U2:U3"/>
    <mergeCell ref="B107:C108"/>
    <mergeCell ref="D107:D108"/>
    <mergeCell ref="Q107:S108"/>
    <mergeCell ref="B2:B3"/>
    <mergeCell ref="C2:C3"/>
    <mergeCell ref="D2:D3"/>
    <mergeCell ref="E2:G2"/>
    <mergeCell ref="H2:P2"/>
    <mergeCell ref="Q2:S2"/>
    <mergeCell ref="B109:C110"/>
    <mergeCell ref="D109:D110"/>
    <mergeCell ref="Q109:Q110"/>
    <mergeCell ref="R109:R110"/>
    <mergeCell ref="S109:S110"/>
  </mergeCells>
  <phoneticPr fontId="23"/>
  <pageMargins left="0.25" right="0.25" top="0.75" bottom="0.75" header="0.3" footer="0.3"/>
  <pageSetup paperSize="8" scale="72" fitToHeight="0" orientation="landscape" r:id="rId1"/>
  <rowBreaks count="2" manualBreakCount="2">
    <brk id="64" max="26" man="1"/>
    <brk id="89" max="2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16B04-2154-4842-B488-4FE771601470}">
  <sheetPr codeName="Sheet6">
    <pageSetUpPr fitToPage="1"/>
  </sheetPr>
  <dimension ref="A1:W115"/>
  <sheetViews>
    <sheetView tabSelected="1" view="pageBreakPreview" topLeftCell="D1" zoomScale="80" zoomScaleNormal="70" zoomScaleSheetLayoutView="80" workbookViewId="0">
      <pane ySplit="3" topLeftCell="A25" activePane="bottomLeft" state="frozen"/>
      <selection pane="bottomLeft" activeCell="Q31" sqref="Q31"/>
    </sheetView>
  </sheetViews>
  <sheetFormatPr defaultColWidth="8.6640625" defaultRowHeight="13.2" x14ac:dyDescent="0.35"/>
  <cols>
    <col min="1" max="1" width="3.109375" style="60" customWidth="1"/>
    <col min="2" max="2" width="8.1093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52.109375" style="120" bestFit="1" customWidth="1"/>
    <col min="22" max="22" width="5" style="120" customWidth="1"/>
    <col min="23" max="16384" width="8.6640625" style="120"/>
  </cols>
  <sheetData>
    <row r="1" spans="1:22" ht="20.399999999999999" thickBot="1" x14ac:dyDescent="0.4">
      <c r="B1" s="121" t="s">
        <v>42</v>
      </c>
      <c r="E1" s="121"/>
    </row>
    <row r="2" spans="1:22" ht="24" customHeight="1" x14ac:dyDescent="0.35">
      <c r="A2" s="118"/>
      <c r="B2" s="522" t="s">
        <v>43</v>
      </c>
      <c r="C2" s="505" t="s">
        <v>44</v>
      </c>
      <c r="D2" s="505" t="s">
        <v>45</v>
      </c>
      <c r="E2" s="498" t="s">
        <v>46</v>
      </c>
      <c r="F2" s="499"/>
      <c r="G2" s="500"/>
      <c r="H2" s="519" t="s">
        <v>348</v>
      </c>
      <c r="I2" s="520"/>
      <c r="J2" s="520"/>
      <c r="K2" s="520"/>
      <c r="L2" s="520"/>
      <c r="M2" s="520"/>
      <c r="N2" s="520"/>
      <c r="O2" s="520"/>
      <c r="P2" s="521"/>
      <c r="Q2" s="501" t="s">
        <v>48</v>
      </c>
      <c r="R2" s="502"/>
      <c r="S2" s="502"/>
      <c r="T2" s="505" t="s">
        <v>49</v>
      </c>
      <c r="U2" s="503" t="s">
        <v>50</v>
      </c>
    </row>
    <row r="3" spans="1:22" ht="27" thickBot="1" x14ac:dyDescent="0.4">
      <c r="A3" s="118"/>
      <c r="B3" s="523"/>
      <c r="C3" s="506"/>
      <c r="D3" s="506"/>
      <c r="E3" s="114" t="s">
        <v>51</v>
      </c>
      <c r="F3" s="247"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506"/>
      <c r="U3" s="504"/>
    </row>
    <row r="4" spans="1:22" ht="28.2" customHeight="1" x14ac:dyDescent="0.35">
      <c r="B4" s="122" t="s">
        <v>66</v>
      </c>
      <c r="C4" s="123" t="s">
        <v>67</v>
      </c>
      <c r="D4" s="227" t="s">
        <v>68</v>
      </c>
      <c r="E4" s="228">
        <f>ROW()-3</f>
        <v>1</v>
      </c>
      <c r="F4" s="229" t="s">
        <v>69</v>
      </c>
      <c r="G4" s="87" t="s">
        <v>70</v>
      </c>
      <c r="H4" s="81" t="s">
        <v>71</v>
      </c>
      <c r="I4" s="58" t="s">
        <v>71</v>
      </c>
      <c r="J4" s="58" t="s">
        <v>71</v>
      </c>
      <c r="K4" s="57" t="s">
        <v>71</v>
      </c>
      <c r="L4" s="58" t="s">
        <v>71</v>
      </c>
      <c r="M4" s="58" t="s">
        <v>71</v>
      </c>
      <c r="N4" s="58" t="s">
        <v>71</v>
      </c>
      <c r="O4" s="78" t="s">
        <v>310</v>
      </c>
      <c r="P4" s="82" t="s">
        <v>71</v>
      </c>
      <c r="Q4" s="64">
        <v>45692</v>
      </c>
      <c r="R4" s="49"/>
      <c r="S4" s="66"/>
      <c r="T4" s="68"/>
      <c r="U4" s="99"/>
    </row>
    <row r="5" spans="1:22" ht="28.2" customHeight="1" x14ac:dyDescent="0.35">
      <c r="B5" s="122"/>
      <c r="C5" s="123"/>
      <c r="D5" s="230" t="s">
        <v>73</v>
      </c>
      <c r="E5" s="231">
        <f t="shared" ref="E5:E93" si="0">ROW()-3</f>
        <v>2</v>
      </c>
      <c r="F5" s="97" t="s">
        <v>69</v>
      </c>
      <c r="G5" s="91" t="s">
        <v>74</v>
      </c>
      <c r="H5" s="78" t="s">
        <v>71</v>
      </c>
      <c r="I5" s="48" t="s">
        <v>71</v>
      </c>
      <c r="J5" s="48" t="s">
        <v>71</v>
      </c>
      <c r="K5" s="48" t="s">
        <v>71</v>
      </c>
      <c r="L5" s="48" t="s">
        <v>71</v>
      </c>
      <c r="M5" s="48" t="s">
        <v>71</v>
      </c>
      <c r="N5" s="48" t="s">
        <v>71</v>
      </c>
      <c r="O5" s="78" t="s">
        <v>310</v>
      </c>
      <c r="P5" s="62" t="s">
        <v>71</v>
      </c>
      <c r="Q5" s="64">
        <v>45692</v>
      </c>
      <c r="R5" s="49"/>
      <c r="S5" s="66"/>
      <c r="T5" s="68"/>
      <c r="U5" s="100"/>
    </row>
    <row r="6" spans="1:22" ht="28.2" customHeight="1" x14ac:dyDescent="0.35">
      <c r="B6" s="122"/>
      <c r="C6" s="320" t="s">
        <v>75</v>
      </c>
      <c r="D6" s="328" t="s">
        <v>76</v>
      </c>
      <c r="E6" s="94">
        <f t="shared" si="0"/>
        <v>3</v>
      </c>
      <c r="F6" s="95" t="s">
        <v>77</v>
      </c>
      <c r="G6" s="96" t="s">
        <v>78</v>
      </c>
      <c r="H6" s="79" t="s">
        <v>71</v>
      </c>
      <c r="I6" s="50" t="s">
        <v>71</v>
      </c>
      <c r="J6" s="50" t="s">
        <v>71</v>
      </c>
      <c r="K6" s="50" t="s">
        <v>71</v>
      </c>
      <c r="L6" s="50" t="s">
        <v>71</v>
      </c>
      <c r="M6" s="50" t="s">
        <v>71</v>
      </c>
      <c r="N6" s="50" t="s">
        <v>71</v>
      </c>
      <c r="O6" s="50" t="s">
        <v>71</v>
      </c>
      <c r="P6" s="63" t="s">
        <v>71</v>
      </c>
      <c r="Q6" s="65"/>
      <c r="R6" s="51"/>
      <c r="S6" s="67"/>
      <c r="T6" s="322"/>
      <c r="U6" s="326"/>
    </row>
    <row r="7" spans="1:22" ht="28.2" customHeight="1" x14ac:dyDescent="0.35">
      <c r="B7" s="122"/>
      <c r="C7" s="330"/>
      <c r="D7" s="328" t="s">
        <v>80</v>
      </c>
      <c r="E7" s="94">
        <f t="shared" si="0"/>
        <v>4</v>
      </c>
      <c r="F7" s="95" t="s">
        <v>77</v>
      </c>
      <c r="G7" s="96" t="s">
        <v>81</v>
      </c>
      <c r="H7" s="79" t="s">
        <v>71</v>
      </c>
      <c r="I7" s="50" t="s">
        <v>71</v>
      </c>
      <c r="J7" s="50" t="s">
        <v>71</v>
      </c>
      <c r="K7" s="50" t="s">
        <v>71</v>
      </c>
      <c r="L7" s="50" t="s">
        <v>71</v>
      </c>
      <c r="M7" s="50" t="s">
        <v>71</v>
      </c>
      <c r="N7" s="50" t="s">
        <v>71</v>
      </c>
      <c r="O7" s="50" t="s">
        <v>71</v>
      </c>
      <c r="P7" s="63" t="s">
        <v>71</v>
      </c>
      <c r="Q7" s="65"/>
      <c r="R7" s="51"/>
      <c r="S7" s="67"/>
      <c r="T7" s="322"/>
      <c r="U7" s="326"/>
    </row>
    <row r="8" spans="1:22" ht="28.2" customHeight="1" x14ac:dyDescent="0.35">
      <c r="B8" s="125" t="s">
        <v>82</v>
      </c>
      <c r="C8" s="124"/>
      <c r="D8" s="230" t="s">
        <v>83</v>
      </c>
      <c r="E8" s="231">
        <f t="shared" si="0"/>
        <v>5</v>
      </c>
      <c r="F8" s="97"/>
      <c r="G8" s="91" t="s">
        <v>349</v>
      </c>
      <c r="H8" s="78" t="s">
        <v>71</v>
      </c>
      <c r="I8" s="339" t="s">
        <v>350</v>
      </c>
      <c r="J8" s="339" t="s">
        <v>71</v>
      </c>
      <c r="K8" s="78" t="s">
        <v>310</v>
      </c>
      <c r="L8" s="339" t="s">
        <v>71</v>
      </c>
      <c r="M8" s="339" t="s">
        <v>71</v>
      </c>
      <c r="N8" s="339" t="s">
        <v>71</v>
      </c>
      <c r="O8" s="339" t="s">
        <v>71</v>
      </c>
      <c r="P8" s="343" t="s">
        <v>71</v>
      </c>
      <c r="Q8" s="405">
        <v>45687</v>
      </c>
      <c r="R8" s="340"/>
      <c r="S8" s="406"/>
      <c r="T8" s="407"/>
      <c r="U8" s="341"/>
    </row>
    <row r="9" spans="1:22" ht="28.2" customHeight="1" x14ac:dyDescent="0.35">
      <c r="B9" s="122"/>
      <c r="C9" s="123"/>
      <c r="D9" s="232" t="s">
        <v>85</v>
      </c>
      <c r="E9" s="231">
        <f t="shared" si="0"/>
        <v>6</v>
      </c>
      <c r="F9" s="97"/>
      <c r="G9" s="91" t="s">
        <v>86</v>
      </c>
      <c r="H9" s="78" t="s">
        <v>310</v>
      </c>
      <c r="I9" s="48" t="s">
        <v>71</v>
      </c>
      <c r="J9" s="48" t="s">
        <v>71</v>
      </c>
      <c r="K9" s="78" t="s">
        <v>310</v>
      </c>
      <c r="L9" s="48" t="s">
        <v>71</v>
      </c>
      <c r="M9" s="48" t="s">
        <v>71</v>
      </c>
      <c r="N9" s="48" t="s">
        <v>71</v>
      </c>
      <c r="O9" s="48" t="s">
        <v>71</v>
      </c>
      <c r="P9" s="62" t="s">
        <v>71</v>
      </c>
      <c r="Q9" s="64">
        <v>45687</v>
      </c>
      <c r="R9" s="49"/>
      <c r="S9" s="66"/>
      <c r="T9" s="68"/>
      <c r="U9" s="101"/>
    </row>
    <row r="10" spans="1:22" ht="28.2" customHeight="1" x14ac:dyDescent="0.35">
      <c r="B10" s="122"/>
      <c r="C10" s="124" t="s">
        <v>87</v>
      </c>
      <c r="D10" s="232" t="s">
        <v>88</v>
      </c>
      <c r="E10" s="231">
        <f t="shared" si="0"/>
        <v>7</v>
      </c>
      <c r="F10" s="97"/>
      <c r="G10" s="91" t="s">
        <v>89</v>
      </c>
      <c r="H10" s="78" t="s">
        <v>71</v>
      </c>
      <c r="I10" s="48" t="s">
        <v>71</v>
      </c>
      <c r="J10" s="48" t="s">
        <v>71</v>
      </c>
      <c r="K10" s="78" t="s">
        <v>310</v>
      </c>
      <c r="L10" s="78" t="s">
        <v>310</v>
      </c>
      <c r="M10" s="78" t="s">
        <v>310</v>
      </c>
      <c r="N10" s="48" t="s">
        <v>71</v>
      </c>
      <c r="O10" s="48" t="s">
        <v>71</v>
      </c>
      <c r="P10" s="62" t="s">
        <v>71</v>
      </c>
      <c r="Q10" s="405">
        <v>45687</v>
      </c>
      <c r="R10" s="49"/>
      <c r="S10" s="66"/>
      <c r="T10" s="68"/>
      <c r="U10" s="103" t="s">
        <v>351</v>
      </c>
      <c r="V10" s="126"/>
    </row>
    <row r="11" spans="1:22" ht="28.2" customHeight="1" x14ac:dyDescent="0.35">
      <c r="B11" s="125" t="s">
        <v>90</v>
      </c>
      <c r="C11" s="124" t="s">
        <v>91</v>
      </c>
      <c r="D11" s="230" t="s">
        <v>92</v>
      </c>
      <c r="E11" s="231">
        <f t="shared" si="0"/>
        <v>8</v>
      </c>
      <c r="F11" s="97" t="s">
        <v>93</v>
      </c>
      <c r="G11" s="91" t="s">
        <v>94</v>
      </c>
      <c r="H11" s="78" t="s">
        <v>310</v>
      </c>
      <c r="I11" s="48" t="s">
        <v>71</v>
      </c>
      <c r="J11" s="48" t="s">
        <v>71</v>
      </c>
      <c r="K11" s="78" t="s">
        <v>310</v>
      </c>
      <c r="L11" s="48" t="s">
        <v>71</v>
      </c>
      <c r="M11" s="48" t="s">
        <v>71</v>
      </c>
      <c r="N11" s="48" t="s">
        <v>71</v>
      </c>
      <c r="O11" s="48" t="s">
        <v>71</v>
      </c>
      <c r="P11" s="62" t="s">
        <v>71</v>
      </c>
      <c r="Q11" s="64">
        <v>45687</v>
      </c>
      <c r="R11" s="49"/>
      <c r="S11" s="66"/>
      <c r="T11" s="68"/>
      <c r="U11" s="100"/>
    </row>
    <row r="12" spans="1:22" ht="62.4" customHeight="1" x14ac:dyDescent="0.35">
      <c r="B12" s="122"/>
      <c r="C12" s="123"/>
      <c r="D12" s="230" t="s">
        <v>95</v>
      </c>
      <c r="E12" s="231">
        <f t="shared" si="0"/>
        <v>9</v>
      </c>
      <c r="F12" s="98" t="s">
        <v>96</v>
      </c>
      <c r="G12" s="91" t="s">
        <v>97</v>
      </c>
      <c r="H12" s="78" t="s">
        <v>310</v>
      </c>
      <c r="I12" s="48" t="s">
        <v>71</v>
      </c>
      <c r="J12" s="48" t="s">
        <v>71</v>
      </c>
      <c r="K12" s="78" t="s">
        <v>310</v>
      </c>
      <c r="L12" s="48" t="s">
        <v>71</v>
      </c>
      <c r="M12" s="48" t="s">
        <v>71</v>
      </c>
      <c r="N12" s="48" t="s">
        <v>71</v>
      </c>
      <c r="O12" s="48" t="s">
        <v>71</v>
      </c>
      <c r="P12" s="62" t="s">
        <v>71</v>
      </c>
      <c r="Q12" s="64">
        <v>45687</v>
      </c>
      <c r="R12" s="49"/>
      <c r="S12" s="66"/>
      <c r="T12" s="68"/>
      <c r="U12" s="100"/>
    </row>
    <row r="13" spans="1:22" ht="28.2" customHeight="1" x14ac:dyDescent="0.35">
      <c r="B13" s="122"/>
      <c r="C13" s="123"/>
      <c r="D13" s="230" t="s">
        <v>98</v>
      </c>
      <c r="E13" s="231">
        <f t="shared" si="0"/>
        <v>10</v>
      </c>
      <c r="F13" s="98"/>
      <c r="G13" s="91" t="s">
        <v>99</v>
      </c>
      <c r="H13" s="78" t="s">
        <v>310</v>
      </c>
      <c r="I13" s="48" t="s">
        <v>71</v>
      </c>
      <c r="J13" s="48" t="s">
        <v>71</v>
      </c>
      <c r="K13" s="78" t="s">
        <v>310</v>
      </c>
      <c r="L13" s="48" t="s">
        <v>71</v>
      </c>
      <c r="M13" s="48" t="s">
        <v>71</v>
      </c>
      <c r="N13" s="48" t="s">
        <v>71</v>
      </c>
      <c r="O13" s="48" t="s">
        <v>71</v>
      </c>
      <c r="P13" s="62" t="s">
        <v>71</v>
      </c>
      <c r="Q13" s="64">
        <v>45687</v>
      </c>
      <c r="R13" s="49"/>
      <c r="S13" s="66"/>
      <c r="T13" s="68"/>
      <c r="U13" s="100"/>
    </row>
    <row r="14" spans="1:22" ht="28.2" customHeight="1" x14ac:dyDescent="0.35">
      <c r="B14" s="122"/>
      <c r="C14" s="123"/>
      <c r="D14" s="93" t="s">
        <v>100</v>
      </c>
      <c r="E14" s="94">
        <f t="shared" si="0"/>
        <v>11</v>
      </c>
      <c r="F14" s="333" t="s">
        <v>101</v>
      </c>
      <c r="G14" s="96" t="s">
        <v>102</v>
      </c>
      <c r="H14" s="79" t="s">
        <v>103</v>
      </c>
      <c r="I14" s="50" t="s">
        <v>103</v>
      </c>
      <c r="J14" s="50" t="s">
        <v>71</v>
      </c>
      <c r="K14" s="50" t="s">
        <v>71</v>
      </c>
      <c r="L14" s="50" t="s">
        <v>71</v>
      </c>
      <c r="M14" s="50" t="s">
        <v>71</v>
      </c>
      <c r="N14" s="50" t="s">
        <v>71</v>
      </c>
      <c r="O14" s="50" t="s">
        <v>71</v>
      </c>
      <c r="P14" s="63" t="s">
        <v>71</v>
      </c>
      <c r="Q14" s="65"/>
      <c r="R14" s="51"/>
      <c r="S14" s="67"/>
      <c r="T14" s="322"/>
      <c r="U14" s="326" t="s">
        <v>352</v>
      </c>
    </row>
    <row r="15" spans="1:22" ht="28.2" customHeight="1" x14ac:dyDescent="0.35">
      <c r="B15" s="122"/>
      <c r="C15" s="123"/>
      <c r="D15" s="93" t="s">
        <v>105</v>
      </c>
      <c r="E15" s="94">
        <f t="shared" si="0"/>
        <v>12</v>
      </c>
      <c r="F15" s="95"/>
      <c r="G15" s="96" t="s">
        <v>106</v>
      </c>
      <c r="H15" s="79" t="s">
        <v>350</v>
      </c>
      <c r="I15" s="50" t="s">
        <v>350</v>
      </c>
      <c r="J15" s="50" t="s">
        <v>71</v>
      </c>
      <c r="K15" s="50" t="s">
        <v>71</v>
      </c>
      <c r="L15" s="50" t="s">
        <v>71</v>
      </c>
      <c r="M15" s="50" t="s">
        <v>71</v>
      </c>
      <c r="N15" s="50" t="s">
        <v>71</v>
      </c>
      <c r="O15" s="50" t="s">
        <v>71</v>
      </c>
      <c r="P15" s="63" t="s">
        <v>71</v>
      </c>
      <c r="Q15" s="65"/>
      <c r="R15" s="51"/>
      <c r="S15" s="67"/>
      <c r="T15" s="322"/>
      <c r="U15" s="326" t="s">
        <v>353</v>
      </c>
    </row>
    <row r="16" spans="1:22" ht="28.2" customHeight="1" x14ac:dyDescent="0.35">
      <c r="B16" s="122"/>
      <c r="C16" s="123"/>
      <c r="D16" s="93" t="s">
        <v>107</v>
      </c>
      <c r="E16" s="94">
        <f t="shared" si="0"/>
        <v>13</v>
      </c>
      <c r="F16" s="95"/>
      <c r="G16" s="96" t="s">
        <v>108</v>
      </c>
      <c r="H16" s="50" t="s">
        <v>71</v>
      </c>
      <c r="I16" s="50" t="s">
        <v>71</v>
      </c>
      <c r="J16" s="63" t="s">
        <v>71</v>
      </c>
      <c r="K16" s="50" t="s">
        <v>71</v>
      </c>
      <c r="L16" s="50" t="s">
        <v>71</v>
      </c>
      <c r="M16" s="50" t="s">
        <v>71</v>
      </c>
      <c r="N16" s="50" t="s">
        <v>71</v>
      </c>
      <c r="O16" s="63" t="s">
        <v>71</v>
      </c>
      <c r="P16" s="63" t="s">
        <v>71</v>
      </c>
      <c r="Q16" s="329"/>
      <c r="R16" s="51"/>
      <c r="S16" s="67"/>
      <c r="T16" s="322"/>
      <c r="U16" s="326" t="s">
        <v>354</v>
      </c>
    </row>
    <row r="17" spans="1:22" ht="28.2" customHeight="1" x14ac:dyDescent="0.35">
      <c r="B17" s="122"/>
      <c r="C17" s="123"/>
      <c r="D17" s="230" t="s">
        <v>109</v>
      </c>
      <c r="E17" s="231">
        <f t="shared" si="0"/>
        <v>14</v>
      </c>
      <c r="F17" s="97"/>
      <c r="G17" s="91" t="s">
        <v>110</v>
      </c>
      <c r="H17" s="78" t="s">
        <v>310</v>
      </c>
      <c r="I17" s="48" t="s">
        <v>71</v>
      </c>
      <c r="J17" s="48" t="s">
        <v>71</v>
      </c>
      <c r="K17" s="48" t="s">
        <v>71</v>
      </c>
      <c r="L17" s="48" t="s">
        <v>71</v>
      </c>
      <c r="M17" s="48" t="s">
        <v>71</v>
      </c>
      <c r="N17" s="48" t="s">
        <v>71</v>
      </c>
      <c r="O17" s="48" t="s">
        <v>71</v>
      </c>
      <c r="P17" s="62" t="s">
        <v>71</v>
      </c>
      <c r="Q17" s="64">
        <v>45687</v>
      </c>
      <c r="R17" s="49"/>
      <c r="S17" s="66"/>
      <c r="T17" s="68"/>
      <c r="U17" s="101"/>
    </row>
    <row r="18" spans="1:22" ht="28.2" customHeight="1" x14ac:dyDescent="0.35">
      <c r="B18" s="122"/>
      <c r="C18" s="123"/>
      <c r="D18" s="233" t="s">
        <v>111</v>
      </c>
      <c r="E18" s="94">
        <f t="shared" si="0"/>
        <v>15</v>
      </c>
      <c r="F18" s="95"/>
      <c r="G18" s="96" t="s">
        <v>112</v>
      </c>
      <c r="H18" s="79" t="s">
        <v>350</v>
      </c>
      <c r="I18" s="50" t="s">
        <v>350</v>
      </c>
      <c r="J18" s="50" t="s">
        <v>71</v>
      </c>
      <c r="K18" s="50" t="s">
        <v>71</v>
      </c>
      <c r="L18" s="50" t="s">
        <v>71</v>
      </c>
      <c r="M18" s="50" t="s">
        <v>71</v>
      </c>
      <c r="N18" s="50" t="s">
        <v>71</v>
      </c>
      <c r="O18" s="50" t="s">
        <v>71</v>
      </c>
      <c r="P18" s="63" t="s">
        <v>71</v>
      </c>
      <c r="Q18" s="65"/>
      <c r="R18" s="51"/>
      <c r="S18" s="67"/>
      <c r="T18" s="322"/>
      <c r="U18" s="326" t="s">
        <v>355</v>
      </c>
    </row>
    <row r="19" spans="1:22" s="314" customFormat="1" ht="28.2" customHeight="1" x14ac:dyDescent="0.35">
      <c r="A19" s="315"/>
      <c r="B19" s="316"/>
      <c r="C19" s="317"/>
      <c r="D19" s="324"/>
      <c r="E19" s="94">
        <f t="shared" si="0"/>
        <v>16</v>
      </c>
      <c r="F19" s="95"/>
      <c r="G19" s="96" t="s">
        <v>113</v>
      </c>
      <c r="H19" s="79" t="s">
        <v>350</v>
      </c>
      <c r="I19" s="50" t="s">
        <v>71</v>
      </c>
      <c r="J19" s="50" t="s">
        <v>71</v>
      </c>
      <c r="K19" s="50" t="s">
        <v>71</v>
      </c>
      <c r="L19" s="50" t="s">
        <v>71</v>
      </c>
      <c r="M19" s="50" t="s">
        <v>71</v>
      </c>
      <c r="N19" s="50" t="s">
        <v>71</v>
      </c>
      <c r="O19" s="50" t="s">
        <v>71</v>
      </c>
      <c r="P19" s="63" t="s">
        <v>71</v>
      </c>
      <c r="Q19" s="65"/>
      <c r="R19" s="51"/>
      <c r="S19" s="67"/>
      <c r="T19" s="322"/>
      <c r="U19" s="326" t="s">
        <v>355</v>
      </c>
      <c r="V19" s="323"/>
    </row>
    <row r="20" spans="1:22" ht="28.2" customHeight="1" x14ac:dyDescent="0.35">
      <c r="B20" s="122"/>
      <c r="C20" s="123"/>
      <c r="D20" s="235"/>
      <c r="E20" s="231">
        <f t="shared" si="0"/>
        <v>17</v>
      </c>
      <c r="F20" s="97"/>
      <c r="G20" s="91" t="s">
        <v>115</v>
      </c>
      <c r="H20" s="78" t="s">
        <v>310</v>
      </c>
      <c r="I20" s="48" t="s">
        <v>71</v>
      </c>
      <c r="J20" s="48" t="s">
        <v>71</v>
      </c>
      <c r="K20" s="78" t="s">
        <v>310</v>
      </c>
      <c r="L20" s="48" t="s">
        <v>71</v>
      </c>
      <c r="M20" s="48" t="s">
        <v>71</v>
      </c>
      <c r="N20" s="48" t="s">
        <v>71</v>
      </c>
      <c r="O20" s="48" t="s">
        <v>71</v>
      </c>
      <c r="P20" s="62" t="s">
        <v>71</v>
      </c>
      <c r="Q20" s="64">
        <v>45687</v>
      </c>
      <c r="R20" s="49"/>
      <c r="S20" s="66"/>
      <c r="T20" s="68"/>
      <c r="U20" s="100"/>
    </row>
    <row r="21" spans="1:22" ht="28.2" customHeight="1" x14ac:dyDescent="0.35">
      <c r="B21" s="122"/>
      <c r="C21" s="123"/>
      <c r="D21" s="230" t="s">
        <v>116</v>
      </c>
      <c r="E21" s="231">
        <f t="shared" si="0"/>
        <v>18</v>
      </c>
      <c r="F21" s="97"/>
      <c r="G21" s="91" t="s">
        <v>117</v>
      </c>
      <c r="H21" s="78" t="s">
        <v>310</v>
      </c>
      <c r="I21" s="48" t="s">
        <v>71</v>
      </c>
      <c r="J21" s="48" t="s">
        <v>71</v>
      </c>
      <c r="K21" s="78" t="s">
        <v>310</v>
      </c>
      <c r="L21" s="48" t="s">
        <v>71</v>
      </c>
      <c r="M21" s="48" t="s">
        <v>71</v>
      </c>
      <c r="N21" s="48" t="s">
        <v>71</v>
      </c>
      <c r="O21" s="48" t="s">
        <v>71</v>
      </c>
      <c r="P21" s="62" t="s">
        <v>71</v>
      </c>
      <c r="Q21" s="64">
        <v>45687</v>
      </c>
      <c r="R21" s="49"/>
      <c r="S21" s="66"/>
      <c r="T21" s="68"/>
      <c r="U21" s="100"/>
    </row>
    <row r="22" spans="1:22" ht="28.2" customHeight="1" x14ac:dyDescent="0.35">
      <c r="B22" s="122"/>
      <c r="C22" s="123"/>
      <c r="D22" s="232" t="s">
        <v>118</v>
      </c>
      <c r="E22" s="231">
        <f t="shared" si="0"/>
        <v>19</v>
      </c>
      <c r="F22" s="97" t="s">
        <v>119</v>
      </c>
      <c r="G22" s="91" t="s">
        <v>120</v>
      </c>
      <c r="H22" s="78" t="s">
        <v>310</v>
      </c>
      <c r="I22" s="48" t="s">
        <v>71</v>
      </c>
      <c r="J22" s="48" t="s">
        <v>71</v>
      </c>
      <c r="K22" s="78" t="s">
        <v>310</v>
      </c>
      <c r="L22" s="48" t="s">
        <v>71</v>
      </c>
      <c r="M22" s="48" t="s">
        <v>71</v>
      </c>
      <c r="N22" s="48" t="s">
        <v>71</v>
      </c>
      <c r="O22" s="48" t="s">
        <v>71</v>
      </c>
      <c r="P22" s="62" t="s">
        <v>71</v>
      </c>
      <c r="Q22" s="64">
        <v>45687</v>
      </c>
      <c r="R22" s="49"/>
      <c r="S22" s="66"/>
      <c r="T22" s="68"/>
      <c r="U22" s="100"/>
    </row>
    <row r="23" spans="1:22" ht="28.2" customHeight="1" x14ac:dyDescent="0.35">
      <c r="B23" s="122"/>
      <c r="C23" s="123"/>
      <c r="D23" s="88" t="s">
        <v>121</v>
      </c>
      <c r="E23" s="89">
        <f t="shared" si="0"/>
        <v>20</v>
      </c>
      <c r="F23" s="90"/>
      <c r="G23" s="91" t="s">
        <v>122</v>
      </c>
      <c r="H23" s="78" t="s">
        <v>310</v>
      </c>
      <c r="I23" s="48" t="s">
        <v>71</v>
      </c>
      <c r="J23" s="48" t="s">
        <v>71</v>
      </c>
      <c r="K23" s="78" t="s">
        <v>71</v>
      </c>
      <c r="L23" s="48" t="s">
        <v>71</v>
      </c>
      <c r="M23" s="48" t="s">
        <v>71</v>
      </c>
      <c r="N23" s="48" t="s">
        <v>71</v>
      </c>
      <c r="O23" s="48" t="s">
        <v>71</v>
      </c>
      <c r="P23" s="62" t="s">
        <v>71</v>
      </c>
      <c r="Q23" s="64">
        <v>45687</v>
      </c>
      <c r="R23" s="49"/>
      <c r="S23" s="66"/>
      <c r="T23" s="68"/>
      <c r="U23" s="100"/>
    </row>
    <row r="24" spans="1:22" ht="28.2" customHeight="1" x14ac:dyDescent="0.35">
      <c r="B24" s="122"/>
      <c r="C24" s="123"/>
      <c r="D24" s="233" t="s">
        <v>123</v>
      </c>
      <c r="E24" s="89">
        <f t="shared" si="0"/>
        <v>21</v>
      </c>
      <c r="F24" s="90"/>
      <c r="G24" s="91" t="s">
        <v>124</v>
      </c>
      <c r="H24" s="78" t="s">
        <v>71</v>
      </c>
      <c r="I24" s="48" t="s">
        <v>71</v>
      </c>
      <c r="J24" s="48" t="s">
        <v>71</v>
      </c>
      <c r="K24" s="78" t="s">
        <v>71</v>
      </c>
      <c r="L24" s="78" t="s">
        <v>310</v>
      </c>
      <c r="M24" s="78" t="s">
        <v>310</v>
      </c>
      <c r="N24" s="48" t="s">
        <v>71</v>
      </c>
      <c r="O24" s="48" t="s">
        <v>71</v>
      </c>
      <c r="P24" s="62" t="s">
        <v>71</v>
      </c>
      <c r="Q24" s="64">
        <v>45687</v>
      </c>
      <c r="R24" s="49"/>
      <c r="S24" s="66"/>
      <c r="T24" s="68"/>
      <c r="U24" s="100" t="s">
        <v>356</v>
      </c>
      <c r="V24" s="126"/>
    </row>
    <row r="25" spans="1:22" ht="28.2" customHeight="1" x14ac:dyDescent="0.35">
      <c r="B25" s="122"/>
      <c r="C25" s="123"/>
      <c r="D25" s="234"/>
      <c r="E25" s="89">
        <f t="shared" si="0"/>
        <v>22</v>
      </c>
      <c r="F25" s="90"/>
      <c r="G25" s="91" t="s">
        <v>125</v>
      </c>
      <c r="H25" s="78" t="s">
        <v>71</v>
      </c>
      <c r="I25" s="48" t="s">
        <v>71</v>
      </c>
      <c r="J25" s="48" t="s">
        <v>71</v>
      </c>
      <c r="K25" s="78" t="s">
        <v>71</v>
      </c>
      <c r="L25" s="78" t="s">
        <v>310</v>
      </c>
      <c r="M25" s="78" t="s">
        <v>310</v>
      </c>
      <c r="N25" s="48" t="s">
        <v>71</v>
      </c>
      <c r="O25" s="48" t="s">
        <v>71</v>
      </c>
      <c r="P25" s="62" t="s">
        <v>71</v>
      </c>
      <c r="Q25" s="64">
        <v>45687</v>
      </c>
      <c r="R25" s="49"/>
      <c r="S25" s="66"/>
      <c r="T25" s="68"/>
      <c r="U25" s="100" t="s">
        <v>356</v>
      </c>
      <c r="V25" s="126"/>
    </row>
    <row r="26" spans="1:22" ht="28.2" customHeight="1" x14ac:dyDescent="0.35">
      <c r="B26" s="122"/>
      <c r="C26" s="123"/>
      <c r="D26" s="234"/>
      <c r="E26" s="89">
        <f t="shared" si="0"/>
        <v>23</v>
      </c>
      <c r="F26" s="90"/>
      <c r="G26" s="91" t="s">
        <v>126</v>
      </c>
      <c r="H26" s="78" t="s">
        <v>71</v>
      </c>
      <c r="I26" s="48" t="s">
        <v>71</v>
      </c>
      <c r="J26" s="48" t="s">
        <v>71</v>
      </c>
      <c r="K26" s="78" t="s">
        <v>71</v>
      </c>
      <c r="L26" s="78" t="s">
        <v>310</v>
      </c>
      <c r="M26" s="78" t="s">
        <v>310</v>
      </c>
      <c r="N26" s="48" t="s">
        <v>71</v>
      </c>
      <c r="O26" s="48" t="s">
        <v>71</v>
      </c>
      <c r="P26" s="62" t="s">
        <v>71</v>
      </c>
      <c r="Q26" s="64">
        <v>45687</v>
      </c>
      <c r="R26" s="49"/>
      <c r="S26" s="66"/>
      <c r="T26" s="68"/>
      <c r="U26" s="100" t="s">
        <v>356</v>
      </c>
      <c r="V26" s="126"/>
    </row>
    <row r="27" spans="1:22" ht="28.2" customHeight="1" x14ac:dyDescent="0.35">
      <c r="B27" s="122"/>
      <c r="C27" s="123"/>
      <c r="D27" s="232" t="s">
        <v>127</v>
      </c>
      <c r="E27" s="89">
        <f t="shared" si="0"/>
        <v>24</v>
      </c>
      <c r="F27" s="90"/>
      <c r="G27" s="91" t="s">
        <v>357</v>
      </c>
      <c r="H27" s="78" t="s">
        <v>71</v>
      </c>
      <c r="I27" s="48" t="s">
        <v>71</v>
      </c>
      <c r="J27" s="48" t="s">
        <v>71</v>
      </c>
      <c r="K27" s="78" t="s">
        <v>71</v>
      </c>
      <c r="L27" s="78" t="s">
        <v>310</v>
      </c>
      <c r="M27" s="78" t="s">
        <v>310</v>
      </c>
      <c r="N27" s="48" t="s">
        <v>71</v>
      </c>
      <c r="O27" s="48" t="s">
        <v>71</v>
      </c>
      <c r="P27" s="62" t="s">
        <v>71</v>
      </c>
      <c r="Q27" s="64">
        <v>45687</v>
      </c>
      <c r="R27" s="49"/>
      <c r="S27" s="66"/>
      <c r="T27" s="68"/>
      <c r="U27" s="100" t="s">
        <v>358</v>
      </c>
      <c r="V27" s="126"/>
    </row>
    <row r="28" spans="1:22" ht="28.2" customHeight="1" x14ac:dyDescent="0.35">
      <c r="B28" s="122"/>
      <c r="C28" s="124" t="s">
        <v>129</v>
      </c>
      <c r="D28" s="88" t="s">
        <v>130</v>
      </c>
      <c r="E28" s="89">
        <f t="shared" si="0"/>
        <v>25</v>
      </c>
      <c r="F28" s="90"/>
      <c r="G28" s="91" t="s">
        <v>131</v>
      </c>
      <c r="H28" s="78" t="s">
        <v>310</v>
      </c>
      <c r="I28" s="48" t="s">
        <v>71</v>
      </c>
      <c r="J28" s="48" t="s">
        <v>71</v>
      </c>
      <c r="K28" s="48" t="s">
        <v>71</v>
      </c>
      <c r="L28" s="48" t="s">
        <v>71</v>
      </c>
      <c r="M28" s="48" t="s">
        <v>71</v>
      </c>
      <c r="N28" s="48" t="s">
        <v>71</v>
      </c>
      <c r="O28" s="48" t="s">
        <v>71</v>
      </c>
      <c r="P28" s="62" t="s">
        <v>71</v>
      </c>
      <c r="Q28" s="64">
        <v>45687</v>
      </c>
      <c r="R28" s="49"/>
      <c r="S28" s="66"/>
      <c r="T28" s="68"/>
      <c r="U28" s="100"/>
    </row>
    <row r="29" spans="1:22" ht="28.2" customHeight="1" x14ac:dyDescent="0.35">
      <c r="B29" s="122"/>
      <c r="C29" s="123"/>
      <c r="D29" s="93" t="s">
        <v>133</v>
      </c>
      <c r="E29" s="94">
        <f t="shared" si="0"/>
        <v>26</v>
      </c>
      <c r="F29" s="95"/>
      <c r="G29" s="96" t="s">
        <v>131</v>
      </c>
      <c r="H29" s="79" t="s">
        <v>350</v>
      </c>
      <c r="I29" s="50" t="s">
        <v>350</v>
      </c>
      <c r="J29" s="50" t="s">
        <v>71</v>
      </c>
      <c r="K29" s="50" t="s">
        <v>71</v>
      </c>
      <c r="L29" s="50" t="s">
        <v>71</v>
      </c>
      <c r="M29" s="50" t="s">
        <v>71</v>
      </c>
      <c r="N29" s="50" t="s">
        <v>71</v>
      </c>
      <c r="O29" s="50" t="s">
        <v>71</v>
      </c>
      <c r="P29" s="63" t="s">
        <v>71</v>
      </c>
      <c r="Q29" s="65"/>
      <c r="R29" s="51"/>
      <c r="S29" s="67"/>
      <c r="T29" s="322"/>
      <c r="U29" s="102" t="s">
        <v>359</v>
      </c>
      <c r="V29" s="318"/>
    </row>
    <row r="30" spans="1:22" ht="28.2" customHeight="1" x14ac:dyDescent="0.35">
      <c r="B30" s="122"/>
      <c r="C30" s="123"/>
      <c r="D30" s="233" t="s">
        <v>134</v>
      </c>
      <c r="E30" s="89">
        <f t="shared" si="0"/>
        <v>27</v>
      </c>
      <c r="F30" s="90"/>
      <c r="G30" s="91" t="s">
        <v>135</v>
      </c>
      <c r="H30" s="78" t="s">
        <v>310</v>
      </c>
      <c r="I30" s="48" t="s">
        <v>71</v>
      </c>
      <c r="J30" s="48" t="s">
        <v>71</v>
      </c>
      <c r="K30" s="48" t="s">
        <v>71</v>
      </c>
      <c r="L30" s="48" t="s">
        <v>71</v>
      </c>
      <c r="M30" s="48" t="s">
        <v>71</v>
      </c>
      <c r="N30" s="48" t="s">
        <v>71</v>
      </c>
      <c r="O30" s="48" t="s">
        <v>71</v>
      </c>
      <c r="P30" s="62" t="s">
        <v>71</v>
      </c>
      <c r="Q30" s="64">
        <v>45695</v>
      </c>
      <c r="R30" s="49"/>
      <c r="S30" s="66"/>
      <c r="T30" s="68"/>
      <c r="U30" s="101"/>
      <c r="V30" s="126"/>
    </row>
    <row r="31" spans="1:22" ht="28.2" customHeight="1" x14ac:dyDescent="0.35">
      <c r="B31" s="122"/>
      <c r="C31" s="123"/>
      <c r="D31" s="234"/>
      <c r="E31" s="89">
        <f t="shared" si="0"/>
        <v>28</v>
      </c>
      <c r="F31" s="90"/>
      <c r="G31" s="91" t="s">
        <v>136</v>
      </c>
      <c r="H31" s="78" t="s">
        <v>310</v>
      </c>
      <c r="I31" s="48" t="s">
        <v>71</v>
      </c>
      <c r="J31" s="48" t="s">
        <v>71</v>
      </c>
      <c r="K31" s="48" t="s">
        <v>71</v>
      </c>
      <c r="L31" s="48" t="s">
        <v>71</v>
      </c>
      <c r="M31" s="48" t="s">
        <v>71</v>
      </c>
      <c r="N31" s="48" t="s">
        <v>71</v>
      </c>
      <c r="O31" s="48" t="s">
        <v>71</v>
      </c>
      <c r="P31" s="62" t="s">
        <v>71</v>
      </c>
      <c r="Q31" s="64">
        <v>45687</v>
      </c>
      <c r="R31" s="49"/>
      <c r="S31" s="66"/>
      <c r="T31" s="68"/>
      <c r="U31" s="100"/>
      <c r="V31" s="126"/>
    </row>
    <row r="32" spans="1:22" ht="28.2" customHeight="1" x14ac:dyDescent="0.35">
      <c r="B32" s="122"/>
      <c r="C32" s="123"/>
      <c r="D32" s="93" t="s">
        <v>137</v>
      </c>
      <c r="E32" s="94">
        <f t="shared" si="0"/>
        <v>29</v>
      </c>
      <c r="F32" s="95"/>
      <c r="G32" s="96" t="s">
        <v>316</v>
      </c>
      <c r="H32" s="79" t="s">
        <v>350</v>
      </c>
      <c r="I32" s="50" t="s">
        <v>350</v>
      </c>
      <c r="J32" s="50" t="s">
        <v>71</v>
      </c>
      <c r="K32" s="50" t="s">
        <v>71</v>
      </c>
      <c r="L32" s="50" t="s">
        <v>71</v>
      </c>
      <c r="M32" s="50" t="s">
        <v>71</v>
      </c>
      <c r="N32" s="50" t="s">
        <v>71</v>
      </c>
      <c r="O32" s="50" t="s">
        <v>71</v>
      </c>
      <c r="P32" s="63" t="s">
        <v>71</v>
      </c>
      <c r="Q32" s="65"/>
      <c r="R32" s="51"/>
      <c r="S32" s="67"/>
      <c r="T32" s="322"/>
      <c r="U32" s="102"/>
    </row>
    <row r="33" spans="1:23" ht="28.2" customHeight="1" x14ac:dyDescent="0.35">
      <c r="B33" s="122"/>
      <c r="C33" s="123"/>
      <c r="D33" s="93" t="s">
        <v>140</v>
      </c>
      <c r="E33" s="94">
        <f t="shared" si="0"/>
        <v>30</v>
      </c>
      <c r="F33" s="95"/>
      <c r="G33" s="96" t="s">
        <v>318</v>
      </c>
      <c r="H33" s="79" t="s">
        <v>350</v>
      </c>
      <c r="I33" s="50" t="s">
        <v>350</v>
      </c>
      <c r="J33" s="50" t="s">
        <v>71</v>
      </c>
      <c r="K33" s="50" t="s">
        <v>71</v>
      </c>
      <c r="L33" s="50" t="s">
        <v>71</v>
      </c>
      <c r="M33" s="50" t="s">
        <v>71</v>
      </c>
      <c r="N33" s="50" t="s">
        <v>71</v>
      </c>
      <c r="O33" s="50" t="s">
        <v>71</v>
      </c>
      <c r="P33" s="63" t="s">
        <v>71</v>
      </c>
      <c r="Q33" s="65"/>
      <c r="R33" s="51"/>
      <c r="S33" s="67"/>
      <c r="T33" s="322"/>
      <c r="U33" s="102"/>
    </row>
    <row r="34" spans="1:23" ht="28.2" customHeight="1" x14ac:dyDescent="0.35">
      <c r="B34" s="122"/>
      <c r="C34" s="123"/>
      <c r="D34" s="93" t="s">
        <v>142</v>
      </c>
      <c r="E34" s="94">
        <f t="shared" si="0"/>
        <v>31</v>
      </c>
      <c r="F34" s="95"/>
      <c r="G34" s="96" t="s">
        <v>143</v>
      </c>
      <c r="H34" s="79" t="s">
        <v>350</v>
      </c>
      <c r="I34" s="50" t="s">
        <v>350</v>
      </c>
      <c r="J34" s="50" t="s">
        <v>71</v>
      </c>
      <c r="K34" s="50" t="s">
        <v>71</v>
      </c>
      <c r="L34" s="50" t="s">
        <v>71</v>
      </c>
      <c r="M34" s="50" t="s">
        <v>71</v>
      </c>
      <c r="N34" s="50" t="s">
        <v>71</v>
      </c>
      <c r="O34" s="50" t="s">
        <v>71</v>
      </c>
      <c r="P34" s="63" t="s">
        <v>71</v>
      </c>
      <c r="Q34" s="65"/>
      <c r="R34" s="51"/>
      <c r="S34" s="67"/>
      <c r="T34" s="322"/>
      <c r="U34" s="102"/>
    </row>
    <row r="35" spans="1:23" ht="28.2" customHeight="1" x14ac:dyDescent="0.35">
      <c r="B35" s="122"/>
      <c r="C35" s="123"/>
      <c r="D35" s="88" t="s">
        <v>144</v>
      </c>
      <c r="E35" s="89">
        <f t="shared" si="0"/>
        <v>32</v>
      </c>
      <c r="F35" s="90"/>
      <c r="G35" s="91" t="s">
        <v>143</v>
      </c>
      <c r="H35" s="78" t="s">
        <v>310</v>
      </c>
      <c r="I35" s="48" t="s">
        <v>71</v>
      </c>
      <c r="J35" s="48" t="s">
        <v>71</v>
      </c>
      <c r="K35" s="48" t="s">
        <v>71</v>
      </c>
      <c r="L35" s="48" t="s">
        <v>71</v>
      </c>
      <c r="M35" s="48" t="s">
        <v>71</v>
      </c>
      <c r="N35" s="48" t="s">
        <v>71</v>
      </c>
      <c r="O35" s="48" t="s">
        <v>71</v>
      </c>
      <c r="P35" s="62" t="s">
        <v>71</v>
      </c>
      <c r="Q35" s="64">
        <v>45687</v>
      </c>
      <c r="R35" s="49"/>
      <c r="S35" s="66"/>
      <c r="T35" s="68"/>
      <c r="U35" s="100"/>
    </row>
    <row r="36" spans="1:23" ht="28.2" customHeight="1" x14ac:dyDescent="0.35">
      <c r="B36" s="122"/>
      <c r="C36" s="123"/>
      <c r="D36" s="93" t="s">
        <v>145</v>
      </c>
      <c r="E36" s="94">
        <f t="shared" si="0"/>
        <v>33</v>
      </c>
      <c r="F36" s="95"/>
      <c r="G36" s="96" t="s">
        <v>143</v>
      </c>
      <c r="H36" s="79" t="s">
        <v>350</v>
      </c>
      <c r="I36" s="50" t="s">
        <v>350</v>
      </c>
      <c r="J36" s="50" t="s">
        <v>71</v>
      </c>
      <c r="K36" s="50" t="s">
        <v>71</v>
      </c>
      <c r="L36" s="50" t="s">
        <v>71</v>
      </c>
      <c r="M36" s="50" t="s">
        <v>71</v>
      </c>
      <c r="N36" s="50" t="s">
        <v>71</v>
      </c>
      <c r="O36" s="50" t="s">
        <v>71</v>
      </c>
      <c r="P36" s="63" t="s">
        <v>71</v>
      </c>
      <c r="Q36" s="65"/>
      <c r="R36" s="51"/>
      <c r="S36" s="67"/>
      <c r="T36" s="322"/>
      <c r="U36" s="102"/>
    </row>
    <row r="37" spans="1:23" ht="28.2" customHeight="1" x14ac:dyDescent="0.35">
      <c r="B37" s="122"/>
      <c r="C37" s="123"/>
      <c r="D37" s="93" t="s">
        <v>146</v>
      </c>
      <c r="E37" s="94">
        <f t="shared" si="0"/>
        <v>34</v>
      </c>
      <c r="F37" s="95"/>
      <c r="G37" s="96" t="s">
        <v>143</v>
      </c>
      <c r="H37" s="79" t="s">
        <v>350</v>
      </c>
      <c r="I37" s="50" t="s">
        <v>350</v>
      </c>
      <c r="J37" s="50" t="s">
        <v>71</v>
      </c>
      <c r="K37" s="50" t="s">
        <v>71</v>
      </c>
      <c r="L37" s="50" t="s">
        <v>71</v>
      </c>
      <c r="M37" s="50" t="s">
        <v>71</v>
      </c>
      <c r="N37" s="50" t="s">
        <v>71</v>
      </c>
      <c r="O37" s="50" t="s">
        <v>71</v>
      </c>
      <c r="P37" s="63" t="s">
        <v>71</v>
      </c>
      <c r="Q37" s="65"/>
      <c r="R37" s="51"/>
      <c r="S37" s="67"/>
      <c r="T37" s="322"/>
      <c r="U37" s="102"/>
    </row>
    <row r="38" spans="1:23" ht="28.2" customHeight="1" x14ac:dyDescent="0.35">
      <c r="B38" s="122"/>
      <c r="C38" s="123"/>
      <c r="D38" s="88" t="s">
        <v>147</v>
      </c>
      <c r="E38" s="89">
        <f t="shared" si="0"/>
        <v>35</v>
      </c>
      <c r="F38" s="90"/>
      <c r="G38" s="91" t="s">
        <v>148</v>
      </c>
      <c r="H38" s="78" t="s">
        <v>310</v>
      </c>
      <c r="I38" s="48" t="s">
        <v>71</v>
      </c>
      <c r="J38" s="48" t="s">
        <v>71</v>
      </c>
      <c r="K38" s="78" t="s">
        <v>310</v>
      </c>
      <c r="L38" s="48" t="s">
        <v>71</v>
      </c>
      <c r="M38" s="48" t="s">
        <v>71</v>
      </c>
      <c r="N38" s="48" t="s">
        <v>71</v>
      </c>
      <c r="O38" s="48" t="s">
        <v>71</v>
      </c>
      <c r="P38" s="62" t="s">
        <v>71</v>
      </c>
      <c r="Q38" s="64">
        <v>45687</v>
      </c>
      <c r="R38" s="49"/>
      <c r="S38" s="66"/>
      <c r="T38" s="68"/>
      <c r="U38" s="100"/>
    </row>
    <row r="39" spans="1:23" ht="28.2" customHeight="1" x14ac:dyDescent="0.35">
      <c r="B39" s="122"/>
      <c r="C39" s="124" t="s">
        <v>149</v>
      </c>
      <c r="D39" s="88" t="s">
        <v>150</v>
      </c>
      <c r="E39" s="89">
        <f t="shared" si="0"/>
        <v>36</v>
      </c>
      <c r="F39" s="97"/>
      <c r="G39" s="91" t="s">
        <v>148</v>
      </c>
      <c r="H39" s="78" t="s">
        <v>310</v>
      </c>
      <c r="I39" s="48" t="s">
        <v>71</v>
      </c>
      <c r="J39" s="48" t="s">
        <v>71</v>
      </c>
      <c r="K39" s="48" t="s">
        <v>71</v>
      </c>
      <c r="L39" s="48" t="s">
        <v>71</v>
      </c>
      <c r="M39" s="48" t="s">
        <v>71</v>
      </c>
      <c r="N39" s="48" t="s">
        <v>71</v>
      </c>
      <c r="O39" s="48" t="s">
        <v>71</v>
      </c>
      <c r="P39" s="62" t="s">
        <v>71</v>
      </c>
      <c r="Q39" s="64">
        <v>45687</v>
      </c>
      <c r="R39" s="49"/>
      <c r="S39" s="66"/>
      <c r="T39" s="68"/>
      <c r="U39" s="100"/>
      <c r="V39" s="126"/>
    </row>
    <row r="40" spans="1:23" ht="48.6" customHeight="1" x14ac:dyDescent="0.35">
      <c r="B40" s="122"/>
      <c r="C40" s="123"/>
      <c r="D40" s="88" t="s">
        <v>151</v>
      </c>
      <c r="E40" s="89">
        <f t="shared" si="0"/>
        <v>37</v>
      </c>
      <c r="F40" s="97" t="s">
        <v>152</v>
      </c>
      <c r="G40" s="91" t="s">
        <v>148</v>
      </c>
      <c r="H40" s="78" t="s">
        <v>310</v>
      </c>
      <c r="I40" s="48" t="s">
        <v>71</v>
      </c>
      <c r="J40" s="48" t="s">
        <v>71</v>
      </c>
      <c r="K40" s="48" t="s">
        <v>71</v>
      </c>
      <c r="L40" s="48" t="s">
        <v>71</v>
      </c>
      <c r="M40" s="48" t="s">
        <v>71</v>
      </c>
      <c r="N40" s="48" t="s">
        <v>71</v>
      </c>
      <c r="O40" s="48" t="s">
        <v>71</v>
      </c>
      <c r="P40" s="62" t="s">
        <v>71</v>
      </c>
      <c r="Q40" s="64">
        <v>45687</v>
      </c>
      <c r="R40" s="49"/>
      <c r="S40" s="66"/>
      <c r="T40" s="68"/>
      <c r="U40" s="100"/>
      <c r="V40" s="126"/>
    </row>
    <row r="41" spans="1:23" ht="28.2" customHeight="1" x14ac:dyDescent="0.35">
      <c r="B41" s="122"/>
      <c r="C41" s="123"/>
      <c r="D41" s="88" t="s">
        <v>153</v>
      </c>
      <c r="E41" s="89">
        <f t="shared" si="0"/>
        <v>38</v>
      </c>
      <c r="F41" s="97"/>
      <c r="G41" s="91" t="s">
        <v>154</v>
      </c>
      <c r="H41" s="78" t="s">
        <v>310</v>
      </c>
      <c r="I41" s="48" t="s">
        <v>71</v>
      </c>
      <c r="J41" s="48" t="s">
        <v>71</v>
      </c>
      <c r="K41" s="48" t="s">
        <v>71</v>
      </c>
      <c r="L41" s="48" t="s">
        <v>71</v>
      </c>
      <c r="M41" s="48" t="s">
        <v>71</v>
      </c>
      <c r="N41" s="48" t="s">
        <v>71</v>
      </c>
      <c r="O41" s="48" t="s">
        <v>71</v>
      </c>
      <c r="P41" s="62" t="s">
        <v>71</v>
      </c>
      <c r="Q41" s="64">
        <v>45687</v>
      </c>
      <c r="R41" s="49"/>
      <c r="S41" s="66"/>
      <c r="T41" s="68"/>
      <c r="U41" s="100"/>
    </row>
    <row r="42" spans="1:23" ht="28.2" customHeight="1" x14ac:dyDescent="0.35">
      <c r="B42" s="122"/>
      <c r="C42" s="123"/>
      <c r="D42" s="88" t="s">
        <v>155</v>
      </c>
      <c r="E42" s="89">
        <f t="shared" si="0"/>
        <v>39</v>
      </c>
      <c r="F42" s="97"/>
      <c r="G42" s="91" t="s">
        <v>148</v>
      </c>
      <c r="H42" s="78" t="s">
        <v>310</v>
      </c>
      <c r="I42" s="48" t="s">
        <v>71</v>
      </c>
      <c r="J42" s="48" t="s">
        <v>71</v>
      </c>
      <c r="K42" s="48" t="s">
        <v>71</v>
      </c>
      <c r="L42" s="48" t="s">
        <v>71</v>
      </c>
      <c r="M42" s="48" t="s">
        <v>71</v>
      </c>
      <c r="N42" s="48" t="s">
        <v>71</v>
      </c>
      <c r="O42" s="48" t="s">
        <v>71</v>
      </c>
      <c r="P42" s="62" t="s">
        <v>71</v>
      </c>
      <c r="Q42" s="64">
        <v>45687</v>
      </c>
      <c r="R42" s="49"/>
      <c r="S42" s="66"/>
      <c r="T42" s="68"/>
      <c r="U42" s="100"/>
      <c r="V42" s="126"/>
    </row>
    <row r="43" spans="1:23" ht="28.2" customHeight="1" x14ac:dyDescent="0.35">
      <c r="B43" s="122"/>
      <c r="C43" s="123"/>
      <c r="D43" s="328" t="s">
        <v>156</v>
      </c>
      <c r="E43" s="94">
        <f t="shared" si="0"/>
        <v>40</v>
      </c>
      <c r="F43" s="95" t="s">
        <v>157</v>
      </c>
      <c r="G43" s="96" t="s">
        <v>148</v>
      </c>
      <c r="H43" s="50" t="s">
        <v>71</v>
      </c>
      <c r="I43" s="50" t="s">
        <v>71</v>
      </c>
      <c r="J43" s="50" t="s">
        <v>71</v>
      </c>
      <c r="K43" s="50" t="s">
        <v>71</v>
      </c>
      <c r="L43" s="50" t="s">
        <v>71</v>
      </c>
      <c r="M43" s="50" t="s">
        <v>71</v>
      </c>
      <c r="N43" s="50" t="s">
        <v>71</v>
      </c>
      <c r="O43" s="50" t="s">
        <v>71</v>
      </c>
      <c r="P43" s="63" t="s">
        <v>71</v>
      </c>
      <c r="Q43" s="329"/>
      <c r="R43" s="51"/>
      <c r="S43" s="67"/>
      <c r="T43" s="322"/>
      <c r="U43" s="102" t="s">
        <v>319</v>
      </c>
      <c r="V43" s="126"/>
    </row>
    <row r="44" spans="1:23" ht="37.950000000000003" customHeight="1" x14ac:dyDescent="0.35">
      <c r="B44" s="122"/>
      <c r="C44" s="123"/>
      <c r="D44" s="88" t="s">
        <v>159</v>
      </c>
      <c r="E44" s="89">
        <f t="shared" si="0"/>
        <v>41</v>
      </c>
      <c r="F44" s="97" t="s">
        <v>160</v>
      </c>
      <c r="G44" s="91" t="s">
        <v>148</v>
      </c>
      <c r="H44" s="78" t="s">
        <v>310</v>
      </c>
      <c r="I44" s="48" t="s">
        <v>71</v>
      </c>
      <c r="J44" s="48" t="s">
        <v>71</v>
      </c>
      <c r="K44" s="48" t="s">
        <v>71</v>
      </c>
      <c r="L44" s="48" t="s">
        <v>71</v>
      </c>
      <c r="M44" s="48" t="s">
        <v>71</v>
      </c>
      <c r="N44" s="48" t="s">
        <v>71</v>
      </c>
      <c r="O44" s="48" t="s">
        <v>71</v>
      </c>
      <c r="P44" s="62" t="s">
        <v>71</v>
      </c>
      <c r="Q44" s="64">
        <v>45687</v>
      </c>
      <c r="R44" s="49"/>
      <c r="S44" s="66"/>
      <c r="T44" s="68"/>
      <c r="U44" s="101"/>
    </row>
    <row r="45" spans="1:23" s="346" customFormat="1" ht="28.2" customHeight="1" x14ac:dyDescent="0.35">
      <c r="A45" s="60"/>
      <c r="B45" s="122"/>
      <c r="C45" s="123"/>
      <c r="D45" s="93" t="s">
        <v>161</v>
      </c>
      <c r="E45" s="94">
        <f t="shared" si="0"/>
        <v>42</v>
      </c>
      <c r="F45" s="95" t="s">
        <v>162</v>
      </c>
      <c r="G45" s="96" t="s">
        <v>148</v>
      </c>
      <c r="H45" s="50" t="s">
        <v>71</v>
      </c>
      <c r="I45" s="50" t="s">
        <v>71</v>
      </c>
      <c r="J45" s="50" t="s">
        <v>71</v>
      </c>
      <c r="K45" s="50" t="s">
        <v>71</v>
      </c>
      <c r="L45" s="50" t="s">
        <v>71</v>
      </c>
      <c r="M45" s="50" t="s">
        <v>71</v>
      </c>
      <c r="N45" s="50" t="s">
        <v>71</v>
      </c>
      <c r="O45" s="50" t="s">
        <v>71</v>
      </c>
      <c r="P45" s="63" t="s">
        <v>71</v>
      </c>
      <c r="Q45" s="65"/>
      <c r="R45" s="51"/>
      <c r="S45" s="67"/>
      <c r="T45" s="322"/>
      <c r="U45" s="102" t="s">
        <v>360</v>
      </c>
      <c r="V45" s="120"/>
      <c r="W45" s="120"/>
    </row>
    <row r="46" spans="1:23" ht="36" customHeight="1" x14ac:dyDescent="0.35">
      <c r="B46" s="122"/>
      <c r="C46" s="123"/>
      <c r="D46" s="233" t="s">
        <v>163</v>
      </c>
      <c r="E46" s="89">
        <f t="shared" si="0"/>
        <v>43</v>
      </c>
      <c r="F46" s="97" t="s">
        <v>164</v>
      </c>
      <c r="G46" s="91" t="s">
        <v>148</v>
      </c>
      <c r="H46" s="78" t="s">
        <v>310</v>
      </c>
      <c r="I46" s="48" t="s">
        <v>71</v>
      </c>
      <c r="J46" s="48" t="s">
        <v>71</v>
      </c>
      <c r="K46" s="78" t="s">
        <v>310</v>
      </c>
      <c r="L46" s="48" t="s">
        <v>71</v>
      </c>
      <c r="M46" s="48" t="s">
        <v>71</v>
      </c>
      <c r="N46" s="48" t="s">
        <v>71</v>
      </c>
      <c r="O46" s="48" t="s">
        <v>71</v>
      </c>
      <c r="P46" s="62" t="s">
        <v>71</v>
      </c>
      <c r="Q46" s="64">
        <v>45687</v>
      </c>
      <c r="R46" s="49"/>
      <c r="S46" s="66"/>
      <c r="T46" s="68"/>
      <c r="U46" s="100"/>
    </row>
    <row r="47" spans="1:23" ht="36" customHeight="1" x14ac:dyDescent="0.35">
      <c r="B47" s="122"/>
      <c r="C47" s="123"/>
      <c r="D47" s="234"/>
      <c r="E47" s="89">
        <f t="shared" si="0"/>
        <v>44</v>
      </c>
      <c r="F47" s="97" t="s">
        <v>166</v>
      </c>
      <c r="G47" s="91" t="s">
        <v>167</v>
      </c>
      <c r="H47" s="78" t="s">
        <v>310</v>
      </c>
      <c r="I47" s="48" t="s">
        <v>71</v>
      </c>
      <c r="J47" s="48" t="s">
        <v>71</v>
      </c>
      <c r="K47" s="78" t="s">
        <v>310</v>
      </c>
      <c r="L47" s="48" t="s">
        <v>71</v>
      </c>
      <c r="M47" s="48" t="s">
        <v>71</v>
      </c>
      <c r="N47" s="48" t="s">
        <v>71</v>
      </c>
      <c r="O47" s="48" t="s">
        <v>71</v>
      </c>
      <c r="P47" s="62" t="s">
        <v>71</v>
      </c>
      <c r="Q47" s="64">
        <v>45687</v>
      </c>
      <c r="R47" s="49"/>
      <c r="S47" s="66"/>
      <c r="T47" s="68"/>
      <c r="U47" s="100"/>
    </row>
    <row r="48" spans="1:23" ht="52.95" customHeight="1" x14ac:dyDescent="0.35">
      <c r="B48" s="122"/>
      <c r="C48" s="123"/>
      <c r="D48" s="240"/>
      <c r="E48" s="89">
        <f t="shared" si="0"/>
        <v>45</v>
      </c>
      <c r="F48" s="97" t="s">
        <v>168</v>
      </c>
      <c r="G48" s="91" t="s">
        <v>169</v>
      </c>
      <c r="H48" s="78" t="s">
        <v>310</v>
      </c>
      <c r="I48" s="48" t="s">
        <v>71</v>
      </c>
      <c r="J48" s="48" t="s">
        <v>71</v>
      </c>
      <c r="K48" s="48" t="s">
        <v>71</v>
      </c>
      <c r="L48" s="48" t="s">
        <v>71</v>
      </c>
      <c r="M48" s="48" t="s">
        <v>71</v>
      </c>
      <c r="N48" s="48" t="s">
        <v>71</v>
      </c>
      <c r="O48" s="48" t="s">
        <v>71</v>
      </c>
      <c r="P48" s="62" t="s">
        <v>71</v>
      </c>
      <c r="Q48" s="64">
        <v>45687</v>
      </c>
      <c r="R48" s="49"/>
      <c r="S48" s="66"/>
      <c r="T48" s="68"/>
      <c r="U48" s="100"/>
    </row>
    <row r="49" spans="2:22" ht="28.2" customHeight="1" x14ac:dyDescent="0.35">
      <c r="B49" s="122"/>
      <c r="C49" s="320" t="s">
        <v>170</v>
      </c>
      <c r="D49" s="93" t="s">
        <v>171</v>
      </c>
      <c r="E49" s="94">
        <f t="shared" si="0"/>
        <v>46</v>
      </c>
      <c r="F49" s="95"/>
      <c r="G49" s="96" t="s">
        <v>172</v>
      </c>
      <c r="H49" s="50" t="s">
        <v>350</v>
      </c>
      <c r="I49" s="50" t="s">
        <v>350</v>
      </c>
      <c r="J49" s="50" t="s">
        <v>71</v>
      </c>
      <c r="K49" s="50" t="s">
        <v>71</v>
      </c>
      <c r="L49" s="50" t="s">
        <v>71</v>
      </c>
      <c r="M49" s="50" t="s">
        <v>71</v>
      </c>
      <c r="N49" s="50" t="s">
        <v>71</v>
      </c>
      <c r="O49" s="50" t="s">
        <v>71</v>
      </c>
      <c r="P49" s="63" t="s">
        <v>71</v>
      </c>
      <c r="Q49" s="65"/>
      <c r="R49" s="51"/>
      <c r="S49" s="67"/>
      <c r="T49" s="322"/>
      <c r="U49" s="344"/>
    </row>
    <row r="50" spans="2:22" ht="28.2" customHeight="1" x14ac:dyDescent="0.35">
      <c r="B50" s="122"/>
      <c r="C50" s="330"/>
      <c r="D50" s="331" t="s">
        <v>171</v>
      </c>
      <c r="E50" s="94">
        <f t="shared" si="0"/>
        <v>47</v>
      </c>
      <c r="F50" s="95"/>
      <c r="G50" s="96" t="s">
        <v>172</v>
      </c>
      <c r="H50" s="50" t="s">
        <v>350</v>
      </c>
      <c r="I50" s="50" t="s">
        <v>350</v>
      </c>
      <c r="J50" s="50" t="s">
        <v>71</v>
      </c>
      <c r="K50" s="50" t="s">
        <v>71</v>
      </c>
      <c r="L50" s="50" t="s">
        <v>71</v>
      </c>
      <c r="M50" s="50" t="s">
        <v>71</v>
      </c>
      <c r="N50" s="50" t="s">
        <v>71</v>
      </c>
      <c r="O50" s="50" t="s">
        <v>71</v>
      </c>
      <c r="P50" s="63" t="s">
        <v>71</v>
      </c>
      <c r="Q50" s="65"/>
      <c r="R50" s="51"/>
      <c r="S50" s="67"/>
      <c r="T50" s="322"/>
      <c r="U50" s="344"/>
    </row>
    <row r="51" spans="2:22" ht="28.2" customHeight="1" x14ac:dyDescent="0.35">
      <c r="B51" s="122"/>
      <c r="C51" s="330"/>
      <c r="D51" s="337"/>
      <c r="E51" s="94">
        <f t="shared" si="0"/>
        <v>48</v>
      </c>
      <c r="F51" s="95"/>
      <c r="G51" s="96" t="s">
        <v>173</v>
      </c>
      <c r="H51" s="50" t="s">
        <v>350</v>
      </c>
      <c r="I51" s="50" t="s">
        <v>350</v>
      </c>
      <c r="J51" s="50" t="s">
        <v>71</v>
      </c>
      <c r="K51" s="50" t="s">
        <v>71</v>
      </c>
      <c r="L51" s="50" t="s">
        <v>71</v>
      </c>
      <c r="M51" s="50" t="s">
        <v>71</v>
      </c>
      <c r="N51" s="50" t="s">
        <v>71</v>
      </c>
      <c r="O51" s="50" t="s">
        <v>71</v>
      </c>
      <c r="P51" s="63" t="s">
        <v>71</v>
      </c>
      <c r="Q51" s="65"/>
      <c r="R51" s="51"/>
      <c r="S51" s="67"/>
      <c r="T51" s="322"/>
      <c r="U51" s="102"/>
    </row>
    <row r="52" spans="2:22" ht="28.2" customHeight="1" x14ac:dyDescent="0.35">
      <c r="B52" s="122"/>
      <c r="C52" s="124" t="s">
        <v>174</v>
      </c>
      <c r="D52" s="88" t="s">
        <v>175</v>
      </c>
      <c r="E52" s="89">
        <f t="shared" si="0"/>
        <v>49</v>
      </c>
      <c r="F52" s="90"/>
      <c r="G52" s="91" t="s">
        <v>322</v>
      </c>
      <c r="H52" s="78" t="s">
        <v>310</v>
      </c>
      <c r="I52" s="48" t="s">
        <v>71</v>
      </c>
      <c r="J52" s="48" t="s">
        <v>71</v>
      </c>
      <c r="K52" s="78" t="s">
        <v>71</v>
      </c>
      <c r="L52" s="48" t="s">
        <v>71</v>
      </c>
      <c r="M52" s="48" t="s">
        <v>71</v>
      </c>
      <c r="N52" s="48" t="s">
        <v>71</v>
      </c>
      <c r="O52" s="48" t="s">
        <v>71</v>
      </c>
      <c r="P52" s="62" t="s">
        <v>71</v>
      </c>
      <c r="Q52" s="64">
        <v>45687</v>
      </c>
      <c r="R52" s="49"/>
      <c r="S52" s="66"/>
      <c r="T52" s="68"/>
      <c r="U52" s="100" t="s">
        <v>361</v>
      </c>
    </row>
    <row r="53" spans="2:22" ht="28.2" customHeight="1" x14ac:dyDescent="0.35">
      <c r="B53" s="122"/>
      <c r="C53" s="123"/>
      <c r="D53" s="88" t="s">
        <v>177</v>
      </c>
      <c r="E53" s="89">
        <f t="shared" si="0"/>
        <v>50</v>
      </c>
      <c r="F53" s="90"/>
      <c r="G53" s="91" t="s">
        <v>178</v>
      </c>
      <c r="H53" s="78" t="s">
        <v>310</v>
      </c>
      <c r="I53" s="48" t="s">
        <v>71</v>
      </c>
      <c r="J53" s="48" t="s">
        <v>71</v>
      </c>
      <c r="K53" s="78" t="s">
        <v>71</v>
      </c>
      <c r="L53" s="48" t="s">
        <v>71</v>
      </c>
      <c r="M53" s="48" t="s">
        <v>71</v>
      </c>
      <c r="N53" s="48" t="s">
        <v>71</v>
      </c>
      <c r="O53" s="48" t="s">
        <v>71</v>
      </c>
      <c r="P53" s="62" t="s">
        <v>71</v>
      </c>
      <c r="Q53" s="64">
        <v>45687</v>
      </c>
      <c r="R53" s="49"/>
      <c r="S53" s="66"/>
      <c r="T53" s="68"/>
      <c r="U53" s="100" t="s">
        <v>362</v>
      </c>
    </row>
    <row r="54" spans="2:22" ht="28.2" customHeight="1" x14ac:dyDescent="0.35">
      <c r="B54" s="122"/>
      <c r="C54" s="123"/>
      <c r="D54" s="230" t="s">
        <v>179</v>
      </c>
      <c r="E54" s="231">
        <f t="shared" si="0"/>
        <v>51</v>
      </c>
      <c r="F54" s="97"/>
      <c r="G54" s="91" t="s">
        <v>180</v>
      </c>
      <c r="H54" s="78" t="s">
        <v>72</v>
      </c>
      <c r="I54" s="339" t="s">
        <v>71</v>
      </c>
      <c r="J54" s="339" t="s">
        <v>71</v>
      </c>
      <c r="K54" s="78" t="s">
        <v>71</v>
      </c>
      <c r="L54" s="339" t="s">
        <v>71</v>
      </c>
      <c r="M54" s="339" t="s">
        <v>71</v>
      </c>
      <c r="N54" s="339" t="s">
        <v>71</v>
      </c>
      <c r="O54" s="339" t="s">
        <v>71</v>
      </c>
      <c r="P54" s="343" t="s">
        <v>71</v>
      </c>
      <c r="Q54" s="405"/>
      <c r="R54" s="340"/>
      <c r="S54" s="406"/>
      <c r="T54" s="407"/>
      <c r="U54" s="341"/>
    </row>
    <row r="55" spans="2:22" ht="28.2" customHeight="1" x14ac:dyDescent="0.35">
      <c r="B55" s="122"/>
      <c r="C55" s="123"/>
      <c r="D55" s="93" t="s">
        <v>181</v>
      </c>
      <c r="E55" s="94">
        <f t="shared" si="0"/>
        <v>52</v>
      </c>
      <c r="F55" s="95"/>
      <c r="G55" s="96" t="s">
        <v>182</v>
      </c>
      <c r="H55" s="79" t="s">
        <v>71</v>
      </c>
      <c r="I55" s="50" t="s">
        <v>71</v>
      </c>
      <c r="J55" s="50" t="s">
        <v>71</v>
      </c>
      <c r="K55" s="50" t="s">
        <v>71</v>
      </c>
      <c r="L55" s="50" t="s">
        <v>71</v>
      </c>
      <c r="M55" s="50" t="s">
        <v>71</v>
      </c>
      <c r="N55" s="50" t="s">
        <v>71</v>
      </c>
      <c r="O55" s="50" t="s">
        <v>71</v>
      </c>
      <c r="P55" s="63" t="s">
        <v>71</v>
      </c>
      <c r="Q55" s="65"/>
      <c r="R55" s="51"/>
      <c r="S55" s="67"/>
      <c r="T55" s="69"/>
      <c r="U55" s="102" t="s">
        <v>183</v>
      </c>
    </row>
    <row r="56" spans="2:22" ht="28.2" customHeight="1" x14ac:dyDescent="0.35">
      <c r="B56" s="122"/>
      <c r="C56" s="124" t="s">
        <v>184</v>
      </c>
      <c r="D56" s="88" t="s">
        <v>185</v>
      </c>
      <c r="E56" s="89">
        <f t="shared" si="0"/>
        <v>53</v>
      </c>
      <c r="F56" s="90"/>
      <c r="G56" s="91" t="s">
        <v>186</v>
      </c>
      <c r="H56" s="61" t="s">
        <v>71</v>
      </c>
      <c r="I56" s="48" t="s">
        <v>71</v>
      </c>
      <c r="J56" s="48" t="s">
        <v>71</v>
      </c>
      <c r="K56" s="78" t="s">
        <v>310</v>
      </c>
      <c r="L56" s="48" t="s">
        <v>71</v>
      </c>
      <c r="M56" s="78" t="s">
        <v>310</v>
      </c>
      <c r="N56" s="48" t="s">
        <v>71</v>
      </c>
      <c r="O56" s="48" t="s">
        <v>71</v>
      </c>
      <c r="P56" s="62" t="s">
        <v>71</v>
      </c>
      <c r="Q56" s="64">
        <v>45687</v>
      </c>
      <c r="R56" s="49"/>
      <c r="S56" s="66"/>
      <c r="T56" s="68"/>
      <c r="U56" s="101"/>
    </row>
    <row r="57" spans="2:22" ht="52.95" customHeight="1" x14ac:dyDescent="0.35">
      <c r="B57" s="122"/>
      <c r="C57" s="123"/>
      <c r="D57" s="88" t="s">
        <v>187</v>
      </c>
      <c r="E57" s="89">
        <f t="shared" si="0"/>
        <v>54</v>
      </c>
      <c r="F57" s="90" t="s">
        <v>188</v>
      </c>
      <c r="G57" s="91" t="s">
        <v>363</v>
      </c>
      <c r="H57" s="78" t="s">
        <v>310</v>
      </c>
      <c r="I57" s="48" t="s">
        <v>71</v>
      </c>
      <c r="J57" s="48" t="s">
        <v>71</v>
      </c>
      <c r="K57" s="78" t="s">
        <v>310</v>
      </c>
      <c r="L57" s="48" t="s">
        <v>71</v>
      </c>
      <c r="M57" s="48" t="s">
        <v>71</v>
      </c>
      <c r="N57" s="48" t="s">
        <v>71</v>
      </c>
      <c r="O57" s="48" t="s">
        <v>71</v>
      </c>
      <c r="P57" s="62" t="s">
        <v>71</v>
      </c>
      <c r="Q57" s="64">
        <v>45687</v>
      </c>
      <c r="R57" s="49"/>
      <c r="S57" s="66"/>
      <c r="T57" s="68"/>
      <c r="U57" s="100"/>
    </row>
    <row r="58" spans="2:22" ht="28.2" customHeight="1" x14ac:dyDescent="0.35">
      <c r="B58" s="122"/>
      <c r="C58" s="124" t="s">
        <v>190</v>
      </c>
      <c r="D58" s="88" t="s">
        <v>191</v>
      </c>
      <c r="E58" s="89">
        <f t="shared" si="0"/>
        <v>55</v>
      </c>
      <c r="F58" s="90"/>
      <c r="G58" s="91" t="s">
        <v>192</v>
      </c>
      <c r="H58" s="78" t="s">
        <v>310</v>
      </c>
      <c r="I58" s="48" t="s">
        <v>71</v>
      </c>
      <c r="J58" s="48" t="s">
        <v>71</v>
      </c>
      <c r="K58" s="48" t="s">
        <v>71</v>
      </c>
      <c r="L58" s="48" t="s">
        <v>71</v>
      </c>
      <c r="M58" s="48" t="s">
        <v>71</v>
      </c>
      <c r="N58" s="48" t="s">
        <v>71</v>
      </c>
      <c r="O58" s="48" t="s">
        <v>71</v>
      </c>
      <c r="P58" s="62" t="s">
        <v>71</v>
      </c>
      <c r="Q58" s="64">
        <v>45687</v>
      </c>
      <c r="R58" s="49"/>
      <c r="S58" s="66"/>
      <c r="T58" s="68"/>
      <c r="U58" s="100" t="s">
        <v>364</v>
      </c>
    </row>
    <row r="59" spans="2:22" ht="28.2" customHeight="1" x14ac:dyDescent="0.35">
      <c r="B59" s="122"/>
      <c r="C59" s="123"/>
      <c r="D59" s="88" t="s">
        <v>193</v>
      </c>
      <c r="E59" s="89">
        <f t="shared" si="0"/>
        <v>56</v>
      </c>
      <c r="F59" s="90"/>
      <c r="G59" s="91" t="s">
        <v>194</v>
      </c>
      <c r="H59" s="78" t="s">
        <v>310</v>
      </c>
      <c r="I59" s="48" t="s">
        <v>71</v>
      </c>
      <c r="J59" s="48" t="s">
        <v>71</v>
      </c>
      <c r="K59" s="48" t="s">
        <v>71</v>
      </c>
      <c r="L59" s="48" t="s">
        <v>71</v>
      </c>
      <c r="M59" s="48" t="s">
        <v>71</v>
      </c>
      <c r="N59" s="48" t="s">
        <v>71</v>
      </c>
      <c r="O59" s="48" t="s">
        <v>71</v>
      </c>
      <c r="P59" s="62" t="s">
        <v>71</v>
      </c>
      <c r="Q59" s="64">
        <v>45687</v>
      </c>
      <c r="R59" s="49"/>
      <c r="S59" s="66"/>
      <c r="T59" s="68"/>
      <c r="U59" s="100" t="s">
        <v>365</v>
      </c>
    </row>
    <row r="60" spans="2:22" ht="28.2" customHeight="1" x14ac:dyDescent="0.35">
      <c r="B60" s="122"/>
      <c r="C60" s="123"/>
      <c r="D60" s="88" t="s">
        <v>195</v>
      </c>
      <c r="E60" s="89">
        <f t="shared" si="0"/>
        <v>57</v>
      </c>
      <c r="F60" s="90"/>
      <c r="G60" s="91" t="s">
        <v>196</v>
      </c>
      <c r="H60" s="78" t="s">
        <v>310</v>
      </c>
      <c r="I60" s="48" t="s">
        <v>71</v>
      </c>
      <c r="J60" s="48" t="s">
        <v>71</v>
      </c>
      <c r="K60" s="48" t="s">
        <v>71</v>
      </c>
      <c r="L60" s="48" t="s">
        <v>71</v>
      </c>
      <c r="M60" s="48" t="s">
        <v>71</v>
      </c>
      <c r="N60" s="48" t="s">
        <v>71</v>
      </c>
      <c r="O60" s="48" t="s">
        <v>71</v>
      </c>
      <c r="P60" s="62" t="s">
        <v>71</v>
      </c>
      <c r="Q60" s="64">
        <v>45687</v>
      </c>
      <c r="R60" s="49"/>
      <c r="S60" s="66"/>
      <c r="T60" s="68"/>
      <c r="U60" s="100"/>
    </row>
    <row r="61" spans="2:22" ht="28.2" customHeight="1" x14ac:dyDescent="0.35">
      <c r="B61" s="122"/>
      <c r="C61" s="123"/>
      <c r="D61" s="88" t="s">
        <v>198</v>
      </c>
      <c r="E61" s="89">
        <f t="shared" si="0"/>
        <v>58</v>
      </c>
      <c r="F61" s="90"/>
      <c r="G61" s="91" t="s">
        <v>199</v>
      </c>
      <c r="H61" s="78" t="s">
        <v>310</v>
      </c>
      <c r="I61" s="48" t="s">
        <v>71</v>
      </c>
      <c r="J61" s="48" t="s">
        <v>71</v>
      </c>
      <c r="K61" s="48" t="s">
        <v>71</v>
      </c>
      <c r="L61" s="48" t="s">
        <v>71</v>
      </c>
      <c r="M61" s="48" t="s">
        <v>71</v>
      </c>
      <c r="N61" s="48" t="s">
        <v>71</v>
      </c>
      <c r="O61" s="48" t="s">
        <v>71</v>
      </c>
      <c r="P61" s="62" t="s">
        <v>71</v>
      </c>
      <c r="Q61" s="64">
        <v>45687</v>
      </c>
      <c r="R61" s="49"/>
      <c r="S61" s="66"/>
      <c r="T61" s="68"/>
      <c r="U61" s="100"/>
    </row>
    <row r="62" spans="2:22" ht="28.2" customHeight="1" x14ac:dyDescent="0.35">
      <c r="B62" s="122"/>
      <c r="C62" s="123"/>
      <c r="D62" s="88" t="s">
        <v>200</v>
      </c>
      <c r="E62" s="89">
        <f t="shared" si="0"/>
        <v>59</v>
      </c>
      <c r="F62" s="90"/>
      <c r="G62" s="91" t="s">
        <v>201</v>
      </c>
      <c r="H62" s="78" t="s">
        <v>310</v>
      </c>
      <c r="I62" s="48" t="s">
        <v>71</v>
      </c>
      <c r="J62" s="48" t="s">
        <v>71</v>
      </c>
      <c r="K62" s="48" t="s">
        <v>71</v>
      </c>
      <c r="L62" s="48" t="s">
        <v>71</v>
      </c>
      <c r="M62" s="48" t="s">
        <v>71</v>
      </c>
      <c r="N62" s="48" t="s">
        <v>71</v>
      </c>
      <c r="O62" s="48" t="s">
        <v>71</v>
      </c>
      <c r="P62" s="62" t="s">
        <v>71</v>
      </c>
      <c r="Q62" s="64">
        <v>45687</v>
      </c>
      <c r="R62" s="49"/>
      <c r="S62" s="66"/>
      <c r="T62" s="68"/>
      <c r="U62" s="100" t="s">
        <v>366</v>
      </c>
      <c r="V62" s="126"/>
    </row>
    <row r="63" spans="2:22" ht="28.2" customHeight="1" x14ac:dyDescent="0.35">
      <c r="B63" s="122"/>
      <c r="C63" s="123"/>
      <c r="D63" s="88" t="s">
        <v>202</v>
      </c>
      <c r="E63" s="89">
        <f t="shared" si="0"/>
        <v>60</v>
      </c>
      <c r="F63" s="90"/>
      <c r="G63" s="91" t="s">
        <v>201</v>
      </c>
      <c r="H63" s="78" t="s">
        <v>310</v>
      </c>
      <c r="I63" s="48" t="s">
        <v>71</v>
      </c>
      <c r="J63" s="48" t="s">
        <v>71</v>
      </c>
      <c r="K63" s="48" t="s">
        <v>71</v>
      </c>
      <c r="L63" s="48" t="s">
        <v>71</v>
      </c>
      <c r="M63" s="48" t="s">
        <v>71</v>
      </c>
      <c r="N63" s="48" t="s">
        <v>71</v>
      </c>
      <c r="O63" s="48" t="s">
        <v>71</v>
      </c>
      <c r="P63" s="62" t="s">
        <v>71</v>
      </c>
      <c r="Q63" s="64">
        <v>45687</v>
      </c>
      <c r="R63" s="49"/>
      <c r="S63" s="66"/>
      <c r="T63" s="68"/>
      <c r="U63" s="100" t="s">
        <v>367</v>
      </c>
      <c r="V63" s="126"/>
    </row>
    <row r="64" spans="2:22" ht="28.2" customHeight="1" x14ac:dyDescent="0.35">
      <c r="B64" s="122"/>
      <c r="C64" s="123"/>
      <c r="D64" s="88" t="s">
        <v>203</v>
      </c>
      <c r="E64" s="89">
        <f t="shared" si="0"/>
        <v>61</v>
      </c>
      <c r="F64" s="97"/>
      <c r="G64" s="91" t="s">
        <v>201</v>
      </c>
      <c r="H64" s="78" t="s">
        <v>310</v>
      </c>
      <c r="I64" s="48" t="s">
        <v>71</v>
      </c>
      <c r="J64" s="48" t="s">
        <v>71</v>
      </c>
      <c r="K64" s="48" t="s">
        <v>71</v>
      </c>
      <c r="L64" s="48" t="s">
        <v>71</v>
      </c>
      <c r="M64" s="48" t="s">
        <v>71</v>
      </c>
      <c r="N64" s="48" t="s">
        <v>71</v>
      </c>
      <c r="O64" s="48" t="s">
        <v>71</v>
      </c>
      <c r="P64" s="62" t="s">
        <v>71</v>
      </c>
      <c r="Q64" s="64">
        <v>45687</v>
      </c>
      <c r="R64" s="49"/>
      <c r="S64" s="66"/>
      <c r="T64" s="68"/>
      <c r="U64" s="100" t="s">
        <v>368</v>
      </c>
    </row>
    <row r="65" spans="2:22" ht="37.950000000000003" customHeight="1" x14ac:dyDescent="0.35">
      <c r="B65" s="122"/>
      <c r="C65" s="320" t="s">
        <v>204</v>
      </c>
      <c r="D65" s="328" t="s">
        <v>205</v>
      </c>
      <c r="E65" s="94">
        <f t="shared" si="0"/>
        <v>62</v>
      </c>
      <c r="F65" s="95"/>
      <c r="G65" s="96" t="s">
        <v>157</v>
      </c>
      <c r="H65" s="50" t="s">
        <v>71</v>
      </c>
      <c r="I65" s="50" t="s">
        <v>71</v>
      </c>
      <c r="J65" s="50" t="s">
        <v>71</v>
      </c>
      <c r="K65" s="50" t="s">
        <v>71</v>
      </c>
      <c r="L65" s="50" t="s">
        <v>71</v>
      </c>
      <c r="M65" s="50" t="s">
        <v>71</v>
      </c>
      <c r="N65" s="50" t="s">
        <v>71</v>
      </c>
      <c r="O65" s="50" t="s">
        <v>71</v>
      </c>
      <c r="P65" s="63" t="s">
        <v>71</v>
      </c>
      <c r="Q65" s="329"/>
      <c r="R65" s="51"/>
      <c r="S65" s="67"/>
      <c r="T65" s="322"/>
      <c r="U65" s="102" t="s">
        <v>319</v>
      </c>
    </row>
    <row r="66" spans="2:22" ht="37.950000000000003" customHeight="1" x14ac:dyDescent="0.35">
      <c r="B66" s="122"/>
      <c r="C66" s="330"/>
      <c r="D66" s="328" t="s">
        <v>206</v>
      </c>
      <c r="E66" s="94">
        <f t="shared" si="0"/>
        <v>63</v>
      </c>
      <c r="F66" s="95"/>
      <c r="G66" s="96" t="s">
        <v>157</v>
      </c>
      <c r="H66" s="50" t="s">
        <v>71</v>
      </c>
      <c r="I66" s="50" t="s">
        <v>71</v>
      </c>
      <c r="J66" s="50" t="s">
        <v>71</v>
      </c>
      <c r="K66" s="50" t="s">
        <v>71</v>
      </c>
      <c r="L66" s="50" t="s">
        <v>71</v>
      </c>
      <c r="M66" s="50" t="s">
        <v>71</v>
      </c>
      <c r="N66" s="50" t="s">
        <v>71</v>
      </c>
      <c r="O66" s="50" t="s">
        <v>71</v>
      </c>
      <c r="P66" s="63" t="s">
        <v>71</v>
      </c>
      <c r="Q66" s="329"/>
      <c r="R66" s="51"/>
      <c r="S66" s="67"/>
      <c r="T66" s="322"/>
      <c r="U66" s="102" t="s">
        <v>327</v>
      </c>
    </row>
    <row r="67" spans="2:22" ht="37.950000000000003" customHeight="1" x14ac:dyDescent="0.35">
      <c r="B67" s="122"/>
      <c r="C67" s="330"/>
      <c r="D67" s="328" t="s">
        <v>208</v>
      </c>
      <c r="E67" s="94">
        <f t="shared" si="0"/>
        <v>64</v>
      </c>
      <c r="F67" s="95"/>
      <c r="G67" s="96" t="s">
        <v>157</v>
      </c>
      <c r="H67" s="50" t="s">
        <v>71</v>
      </c>
      <c r="I67" s="50" t="s">
        <v>71</v>
      </c>
      <c r="J67" s="50" t="s">
        <v>71</v>
      </c>
      <c r="K67" s="50" t="s">
        <v>71</v>
      </c>
      <c r="L67" s="50" t="s">
        <v>71</v>
      </c>
      <c r="M67" s="50" t="s">
        <v>71</v>
      </c>
      <c r="N67" s="50" t="s">
        <v>71</v>
      </c>
      <c r="O67" s="50" t="s">
        <v>71</v>
      </c>
      <c r="P67" s="63" t="s">
        <v>71</v>
      </c>
      <c r="Q67" s="329"/>
      <c r="R67" s="51"/>
      <c r="S67" s="67"/>
      <c r="T67" s="322"/>
      <c r="U67" s="102" t="s">
        <v>327</v>
      </c>
    </row>
    <row r="68" spans="2:22" ht="43.95" customHeight="1" x14ac:dyDescent="0.35">
      <c r="B68" s="122"/>
      <c r="C68" s="124" t="s">
        <v>209</v>
      </c>
      <c r="D68" s="92" t="s">
        <v>210</v>
      </c>
      <c r="E68" s="89">
        <f t="shared" si="0"/>
        <v>65</v>
      </c>
      <c r="F68" s="90"/>
      <c r="G68" s="91" t="s">
        <v>211</v>
      </c>
      <c r="H68" s="78" t="s">
        <v>310</v>
      </c>
      <c r="I68" s="48" t="s">
        <v>71</v>
      </c>
      <c r="J68" s="48" t="s">
        <v>71</v>
      </c>
      <c r="K68" s="78" t="s">
        <v>71</v>
      </c>
      <c r="L68" s="78" t="s">
        <v>310</v>
      </c>
      <c r="M68" s="78" t="s">
        <v>310</v>
      </c>
      <c r="N68" s="48" t="s">
        <v>71</v>
      </c>
      <c r="O68" s="48" t="s">
        <v>71</v>
      </c>
      <c r="P68" s="62" t="s">
        <v>71</v>
      </c>
      <c r="Q68" s="405">
        <v>45687</v>
      </c>
      <c r="R68" s="49"/>
      <c r="S68" s="66"/>
      <c r="T68" s="68"/>
      <c r="U68" s="100" t="s">
        <v>369</v>
      </c>
    </row>
    <row r="69" spans="2:22" ht="43.95" customHeight="1" x14ac:dyDescent="0.35">
      <c r="B69" s="122"/>
      <c r="C69" s="123"/>
      <c r="D69" s="92" t="s">
        <v>212</v>
      </c>
      <c r="E69" s="89">
        <f t="shared" si="0"/>
        <v>66</v>
      </c>
      <c r="F69" s="90"/>
      <c r="G69" s="91" t="s">
        <v>213</v>
      </c>
      <c r="H69" s="78" t="s">
        <v>310</v>
      </c>
      <c r="I69" s="48" t="s">
        <v>71</v>
      </c>
      <c r="J69" s="48" t="s">
        <v>71</v>
      </c>
      <c r="K69" s="78" t="s">
        <v>71</v>
      </c>
      <c r="L69" s="78" t="s">
        <v>310</v>
      </c>
      <c r="M69" s="78" t="s">
        <v>310</v>
      </c>
      <c r="N69" s="48" t="s">
        <v>71</v>
      </c>
      <c r="O69" s="48" t="s">
        <v>71</v>
      </c>
      <c r="P69" s="62" t="s">
        <v>71</v>
      </c>
      <c r="Q69" s="405">
        <v>45687</v>
      </c>
      <c r="R69" s="49"/>
      <c r="S69" s="66"/>
      <c r="T69" s="68"/>
      <c r="U69" s="100" t="s">
        <v>370</v>
      </c>
    </row>
    <row r="70" spans="2:22" ht="43.95" customHeight="1" x14ac:dyDescent="0.35">
      <c r="B70" s="122"/>
      <c r="C70" s="123"/>
      <c r="D70" s="92" t="s">
        <v>214</v>
      </c>
      <c r="E70" s="89">
        <f t="shared" si="0"/>
        <v>67</v>
      </c>
      <c r="F70" s="90"/>
      <c r="G70" s="91" t="s">
        <v>215</v>
      </c>
      <c r="H70" s="78" t="s">
        <v>310</v>
      </c>
      <c r="I70" s="48" t="s">
        <v>71</v>
      </c>
      <c r="J70" s="48" t="s">
        <v>71</v>
      </c>
      <c r="K70" s="78" t="s">
        <v>71</v>
      </c>
      <c r="L70" s="78" t="s">
        <v>310</v>
      </c>
      <c r="M70" s="78" t="s">
        <v>310</v>
      </c>
      <c r="N70" s="48" t="s">
        <v>71</v>
      </c>
      <c r="O70" s="48" t="s">
        <v>71</v>
      </c>
      <c r="P70" s="62" t="s">
        <v>71</v>
      </c>
      <c r="Q70" s="405">
        <v>45687</v>
      </c>
      <c r="R70" s="49"/>
      <c r="S70" s="66"/>
      <c r="T70" s="68"/>
      <c r="U70" s="100" t="s">
        <v>371</v>
      </c>
    </row>
    <row r="71" spans="2:22" ht="43.95" customHeight="1" x14ac:dyDescent="0.35">
      <c r="B71" s="122"/>
      <c r="C71" s="123"/>
      <c r="D71" s="88" t="s">
        <v>216</v>
      </c>
      <c r="E71" s="89">
        <f t="shared" si="0"/>
        <v>68</v>
      </c>
      <c r="F71" s="90"/>
      <c r="G71" s="91" t="s">
        <v>217</v>
      </c>
      <c r="H71" s="78" t="s">
        <v>310</v>
      </c>
      <c r="I71" s="48" t="s">
        <v>71</v>
      </c>
      <c r="J71" s="48" t="s">
        <v>71</v>
      </c>
      <c r="K71" s="78" t="s">
        <v>71</v>
      </c>
      <c r="L71" s="78" t="s">
        <v>310</v>
      </c>
      <c r="M71" s="78" t="s">
        <v>310</v>
      </c>
      <c r="N71" s="48" t="s">
        <v>71</v>
      </c>
      <c r="O71" s="48" t="s">
        <v>71</v>
      </c>
      <c r="P71" s="62" t="s">
        <v>71</v>
      </c>
      <c r="Q71" s="405">
        <v>45687</v>
      </c>
      <c r="R71" s="49"/>
      <c r="S71" s="66"/>
      <c r="T71" s="68"/>
      <c r="U71" s="100" t="s">
        <v>372</v>
      </c>
    </row>
    <row r="72" spans="2:22" ht="52.2" customHeight="1" x14ac:dyDescent="0.35">
      <c r="B72" s="122"/>
      <c r="C72" s="123"/>
      <c r="D72" s="93" t="s">
        <v>218</v>
      </c>
      <c r="E72" s="94">
        <f t="shared" si="0"/>
        <v>69</v>
      </c>
      <c r="F72" s="95" t="s">
        <v>219</v>
      </c>
      <c r="G72" s="96" t="s">
        <v>220</v>
      </c>
      <c r="H72" s="50" t="s">
        <v>71</v>
      </c>
      <c r="I72" s="50" t="s">
        <v>71</v>
      </c>
      <c r="J72" s="50" t="s">
        <v>71</v>
      </c>
      <c r="K72" s="50" t="s">
        <v>71</v>
      </c>
      <c r="L72" s="50" t="s">
        <v>71</v>
      </c>
      <c r="M72" s="50" t="s">
        <v>71</v>
      </c>
      <c r="N72" s="50" t="s">
        <v>71</v>
      </c>
      <c r="O72" s="50" t="s">
        <v>71</v>
      </c>
      <c r="P72" s="63" t="s">
        <v>71</v>
      </c>
      <c r="Q72" s="65"/>
      <c r="R72" s="51"/>
      <c r="S72" s="67"/>
      <c r="T72" s="322"/>
      <c r="U72" s="102"/>
    </row>
    <row r="73" spans="2:22" ht="28.2" customHeight="1" x14ac:dyDescent="0.35">
      <c r="B73" s="125" t="s">
        <v>221</v>
      </c>
      <c r="C73" s="124" t="s">
        <v>222</v>
      </c>
      <c r="D73" s="88" t="s">
        <v>223</v>
      </c>
      <c r="E73" s="89">
        <f t="shared" si="0"/>
        <v>70</v>
      </c>
      <c r="F73" s="90"/>
      <c r="G73" s="91" t="s">
        <v>225</v>
      </c>
      <c r="H73" s="78" t="s">
        <v>310</v>
      </c>
      <c r="I73" s="48" t="s">
        <v>71</v>
      </c>
      <c r="J73" s="48" t="s">
        <v>71</v>
      </c>
      <c r="K73" s="78" t="s">
        <v>310</v>
      </c>
      <c r="L73" s="78" t="s">
        <v>310</v>
      </c>
      <c r="M73" s="48" t="s">
        <v>71</v>
      </c>
      <c r="N73" s="48" t="s">
        <v>71</v>
      </c>
      <c r="O73" s="48" t="s">
        <v>71</v>
      </c>
      <c r="P73" s="62" t="s">
        <v>71</v>
      </c>
      <c r="Q73" s="64">
        <v>45687</v>
      </c>
      <c r="R73" s="49"/>
      <c r="S73" s="66"/>
      <c r="T73" s="68"/>
      <c r="U73" s="100" t="s">
        <v>373</v>
      </c>
    </row>
    <row r="74" spans="2:22" ht="28.2" customHeight="1" x14ac:dyDescent="0.35">
      <c r="B74" s="122"/>
      <c r="C74" s="124" t="s">
        <v>226</v>
      </c>
      <c r="D74" s="88" t="s">
        <v>227</v>
      </c>
      <c r="E74" s="89">
        <f t="shared" si="0"/>
        <v>71</v>
      </c>
      <c r="F74" s="90"/>
      <c r="G74" s="91" t="s">
        <v>228</v>
      </c>
      <c r="H74" s="78" t="s">
        <v>310</v>
      </c>
      <c r="I74" s="48" t="s">
        <v>71</v>
      </c>
      <c r="J74" s="48" t="s">
        <v>71</v>
      </c>
      <c r="K74" s="78" t="s">
        <v>310</v>
      </c>
      <c r="L74" s="48" t="s">
        <v>71</v>
      </c>
      <c r="M74" s="48" t="s">
        <v>71</v>
      </c>
      <c r="N74" s="48" t="s">
        <v>71</v>
      </c>
      <c r="O74" s="48" t="s">
        <v>71</v>
      </c>
      <c r="P74" s="62" t="s">
        <v>71</v>
      </c>
      <c r="Q74" s="64">
        <v>45687</v>
      </c>
      <c r="R74" s="49"/>
      <c r="S74" s="66"/>
      <c r="T74" s="68"/>
      <c r="U74" s="100"/>
    </row>
    <row r="75" spans="2:22" ht="28.2" customHeight="1" x14ac:dyDescent="0.35">
      <c r="B75" s="122"/>
      <c r="C75" s="123"/>
      <c r="D75" s="88" t="s">
        <v>229</v>
      </c>
      <c r="E75" s="89">
        <f t="shared" si="0"/>
        <v>72</v>
      </c>
      <c r="F75" s="90" t="s">
        <v>230</v>
      </c>
      <c r="G75" s="91" t="s">
        <v>228</v>
      </c>
      <c r="H75" s="78" t="s">
        <v>310</v>
      </c>
      <c r="I75" s="48" t="s">
        <v>71</v>
      </c>
      <c r="J75" s="48" t="s">
        <v>71</v>
      </c>
      <c r="K75" s="78" t="s">
        <v>310</v>
      </c>
      <c r="L75" s="48" t="s">
        <v>71</v>
      </c>
      <c r="M75" s="48" t="s">
        <v>71</v>
      </c>
      <c r="N75" s="48" t="s">
        <v>71</v>
      </c>
      <c r="O75" s="48" t="s">
        <v>71</v>
      </c>
      <c r="P75" s="62" t="s">
        <v>71</v>
      </c>
      <c r="Q75" s="64">
        <v>45687</v>
      </c>
      <c r="R75" s="49"/>
      <c r="S75" s="66"/>
      <c r="T75" s="68"/>
      <c r="U75" s="101"/>
    </row>
    <row r="76" spans="2:22" ht="28.2" customHeight="1" x14ac:dyDescent="0.35">
      <c r="B76" s="122"/>
      <c r="C76" s="123"/>
      <c r="D76" s="88" t="s">
        <v>231</v>
      </c>
      <c r="E76" s="89">
        <f t="shared" si="0"/>
        <v>73</v>
      </c>
      <c r="F76" s="90" t="s">
        <v>232</v>
      </c>
      <c r="G76" s="91" t="s">
        <v>228</v>
      </c>
      <c r="H76" s="78" t="s">
        <v>310</v>
      </c>
      <c r="I76" s="48" t="s">
        <v>71</v>
      </c>
      <c r="J76" s="48" t="s">
        <v>71</v>
      </c>
      <c r="K76" s="78" t="s">
        <v>310</v>
      </c>
      <c r="L76" s="48" t="s">
        <v>71</v>
      </c>
      <c r="M76" s="48" t="s">
        <v>71</v>
      </c>
      <c r="N76" s="48" t="s">
        <v>71</v>
      </c>
      <c r="O76" s="48" t="s">
        <v>71</v>
      </c>
      <c r="P76" s="62" t="s">
        <v>71</v>
      </c>
      <c r="Q76" s="64">
        <v>45687</v>
      </c>
      <c r="R76" s="49"/>
      <c r="S76" s="66"/>
      <c r="T76" s="68"/>
      <c r="U76" s="101"/>
    </row>
    <row r="77" spans="2:22" ht="28.2" customHeight="1" x14ac:dyDescent="0.35">
      <c r="B77" s="122"/>
      <c r="C77" s="123"/>
      <c r="D77" s="88" t="s">
        <v>233</v>
      </c>
      <c r="E77" s="89">
        <f t="shared" si="0"/>
        <v>74</v>
      </c>
      <c r="F77" s="90" t="s">
        <v>234</v>
      </c>
      <c r="G77" s="91" t="s">
        <v>235</v>
      </c>
      <c r="H77" s="78" t="s">
        <v>310</v>
      </c>
      <c r="I77" s="48" t="s">
        <v>71</v>
      </c>
      <c r="J77" s="48" t="s">
        <v>71</v>
      </c>
      <c r="K77" s="78" t="s">
        <v>310</v>
      </c>
      <c r="L77" s="48" t="s">
        <v>71</v>
      </c>
      <c r="M77" s="48" t="s">
        <v>71</v>
      </c>
      <c r="N77" s="48" t="s">
        <v>71</v>
      </c>
      <c r="O77" s="48" t="s">
        <v>71</v>
      </c>
      <c r="P77" s="62" t="s">
        <v>71</v>
      </c>
      <c r="Q77" s="64">
        <v>45687</v>
      </c>
      <c r="R77" s="49"/>
      <c r="S77" s="66"/>
      <c r="T77" s="68"/>
      <c r="U77" s="100"/>
    </row>
    <row r="78" spans="2:22" ht="28.2" customHeight="1" x14ac:dyDescent="0.35">
      <c r="B78" s="122"/>
      <c r="C78" s="123"/>
      <c r="D78" s="88" t="s">
        <v>236</v>
      </c>
      <c r="E78" s="89">
        <f t="shared" si="0"/>
        <v>75</v>
      </c>
      <c r="F78" s="90" t="s">
        <v>237</v>
      </c>
      <c r="G78" s="91" t="s">
        <v>228</v>
      </c>
      <c r="H78" s="78" t="s">
        <v>310</v>
      </c>
      <c r="I78" s="48" t="s">
        <v>71</v>
      </c>
      <c r="J78" s="48" t="s">
        <v>71</v>
      </c>
      <c r="K78" s="78" t="s">
        <v>310</v>
      </c>
      <c r="L78" s="48" t="s">
        <v>71</v>
      </c>
      <c r="M78" s="48" t="s">
        <v>71</v>
      </c>
      <c r="N78" s="48" t="s">
        <v>71</v>
      </c>
      <c r="O78" s="48" t="s">
        <v>71</v>
      </c>
      <c r="P78" s="62" t="s">
        <v>71</v>
      </c>
      <c r="Q78" s="64">
        <v>45687</v>
      </c>
      <c r="R78" s="49"/>
      <c r="S78" s="66"/>
      <c r="T78" s="68"/>
      <c r="U78" s="100"/>
    </row>
    <row r="79" spans="2:22" ht="28.2" customHeight="1" x14ac:dyDescent="0.35">
      <c r="B79" s="122"/>
      <c r="C79" s="123"/>
      <c r="D79" s="88" t="s">
        <v>238</v>
      </c>
      <c r="E79" s="89">
        <f t="shared" si="0"/>
        <v>76</v>
      </c>
      <c r="F79" s="90" t="s">
        <v>239</v>
      </c>
      <c r="G79" s="91" t="s">
        <v>228</v>
      </c>
      <c r="H79" s="78" t="s">
        <v>310</v>
      </c>
      <c r="I79" s="48" t="s">
        <v>71</v>
      </c>
      <c r="J79" s="48" t="s">
        <v>71</v>
      </c>
      <c r="K79" s="48" t="s">
        <v>71</v>
      </c>
      <c r="L79" s="78" t="s">
        <v>310</v>
      </c>
      <c r="M79" s="48" t="s">
        <v>71</v>
      </c>
      <c r="N79" s="48" t="s">
        <v>71</v>
      </c>
      <c r="O79" s="48" t="s">
        <v>71</v>
      </c>
      <c r="P79" s="62" t="s">
        <v>71</v>
      </c>
      <c r="Q79" s="64">
        <v>45687</v>
      </c>
      <c r="R79" s="49"/>
      <c r="S79" s="66"/>
      <c r="T79" s="68"/>
      <c r="U79" s="100" t="s">
        <v>374</v>
      </c>
    </row>
    <row r="80" spans="2:22" ht="28.2" customHeight="1" x14ac:dyDescent="0.35">
      <c r="B80" s="122"/>
      <c r="C80" s="123"/>
      <c r="D80" s="88" t="s">
        <v>240</v>
      </c>
      <c r="E80" s="89">
        <f t="shared" si="0"/>
        <v>77</v>
      </c>
      <c r="F80" s="90" t="s">
        <v>241</v>
      </c>
      <c r="G80" s="91" t="s">
        <v>228</v>
      </c>
      <c r="H80" s="78" t="s">
        <v>310</v>
      </c>
      <c r="I80" s="48" t="s">
        <v>71</v>
      </c>
      <c r="J80" s="48" t="s">
        <v>71</v>
      </c>
      <c r="K80" s="48" t="s">
        <v>71</v>
      </c>
      <c r="L80" s="78" t="s">
        <v>310</v>
      </c>
      <c r="M80" s="48" t="s">
        <v>71</v>
      </c>
      <c r="N80" s="48" t="s">
        <v>71</v>
      </c>
      <c r="O80" s="48" t="s">
        <v>71</v>
      </c>
      <c r="P80" s="62" t="s">
        <v>71</v>
      </c>
      <c r="Q80" s="64">
        <v>45687</v>
      </c>
      <c r="R80" s="49"/>
      <c r="S80" s="66"/>
      <c r="T80" s="68"/>
      <c r="U80" s="100"/>
      <c r="V80" s="126"/>
    </row>
    <row r="81" spans="1:22" ht="28.2" customHeight="1" x14ac:dyDescent="0.35">
      <c r="B81" s="122"/>
      <c r="C81" s="124" t="s">
        <v>242</v>
      </c>
      <c r="D81" s="88" t="s">
        <v>227</v>
      </c>
      <c r="E81" s="89">
        <f t="shared" si="0"/>
        <v>78</v>
      </c>
      <c r="F81" s="90" t="s">
        <v>243</v>
      </c>
      <c r="G81" s="91" t="s">
        <v>228</v>
      </c>
      <c r="H81" s="78" t="s">
        <v>310</v>
      </c>
      <c r="I81" s="48" t="s">
        <v>71</v>
      </c>
      <c r="J81" s="48" t="s">
        <v>71</v>
      </c>
      <c r="K81" s="78" t="s">
        <v>310</v>
      </c>
      <c r="L81" s="48" t="s">
        <v>71</v>
      </c>
      <c r="M81" s="48" t="s">
        <v>71</v>
      </c>
      <c r="N81" s="48" t="s">
        <v>71</v>
      </c>
      <c r="O81" s="48" t="s">
        <v>71</v>
      </c>
      <c r="P81" s="62" t="s">
        <v>71</v>
      </c>
      <c r="Q81" s="64">
        <v>45687</v>
      </c>
      <c r="R81" s="49"/>
      <c r="S81" s="66"/>
      <c r="T81" s="68"/>
      <c r="U81" s="100"/>
      <c r="V81" s="126"/>
    </row>
    <row r="82" spans="1:22" ht="28.2" customHeight="1" x14ac:dyDescent="0.35">
      <c r="B82" s="122"/>
      <c r="C82" s="123"/>
      <c r="D82" s="88" t="s">
        <v>244</v>
      </c>
      <c r="E82" s="89">
        <f t="shared" si="0"/>
        <v>79</v>
      </c>
      <c r="F82" s="90" t="s">
        <v>245</v>
      </c>
      <c r="G82" s="91" t="s">
        <v>228</v>
      </c>
      <c r="H82" s="78" t="s">
        <v>310</v>
      </c>
      <c r="I82" s="48" t="s">
        <v>71</v>
      </c>
      <c r="J82" s="48" t="s">
        <v>71</v>
      </c>
      <c r="K82" s="78" t="s">
        <v>310</v>
      </c>
      <c r="L82" s="48" t="s">
        <v>71</v>
      </c>
      <c r="M82" s="48" t="s">
        <v>71</v>
      </c>
      <c r="N82" s="48" t="s">
        <v>71</v>
      </c>
      <c r="O82" s="48" t="s">
        <v>71</v>
      </c>
      <c r="P82" s="62" t="s">
        <v>71</v>
      </c>
      <c r="Q82" s="64">
        <v>45687</v>
      </c>
      <c r="R82" s="49"/>
      <c r="S82" s="66"/>
      <c r="T82" s="68"/>
      <c r="U82" s="100"/>
    </row>
    <row r="83" spans="1:22" ht="28.2" customHeight="1" x14ac:dyDescent="0.35">
      <c r="B83" s="122"/>
      <c r="C83" s="123"/>
      <c r="D83" s="88" t="s">
        <v>246</v>
      </c>
      <c r="E83" s="89">
        <f t="shared" si="0"/>
        <v>80</v>
      </c>
      <c r="F83" s="90" t="s">
        <v>247</v>
      </c>
      <c r="G83" s="91" t="s">
        <v>228</v>
      </c>
      <c r="H83" s="78" t="s">
        <v>310</v>
      </c>
      <c r="I83" s="48" t="s">
        <v>71</v>
      </c>
      <c r="J83" s="48" t="s">
        <v>71</v>
      </c>
      <c r="K83" s="48" t="s">
        <v>71</v>
      </c>
      <c r="L83" s="78" t="s">
        <v>310</v>
      </c>
      <c r="M83" s="48" t="s">
        <v>71</v>
      </c>
      <c r="N83" s="48" t="s">
        <v>71</v>
      </c>
      <c r="O83" s="48" t="s">
        <v>71</v>
      </c>
      <c r="P83" s="62" t="s">
        <v>71</v>
      </c>
      <c r="Q83" s="64">
        <v>45687</v>
      </c>
      <c r="R83" s="49"/>
      <c r="S83" s="66"/>
      <c r="T83" s="68"/>
      <c r="U83" s="100"/>
    </row>
    <row r="84" spans="1:22" ht="28.2" customHeight="1" x14ac:dyDescent="0.35">
      <c r="B84" s="122"/>
      <c r="C84" s="123"/>
      <c r="D84" s="88" t="s">
        <v>248</v>
      </c>
      <c r="E84" s="89">
        <f t="shared" si="0"/>
        <v>81</v>
      </c>
      <c r="F84" s="90" t="s">
        <v>249</v>
      </c>
      <c r="G84" s="91" t="s">
        <v>228</v>
      </c>
      <c r="H84" s="78" t="s">
        <v>310</v>
      </c>
      <c r="I84" s="48" t="s">
        <v>71</v>
      </c>
      <c r="J84" s="48" t="s">
        <v>71</v>
      </c>
      <c r="K84" s="48" t="s">
        <v>71</v>
      </c>
      <c r="L84" s="78" t="s">
        <v>310</v>
      </c>
      <c r="M84" s="48" t="s">
        <v>71</v>
      </c>
      <c r="N84" s="48" t="s">
        <v>71</v>
      </c>
      <c r="O84" s="48" t="s">
        <v>71</v>
      </c>
      <c r="P84" s="62" t="s">
        <v>71</v>
      </c>
      <c r="Q84" s="64">
        <v>45687</v>
      </c>
      <c r="R84" s="49"/>
      <c r="S84" s="66"/>
      <c r="T84" s="68"/>
      <c r="U84" s="100"/>
    </row>
    <row r="85" spans="1:22" ht="28.2" customHeight="1" x14ac:dyDescent="0.35">
      <c r="B85" s="122"/>
      <c r="C85" s="124" t="s">
        <v>250</v>
      </c>
      <c r="D85" s="88" t="s">
        <v>251</v>
      </c>
      <c r="E85" s="89">
        <f t="shared" si="0"/>
        <v>82</v>
      </c>
      <c r="F85" s="90" t="s">
        <v>252</v>
      </c>
      <c r="G85" s="91" t="s">
        <v>253</v>
      </c>
      <c r="H85" s="78" t="s">
        <v>310</v>
      </c>
      <c r="I85" s="48" t="s">
        <v>71</v>
      </c>
      <c r="J85" s="48" t="s">
        <v>71</v>
      </c>
      <c r="K85" s="78" t="s">
        <v>310</v>
      </c>
      <c r="L85" s="48" t="s">
        <v>71</v>
      </c>
      <c r="M85" s="48" t="s">
        <v>71</v>
      </c>
      <c r="N85" s="48" t="s">
        <v>71</v>
      </c>
      <c r="O85" s="48" t="s">
        <v>71</v>
      </c>
      <c r="P85" s="62" t="s">
        <v>71</v>
      </c>
      <c r="Q85" s="64">
        <v>45687</v>
      </c>
      <c r="R85" s="49"/>
      <c r="S85" s="66"/>
      <c r="T85" s="68"/>
      <c r="U85" s="101"/>
    </row>
    <row r="86" spans="1:22" ht="28.2" customHeight="1" x14ac:dyDescent="0.35">
      <c r="B86" s="122"/>
      <c r="C86" s="123"/>
      <c r="D86" s="233" t="s">
        <v>123</v>
      </c>
      <c r="E86" s="89">
        <f t="shared" si="0"/>
        <v>83</v>
      </c>
      <c r="F86" s="90" t="s">
        <v>254</v>
      </c>
      <c r="G86" s="91" t="s">
        <v>124</v>
      </c>
      <c r="H86" s="78" t="s">
        <v>310</v>
      </c>
      <c r="I86" s="48" t="s">
        <v>71</v>
      </c>
      <c r="J86" s="48" t="s">
        <v>71</v>
      </c>
      <c r="K86" s="48" t="s">
        <v>71</v>
      </c>
      <c r="L86" s="78" t="s">
        <v>310</v>
      </c>
      <c r="M86" s="78" t="s">
        <v>310</v>
      </c>
      <c r="N86" s="48" t="s">
        <v>71</v>
      </c>
      <c r="O86" s="48" t="s">
        <v>71</v>
      </c>
      <c r="P86" s="62" t="s">
        <v>71</v>
      </c>
      <c r="Q86" s="405">
        <v>45687</v>
      </c>
      <c r="R86" s="49"/>
      <c r="S86" s="66"/>
      <c r="T86" s="68"/>
      <c r="U86" s="100" t="s">
        <v>375</v>
      </c>
      <c r="V86" s="126"/>
    </row>
    <row r="87" spans="1:22" ht="28.2" customHeight="1" x14ac:dyDescent="0.35">
      <c r="B87" s="122"/>
      <c r="C87" s="123"/>
      <c r="D87" s="235"/>
      <c r="E87" s="89">
        <f t="shared" si="0"/>
        <v>84</v>
      </c>
      <c r="F87" s="90" t="s">
        <v>252</v>
      </c>
      <c r="G87" s="91" t="s">
        <v>125</v>
      </c>
      <c r="H87" s="78" t="s">
        <v>310</v>
      </c>
      <c r="I87" s="48" t="s">
        <v>71</v>
      </c>
      <c r="J87" s="48" t="s">
        <v>71</v>
      </c>
      <c r="K87" s="48" t="s">
        <v>71</v>
      </c>
      <c r="L87" s="78" t="s">
        <v>310</v>
      </c>
      <c r="M87" s="78" t="s">
        <v>310</v>
      </c>
      <c r="N87" s="48" t="s">
        <v>71</v>
      </c>
      <c r="O87" s="48" t="s">
        <v>71</v>
      </c>
      <c r="P87" s="62" t="s">
        <v>71</v>
      </c>
      <c r="Q87" s="405">
        <v>45687</v>
      </c>
      <c r="R87" s="49"/>
      <c r="S87" s="66"/>
      <c r="T87" s="68"/>
      <c r="U87" s="100" t="s">
        <v>375</v>
      </c>
      <c r="V87" s="126"/>
    </row>
    <row r="88" spans="1:22" ht="28.2" customHeight="1" x14ac:dyDescent="0.35">
      <c r="B88" s="122"/>
      <c r="C88" s="124" t="s">
        <v>255</v>
      </c>
      <c r="D88" s="88" t="s">
        <v>255</v>
      </c>
      <c r="E88" s="89">
        <f t="shared" si="0"/>
        <v>85</v>
      </c>
      <c r="F88" s="90" t="s">
        <v>256</v>
      </c>
      <c r="G88" s="91" t="s">
        <v>257</v>
      </c>
      <c r="H88" s="78" t="s">
        <v>310</v>
      </c>
      <c r="I88" s="48" t="s">
        <v>71</v>
      </c>
      <c r="J88" s="48" t="s">
        <v>71</v>
      </c>
      <c r="K88" s="78" t="s">
        <v>310</v>
      </c>
      <c r="L88" s="48" t="s">
        <v>71</v>
      </c>
      <c r="M88" s="48" t="s">
        <v>71</v>
      </c>
      <c r="N88" s="48" t="s">
        <v>71</v>
      </c>
      <c r="O88" s="48" t="s">
        <v>71</v>
      </c>
      <c r="P88" s="62" t="s">
        <v>71</v>
      </c>
      <c r="Q88" s="64">
        <v>45687</v>
      </c>
      <c r="R88" s="49"/>
      <c r="S88" s="66"/>
      <c r="T88" s="68"/>
      <c r="U88" s="100"/>
    </row>
    <row r="89" spans="1:22" ht="28.2" customHeight="1" x14ac:dyDescent="0.35">
      <c r="B89" s="122"/>
      <c r="C89" s="123"/>
      <c r="D89" s="88" t="s">
        <v>258</v>
      </c>
      <c r="E89" s="89">
        <f t="shared" si="0"/>
        <v>86</v>
      </c>
      <c r="F89" s="90" t="s">
        <v>259</v>
      </c>
      <c r="G89" s="91" t="s">
        <v>257</v>
      </c>
      <c r="H89" s="78" t="s">
        <v>310</v>
      </c>
      <c r="I89" s="48" t="s">
        <v>71</v>
      </c>
      <c r="J89" s="48" t="s">
        <v>71</v>
      </c>
      <c r="K89" s="48" t="s">
        <v>71</v>
      </c>
      <c r="L89" s="78" t="s">
        <v>310</v>
      </c>
      <c r="M89" s="48" t="s">
        <v>71</v>
      </c>
      <c r="N89" s="48" t="s">
        <v>71</v>
      </c>
      <c r="O89" s="48" t="s">
        <v>71</v>
      </c>
      <c r="P89" s="62" t="s">
        <v>71</v>
      </c>
      <c r="Q89" s="64">
        <v>45687</v>
      </c>
      <c r="R89" s="49"/>
      <c r="S89" s="66"/>
      <c r="T89" s="68"/>
      <c r="U89" s="100"/>
    </row>
    <row r="90" spans="1:22" ht="28.2" customHeight="1" x14ac:dyDescent="0.35">
      <c r="B90" s="125" t="s">
        <v>260</v>
      </c>
      <c r="C90" s="124" t="s">
        <v>261</v>
      </c>
      <c r="D90" s="88" t="s">
        <v>262</v>
      </c>
      <c r="E90" s="89">
        <f t="shared" si="0"/>
        <v>87</v>
      </c>
      <c r="F90" s="90"/>
      <c r="G90" s="91" t="s">
        <v>278</v>
      </c>
      <c r="H90" s="78" t="s">
        <v>310</v>
      </c>
      <c r="I90" s="48" t="s">
        <v>71</v>
      </c>
      <c r="J90" s="48" t="s">
        <v>71</v>
      </c>
      <c r="K90" s="78" t="s">
        <v>310</v>
      </c>
      <c r="L90" s="78" t="s">
        <v>310</v>
      </c>
      <c r="M90" s="48" t="s">
        <v>71</v>
      </c>
      <c r="N90" s="48" t="s">
        <v>71</v>
      </c>
      <c r="O90" s="48" t="s">
        <v>71</v>
      </c>
      <c r="P90" s="62" t="s">
        <v>71</v>
      </c>
      <c r="Q90" s="64">
        <v>45686</v>
      </c>
      <c r="R90" s="49"/>
      <c r="S90" s="66"/>
      <c r="T90" s="68"/>
      <c r="U90" s="100" t="s">
        <v>376</v>
      </c>
    </row>
    <row r="91" spans="1:22" ht="71.400000000000006" customHeight="1" x14ac:dyDescent="0.35">
      <c r="B91" s="122"/>
      <c r="C91" s="123"/>
      <c r="D91" s="93" t="s">
        <v>263</v>
      </c>
      <c r="E91" s="94">
        <f t="shared" si="0"/>
        <v>88</v>
      </c>
      <c r="F91" s="95"/>
      <c r="G91" s="418" t="s">
        <v>336</v>
      </c>
      <c r="H91" s="79" t="s">
        <v>310</v>
      </c>
      <c r="I91" s="50" t="s">
        <v>71</v>
      </c>
      <c r="J91" s="50" t="s">
        <v>71</v>
      </c>
      <c r="K91" s="50" t="s">
        <v>71</v>
      </c>
      <c r="L91" s="50" t="s">
        <v>71</v>
      </c>
      <c r="M91" s="50" t="s">
        <v>71</v>
      </c>
      <c r="N91" s="50" t="s">
        <v>71</v>
      </c>
      <c r="O91" s="50" t="s">
        <v>71</v>
      </c>
      <c r="P91" s="63" t="s">
        <v>71</v>
      </c>
      <c r="Q91" s="65"/>
      <c r="R91" s="51"/>
      <c r="S91" s="67"/>
      <c r="T91" s="69"/>
      <c r="U91" s="102" t="s">
        <v>377</v>
      </c>
    </row>
    <row r="92" spans="1:22" ht="28.2" customHeight="1" x14ac:dyDescent="0.35">
      <c r="B92" s="122"/>
      <c r="C92" s="124" t="s">
        <v>266</v>
      </c>
      <c r="D92" s="88" t="s">
        <v>223</v>
      </c>
      <c r="E92" s="89">
        <f t="shared" si="0"/>
        <v>89</v>
      </c>
      <c r="F92" s="90"/>
      <c r="G92" s="91" t="s">
        <v>267</v>
      </c>
      <c r="H92" s="78" t="s">
        <v>310</v>
      </c>
      <c r="I92" s="48" t="s">
        <v>71</v>
      </c>
      <c r="J92" s="48" t="s">
        <v>71</v>
      </c>
      <c r="K92" s="78" t="s">
        <v>310</v>
      </c>
      <c r="L92" s="78" t="s">
        <v>310</v>
      </c>
      <c r="M92" s="78" t="s">
        <v>310</v>
      </c>
      <c r="N92" s="48" t="s">
        <v>71</v>
      </c>
      <c r="O92" s="48" t="s">
        <v>71</v>
      </c>
      <c r="P92" s="62" t="s">
        <v>71</v>
      </c>
      <c r="Q92" s="405">
        <v>45687</v>
      </c>
      <c r="R92" s="49"/>
      <c r="S92" s="66"/>
      <c r="T92" s="68"/>
      <c r="U92" s="100" t="s">
        <v>378</v>
      </c>
    </row>
    <row r="93" spans="1:22" ht="28.2" customHeight="1" x14ac:dyDescent="0.35">
      <c r="B93" s="122"/>
      <c r="C93" s="93" t="s">
        <v>268</v>
      </c>
      <c r="D93" s="93" t="s">
        <v>268</v>
      </c>
      <c r="E93" s="94">
        <f t="shared" si="0"/>
        <v>90</v>
      </c>
      <c r="F93" s="95"/>
      <c r="G93" s="96" t="s">
        <v>235</v>
      </c>
      <c r="H93" s="79" t="s">
        <v>71</v>
      </c>
      <c r="I93" s="50" t="s">
        <v>71</v>
      </c>
      <c r="J93" s="50" t="s">
        <v>71</v>
      </c>
      <c r="K93" s="79" t="s">
        <v>71</v>
      </c>
      <c r="L93" s="79" t="s">
        <v>71</v>
      </c>
      <c r="M93" s="79" t="s">
        <v>71</v>
      </c>
      <c r="N93" s="50" t="s">
        <v>71</v>
      </c>
      <c r="O93" s="50" t="s">
        <v>71</v>
      </c>
      <c r="P93" s="63" t="s">
        <v>71</v>
      </c>
      <c r="Q93" s="65"/>
      <c r="R93" s="51"/>
      <c r="S93" s="67"/>
      <c r="T93" s="69"/>
      <c r="U93" s="326" t="s">
        <v>379</v>
      </c>
      <c r="V93" s="126"/>
    </row>
    <row r="94" spans="1:22" ht="28.2" customHeight="1" x14ac:dyDescent="0.35">
      <c r="B94" s="122"/>
      <c r="C94" s="320" t="s">
        <v>269</v>
      </c>
      <c r="D94" s="93" t="s">
        <v>269</v>
      </c>
      <c r="E94" s="94">
        <f t="shared" ref="E94:E106" si="1">ROW()-3</f>
        <v>91</v>
      </c>
      <c r="F94" s="95"/>
      <c r="G94" s="96" t="s">
        <v>235</v>
      </c>
      <c r="H94" s="79" t="s">
        <v>71</v>
      </c>
      <c r="I94" s="50" t="s">
        <v>71</v>
      </c>
      <c r="J94" s="50" t="s">
        <v>71</v>
      </c>
      <c r="K94" s="79" t="s">
        <v>71</v>
      </c>
      <c r="L94" s="79" t="s">
        <v>71</v>
      </c>
      <c r="M94" s="79" t="s">
        <v>71</v>
      </c>
      <c r="N94" s="50" t="s">
        <v>71</v>
      </c>
      <c r="O94" s="50" t="s">
        <v>71</v>
      </c>
      <c r="P94" s="63" t="s">
        <v>71</v>
      </c>
      <c r="Q94" s="65"/>
      <c r="R94" s="51"/>
      <c r="S94" s="67"/>
      <c r="T94" s="69"/>
      <c r="U94" s="326" t="s">
        <v>379</v>
      </c>
    </row>
    <row r="95" spans="1:22" s="346" customFormat="1" ht="28.2" customHeight="1" x14ac:dyDescent="0.35">
      <c r="A95" s="60"/>
      <c r="B95" s="122"/>
      <c r="C95" s="124" t="s">
        <v>270</v>
      </c>
      <c r="D95" s="233" t="s">
        <v>271</v>
      </c>
      <c r="E95" s="94">
        <f t="shared" si="1"/>
        <v>92</v>
      </c>
      <c r="F95" s="95"/>
      <c r="G95" s="96" t="s">
        <v>272</v>
      </c>
      <c r="H95" s="79" t="s">
        <v>350</v>
      </c>
      <c r="I95" s="50" t="s">
        <v>350</v>
      </c>
      <c r="J95" s="50" t="s">
        <v>71</v>
      </c>
      <c r="K95" s="50" t="s">
        <v>71</v>
      </c>
      <c r="L95" s="50" t="s">
        <v>71</v>
      </c>
      <c r="M95" s="50" t="s">
        <v>71</v>
      </c>
      <c r="N95" s="50" t="s">
        <v>71</v>
      </c>
      <c r="O95" s="50" t="s">
        <v>71</v>
      </c>
      <c r="P95" s="63" t="s">
        <v>71</v>
      </c>
      <c r="Q95" s="65"/>
      <c r="R95" s="51"/>
      <c r="S95" s="67"/>
      <c r="T95" s="69"/>
      <c r="U95" s="102" t="s">
        <v>380</v>
      </c>
    </row>
    <row r="96" spans="1:22" ht="28.2" customHeight="1" x14ac:dyDescent="0.35">
      <c r="B96" s="122"/>
      <c r="C96" s="123"/>
      <c r="D96" s="234"/>
      <c r="E96" s="89">
        <f t="shared" si="1"/>
        <v>93</v>
      </c>
      <c r="F96" s="90"/>
      <c r="G96" s="91" t="s">
        <v>273</v>
      </c>
      <c r="H96" s="78" t="s">
        <v>310</v>
      </c>
      <c r="I96" s="48" t="s">
        <v>71</v>
      </c>
      <c r="J96" s="48" t="s">
        <v>71</v>
      </c>
      <c r="K96" s="78" t="s">
        <v>310</v>
      </c>
      <c r="L96" s="78" t="s">
        <v>310</v>
      </c>
      <c r="M96" s="78" t="s">
        <v>310</v>
      </c>
      <c r="N96" s="48" t="s">
        <v>71</v>
      </c>
      <c r="O96" s="48" t="s">
        <v>71</v>
      </c>
      <c r="P96" s="62" t="s">
        <v>71</v>
      </c>
      <c r="Q96" s="405">
        <v>45687</v>
      </c>
      <c r="R96" s="49"/>
      <c r="S96" s="66"/>
      <c r="T96" s="68"/>
      <c r="U96" s="101" t="s">
        <v>381</v>
      </c>
    </row>
    <row r="97" spans="1:21" s="346" customFormat="1" ht="64.95" customHeight="1" x14ac:dyDescent="0.35">
      <c r="A97" s="60"/>
      <c r="B97" s="122"/>
      <c r="C97" s="123"/>
      <c r="D97" s="234"/>
      <c r="E97" s="94">
        <f t="shared" si="1"/>
        <v>94</v>
      </c>
      <c r="F97" s="95"/>
      <c r="G97" s="96" t="s">
        <v>274</v>
      </c>
      <c r="H97" s="79" t="s">
        <v>350</v>
      </c>
      <c r="I97" s="50" t="s">
        <v>350</v>
      </c>
      <c r="J97" s="50" t="s">
        <v>71</v>
      </c>
      <c r="K97" s="50" t="s">
        <v>71</v>
      </c>
      <c r="L97" s="50" t="s">
        <v>71</v>
      </c>
      <c r="M97" s="50" t="s">
        <v>71</v>
      </c>
      <c r="N97" s="50" t="s">
        <v>71</v>
      </c>
      <c r="O97" s="50" t="s">
        <v>71</v>
      </c>
      <c r="P97" s="63" t="s">
        <v>71</v>
      </c>
      <c r="Q97" s="65"/>
      <c r="R97" s="51"/>
      <c r="S97" s="67"/>
      <c r="T97" s="69"/>
      <c r="U97" s="102" t="s">
        <v>380</v>
      </c>
    </row>
    <row r="98" spans="1:21" s="346" customFormat="1" ht="64.95" customHeight="1" x14ac:dyDescent="0.35">
      <c r="A98" s="60"/>
      <c r="B98" s="122"/>
      <c r="C98" s="123"/>
      <c r="D98" s="234"/>
      <c r="E98" s="94">
        <f t="shared" si="1"/>
        <v>95</v>
      </c>
      <c r="F98" s="95"/>
      <c r="G98" s="96" t="s">
        <v>275</v>
      </c>
      <c r="H98" s="79" t="s">
        <v>350</v>
      </c>
      <c r="I98" s="50" t="s">
        <v>350</v>
      </c>
      <c r="J98" s="50" t="s">
        <v>71</v>
      </c>
      <c r="K98" s="50" t="s">
        <v>71</v>
      </c>
      <c r="L98" s="50" t="s">
        <v>71</v>
      </c>
      <c r="M98" s="50" t="s">
        <v>71</v>
      </c>
      <c r="N98" s="50" t="s">
        <v>71</v>
      </c>
      <c r="O98" s="50" t="s">
        <v>71</v>
      </c>
      <c r="P98" s="63" t="s">
        <v>71</v>
      </c>
      <c r="Q98" s="65"/>
      <c r="R98" s="51"/>
      <c r="S98" s="67"/>
      <c r="T98" s="69"/>
      <c r="U98" s="102" t="s">
        <v>380</v>
      </c>
    </row>
    <row r="99" spans="1:21" ht="28.2" customHeight="1" x14ac:dyDescent="0.35">
      <c r="B99" s="122"/>
      <c r="C99" s="124" t="s">
        <v>276</v>
      </c>
      <c r="D99" s="88" t="s">
        <v>251</v>
      </c>
      <c r="E99" s="89">
        <f t="shared" si="1"/>
        <v>96</v>
      </c>
      <c r="F99" s="90"/>
      <c r="G99" s="91" t="s">
        <v>278</v>
      </c>
      <c r="H99" s="78" t="s">
        <v>310</v>
      </c>
      <c r="I99" s="48" t="s">
        <v>71</v>
      </c>
      <c r="J99" s="48" t="s">
        <v>71</v>
      </c>
      <c r="K99" s="78" t="s">
        <v>71</v>
      </c>
      <c r="L99" s="48" t="s">
        <v>71</v>
      </c>
      <c r="M99" s="48" t="s">
        <v>71</v>
      </c>
      <c r="N99" s="48" t="s">
        <v>71</v>
      </c>
      <c r="O99" s="48" t="s">
        <v>71</v>
      </c>
      <c r="P99" s="62" t="s">
        <v>71</v>
      </c>
      <c r="Q99" s="405">
        <v>45687</v>
      </c>
      <c r="R99" s="49"/>
      <c r="S99" s="66"/>
      <c r="T99" s="68"/>
      <c r="U99" s="100" t="s">
        <v>382</v>
      </c>
    </row>
    <row r="100" spans="1:21" ht="28.2" customHeight="1" x14ac:dyDescent="0.35">
      <c r="B100" s="122"/>
      <c r="C100" s="124" t="s">
        <v>279</v>
      </c>
      <c r="D100" s="88" t="s">
        <v>251</v>
      </c>
      <c r="E100" s="89">
        <f t="shared" si="1"/>
        <v>97</v>
      </c>
      <c r="F100" s="90"/>
      <c r="G100" s="91" t="s">
        <v>278</v>
      </c>
      <c r="H100" s="78" t="s">
        <v>310</v>
      </c>
      <c r="I100" s="48" t="s">
        <v>71</v>
      </c>
      <c r="J100" s="48" t="s">
        <v>71</v>
      </c>
      <c r="K100" s="78" t="s">
        <v>71</v>
      </c>
      <c r="L100" s="48" t="s">
        <v>71</v>
      </c>
      <c r="M100" s="48" t="s">
        <v>71</v>
      </c>
      <c r="N100" s="48" t="s">
        <v>71</v>
      </c>
      <c r="O100" s="48" t="s">
        <v>71</v>
      </c>
      <c r="P100" s="62" t="s">
        <v>71</v>
      </c>
      <c r="Q100" s="405">
        <v>45687</v>
      </c>
      <c r="R100" s="49"/>
      <c r="S100" s="66"/>
      <c r="T100" s="68"/>
      <c r="U100" s="100" t="s">
        <v>342</v>
      </c>
    </row>
    <row r="101" spans="1:21" ht="28.2" customHeight="1" x14ac:dyDescent="0.35">
      <c r="B101" s="122"/>
      <c r="C101" s="124" t="s">
        <v>281</v>
      </c>
      <c r="D101" s="88" t="s">
        <v>251</v>
      </c>
      <c r="E101" s="89">
        <f t="shared" si="1"/>
        <v>98</v>
      </c>
      <c r="F101" s="90"/>
      <c r="G101" s="91" t="s">
        <v>278</v>
      </c>
      <c r="H101" s="78" t="s">
        <v>310</v>
      </c>
      <c r="I101" s="48" t="s">
        <v>71</v>
      </c>
      <c r="J101" s="48" t="s">
        <v>71</v>
      </c>
      <c r="K101" s="78" t="s">
        <v>71</v>
      </c>
      <c r="L101" s="48" t="s">
        <v>71</v>
      </c>
      <c r="M101" s="48" t="s">
        <v>71</v>
      </c>
      <c r="N101" s="48" t="s">
        <v>71</v>
      </c>
      <c r="O101" s="48" t="s">
        <v>71</v>
      </c>
      <c r="P101" s="62" t="s">
        <v>71</v>
      </c>
      <c r="Q101" s="405">
        <v>45687</v>
      </c>
      <c r="R101" s="49"/>
      <c r="S101" s="66"/>
      <c r="T101" s="68"/>
      <c r="U101" s="100" t="s">
        <v>383</v>
      </c>
    </row>
    <row r="102" spans="1:21" ht="66.599999999999994" customHeight="1" x14ac:dyDescent="0.35">
      <c r="B102" s="122"/>
      <c r="C102" s="320" t="s">
        <v>283</v>
      </c>
      <c r="D102" s="93" t="s">
        <v>251</v>
      </c>
      <c r="E102" s="94">
        <f t="shared" si="1"/>
        <v>99</v>
      </c>
      <c r="F102" s="95"/>
      <c r="G102" s="96" t="s">
        <v>278</v>
      </c>
      <c r="H102" s="79" t="s">
        <v>310</v>
      </c>
      <c r="I102" s="50" t="s">
        <v>71</v>
      </c>
      <c r="J102" s="50" t="s">
        <v>71</v>
      </c>
      <c r="K102" s="79" t="s">
        <v>71</v>
      </c>
      <c r="L102" s="50" t="s">
        <v>71</v>
      </c>
      <c r="M102" s="50" t="s">
        <v>71</v>
      </c>
      <c r="N102" s="50" t="s">
        <v>71</v>
      </c>
      <c r="O102" s="50" t="s">
        <v>71</v>
      </c>
      <c r="P102" s="63" t="s">
        <v>71</v>
      </c>
      <c r="Q102" s="65"/>
      <c r="R102" s="51"/>
      <c r="S102" s="67"/>
      <c r="T102" s="69"/>
      <c r="U102" s="102" t="s">
        <v>265</v>
      </c>
    </row>
    <row r="103" spans="1:21" ht="45" customHeight="1" x14ac:dyDescent="0.35">
      <c r="B103" s="122"/>
      <c r="C103" s="320" t="s">
        <v>286</v>
      </c>
      <c r="D103" s="93" t="s">
        <v>251</v>
      </c>
      <c r="E103" s="94">
        <f t="shared" si="1"/>
        <v>100</v>
      </c>
      <c r="F103" s="95"/>
      <c r="G103" s="96" t="s">
        <v>287</v>
      </c>
      <c r="H103" s="79" t="s">
        <v>384</v>
      </c>
      <c r="I103" s="50" t="s">
        <v>350</v>
      </c>
      <c r="J103" s="50" t="s">
        <v>71</v>
      </c>
      <c r="K103" s="50" t="s">
        <v>71</v>
      </c>
      <c r="L103" s="50" t="s">
        <v>71</v>
      </c>
      <c r="M103" s="50" t="s">
        <v>71</v>
      </c>
      <c r="N103" s="321" t="s">
        <v>71</v>
      </c>
      <c r="O103" s="50" t="s">
        <v>71</v>
      </c>
      <c r="P103" s="63" t="s">
        <v>71</v>
      </c>
      <c r="Q103" s="65"/>
      <c r="R103" s="51"/>
      <c r="S103" s="67"/>
      <c r="T103" s="69"/>
      <c r="U103" s="102"/>
    </row>
    <row r="104" spans="1:21" ht="28.2" customHeight="1" x14ac:dyDescent="0.35">
      <c r="B104" s="125" t="s">
        <v>184</v>
      </c>
      <c r="C104" s="124" t="s">
        <v>288</v>
      </c>
      <c r="D104" s="88" t="s">
        <v>289</v>
      </c>
      <c r="E104" s="89">
        <f t="shared" si="1"/>
        <v>101</v>
      </c>
      <c r="F104" s="90"/>
      <c r="G104" s="91" t="s">
        <v>290</v>
      </c>
      <c r="H104" s="78" t="s">
        <v>310</v>
      </c>
      <c r="I104" s="48" t="s">
        <v>71</v>
      </c>
      <c r="J104" s="48" t="s">
        <v>71</v>
      </c>
      <c r="K104" s="48" t="s">
        <v>71</v>
      </c>
      <c r="L104" s="78" t="s">
        <v>310</v>
      </c>
      <c r="M104" s="78" t="s">
        <v>310</v>
      </c>
      <c r="N104" s="48" t="s">
        <v>71</v>
      </c>
      <c r="O104" s="48" t="s">
        <v>71</v>
      </c>
      <c r="P104" s="62" t="s">
        <v>71</v>
      </c>
      <c r="Q104" s="405">
        <v>45687</v>
      </c>
      <c r="R104" s="49"/>
      <c r="S104" s="66"/>
      <c r="T104" s="68"/>
      <c r="U104" s="100" t="s">
        <v>356</v>
      </c>
    </row>
    <row r="105" spans="1:21" ht="28.2" customHeight="1" x14ac:dyDescent="0.35">
      <c r="B105" s="125" t="s">
        <v>291</v>
      </c>
      <c r="C105" s="124" t="s">
        <v>292</v>
      </c>
      <c r="D105" s="230" t="s">
        <v>293</v>
      </c>
      <c r="E105" s="231">
        <f t="shared" si="1"/>
        <v>102</v>
      </c>
      <c r="F105" s="97" t="s">
        <v>294</v>
      </c>
      <c r="G105" s="91" t="s">
        <v>295</v>
      </c>
      <c r="H105" s="377" t="s">
        <v>71</v>
      </c>
      <c r="I105" s="339" t="s">
        <v>71</v>
      </c>
      <c r="J105" s="339" t="s">
        <v>71</v>
      </c>
      <c r="K105" s="378" t="s">
        <v>71</v>
      </c>
      <c r="L105" s="339" t="s">
        <v>71</v>
      </c>
      <c r="M105" s="339" t="s">
        <v>71</v>
      </c>
      <c r="N105" s="378" t="s">
        <v>71</v>
      </c>
      <c r="O105" s="78" t="s">
        <v>310</v>
      </c>
      <c r="P105" s="343" t="s">
        <v>71</v>
      </c>
      <c r="Q105" s="405">
        <v>45687</v>
      </c>
      <c r="R105" s="49"/>
      <c r="S105" s="66"/>
      <c r="T105" s="68"/>
      <c r="U105" s="341" t="s">
        <v>385</v>
      </c>
    </row>
    <row r="106" spans="1:21" ht="28.2" customHeight="1" thickBot="1" x14ac:dyDescent="0.4">
      <c r="B106" s="122"/>
      <c r="C106" s="124" t="s">
        <v>297</v>
      </c>
      <c r="D106" s="153" t="s">
        <v>293</v>
      </c>
      <c r="E106" s="154">
        <f t="shared" si="1"/>
        <v>103</v>
      </c>
      <c r="F106" s="155" t="s">
        <v>298</v>
      </c>
      <c r="G106" s="156" t="s">
        <v>299</v>
      </c>
      <c r="H106" s="80" t="s">
        <v>71</v>
      </c>
      <c r="I106" s="53" t="s">
        <v>71</v>
      </c>
      <c r="J106" s="53" t="s">
        <v>71</v>
      </c>
      <c r="K106" s="52" t="s">
        <v>71</v>
      </c>
      <c r="L106" s="53" t="s">
        <v>71</v>
      </c>
      <c r="M106" s="53" t="s">
        <v>71</v>
      </c>
      <c r="N106" s="52" t="s">
        <v>71</v>
      </c>
      <c r="O106" s="78" t="s">
        <v>310</v>
      </c>
      <c r="P106" s="72" t="s">
        <v>71</v>
      </c>
      <c r="Q106" s="405">
        <v>45687</v>
      </c>
      <c r="R106" s="49"/>
      <c r="S106" s="66"/>
      <c r="T106" s="68"/>
      <c r="U106" s="341" t="s">
        <v>386</v>
      </c>
    </row>
    <row r="107" spans="1:21" ht="18" customHeight="1" x14ac:dyDescent="0.35">
      <c r="B107" s="524" t="s">
        <v>300</v>
      </c>
      <c r="C107" s="509"/>
      <c r="D107" s="509">
        <f>SUM(H109:P109)</f>
        <v>129</v>
      </c>
      <c r="E107" s="157"/>
      <c r="F107" s="158"/>
      <c r="G107" s="248" t="s">
        <v>301</v>
      </c>
      <c r="H107" s="160">
        <f>COUNTIF(H4:H106,"●")+COUNTIF(H4:H106,"■")+COUNTIF(H4:H106,"OK")</f>
        <v>62</v>
      </c>
      <c r="I107" s="160">
        <f t="shared" ref="I107:P107" si="2">COUNTIF(I4:I106,"●")+COUNTIF(I4:I106,"■")+COUNTIF(I4:I106,"OK")</f>
        <v>0</v>
      </c>
      <c r="J107" s="160">
        <f t="shared" si="2"/>
        <v>0</v>
      </c>
      <c r="K107" s="160">
        <f t="shared" si="2"/>
        <v>27</v>
      </c>
      <c r="L107" s="160">
        <f t="shared" si="2"/>
        <v>21</v>
      </c>
      <c r="M107" s="160">
        <f t="shared" si="2"/>
        <v>15</v>
      </c>
      <c r="N107" s="160">
        <f t="shared" si="2"/>
        <v>0</v>
      </c>
      <c r="O107" s="160">
        <f t="shared" si="2"/>
        <v>4</v>
      </c>
      <c r="P107" s="160">
        <f t="shared" si="2"/>
        <v>0</v>
      </c>
      <c r="Q107" s="511" t="s">
        <v>302</v>
      </c>
      <c r="R107" s="511"/>
      <c r="S107" s="511"/>
      <c r="T107" s="161"/>
      <c r="U107" s="162"/>
    </row>
    <row r="108" spans="1:21" ht="18" customHeight="1" x14ac:dyDescent="0.35">
      <c r="B108" s="525"/>
      <c r="C108" s="510"/>
      <c r="D108" s="510"/>
      <c r="E108" s="55"/>
      <c r="F108" s="56"/>
      <c r="G108" s="249" t="s">
        <v>303</v>
      </c>
      <c r="H108" s="75">
        <f t="shared" ref="H108:P108" si="3">COUNTIF(H4:H106,"×")+COUNTIF(H4:H106,"NG")</f>
        <v>0</v>
      </c>
      <c r="I108" s="76">
        <f t="shared" si="3"/>
        <v>0</v>
      </c>
      <c r="J108" s="76">
        <f t="shared" si="3"/>
        <v>0</v>
      </c>
      <c r="K108" s="76">
        <f t="shared" si="3"/>
        <v>0</v>
      </c>
      <c r="L108" s="76">
        <f t="shared" si="3"/>
        <v>0</v>
      </c>
      <c r="M108" s="76">
        <f t="shared" si="3"/>
        <v>0</v>
      </c>
      <c r="N108" s="76">
        <f t="shared" si="3"/>
        <v>0</v>
      </c>
      <c r="O108" s="76">
        <f t="shared" si="3"/>
        <v>0</v>
      </c>
      <c r="P108" s="77">
        <f t="shared" si="3"/>
        <v>0</v>
      </c>
      <c r="Q108" s="512"/>
      <c r="R108" s="512"/>
      <c r="S108" s="512"/>
      <c r="T108" s="71"/>
      <c r="U108" s="105"/>
    </row>
    <row r="109" spans="1:21" ht="18" customHeight="1" x14ac:dyDescent="0.35">
      <c r="B109" s="526" t="s">
        <v>304</v>
      </c>
      <c r="C109" s="507"/>
      <c r="D109" s="507">
        <f>SUM(H110:P110)</f>
        <v>130</v>
      </c>
      <c r="E109" s="45"/>
      <c r="F109" s="46"/>
      <c r="G109" s="249" t="s">
        <v>305</v>
      </c>
      <c r="H109" s="75">
        <f t="shared" ref="H109:P109" si="4">H107+H108</f>
        <v>62</v>
      </c>
      <c r="I109" s="76">
        <f t="shared" si="4"/>
        <v>0</v>
      </c>
      <c r="J109" s="76">
        <f t="shared" si="4"/>
        <v>0</v>
      </c>
      <c r="K109" s="76">
        <f t="shared" si="4"/>
        <v>27</v>
      </c>
      <c r="L109" s="76">
        <f t="shared" si="4"/>
        <v>21</v>
      </c>
      <c r="M109" s="76">
        <f t="shared" si="4"/>
        <v>15</v>
      </c>
      <c r="N109" s="76">
        <f t="shared" si="4"/>
        <v>0</v>
      </c>
      <c r="O109" s="76">
        <f t="shared" si="4"/>
        <v>4</v>
      </c>
      <c r="P109" s="77">
        <f t="shared" si="4"/>
        <v>0</v>
      </c>
      <c r="Q109" s="513">
        <f>COUNTA(Q4:Q106)</f>
        <v>71</v>
      </c>
      <c r="R109" s="515">
        <f>COUNTA(R4:R106)</f>
        <v>0</v>
      </c>
      <c r="S109" s="517">
        <f>COUNTA(S4:S106)</f>
        <v>0</v>
      </c>
      <c r="T109" s="71"/>
      <c r="U109" s="105"/>
    </row>
    <row r="110" spans="1:21" ht="18" customHeight="1" thickBot="1" x14ac:dyDescent="0.4">
      <c r="A110" s="118"/>
      <c r="B110" s="527"/>
      <c r="C110" s="508"/>
      <c r="D110" s="508"/>
      <c r="E110" s="106"/>
      <c r="F110" s="107"/>
      <c r="G110" s="250" t="s">
        <v>306</v>
      </c>
      <c r="H110" s="109">
        <f t="shared" ref="H110:P110" si="5">COUNTBLANK(H4:H106)+H109+COUNTIF(H4:H106,"□")</f>
        <v>63</v>
      </c>
      <c r="I110" s="110">
        <f t="shared" si="5"/>
        <v>0</v>
      </c>
      <c r="J110" s="110">
        <f t="shared" si="5"/>
        <v>0</v>
      </c>
      <c r="K110" s="110">
        <f t="shared" si="5"/>
        <v>27</v>
      </c>
      <c r="L110" s="110">
        <f t="shared" si="5"/>
        <v>21</v>
      </c>
      <c r="M110" s="110">
        <f t="shared" si="5"/>
        <v>15</v>
      </c>
      <c r="N110" s="110">
        <f t="shared" si="5"/>
        <v>0</v>
      </c>
      <c r="O110" s="110">
        <f t="shared" si="5"/>
        <v>4</v>
      </c>
      <c r="P110" s="111">
        <f t="shared" si="5"/>
        <v>0</v>
      </c>
      <c r="Q110" s="514"/>
      <c r="R110" s="516"/>
      <c r="S110" s="518"/>
      <c r="T110" s="112"/>
      <c r="U110" s="113"/>
    </row>
    <row r="111" spans="1:21" ht="24" customHeight="1" x14ac:dyDescent="0.35"/>
    <row r="113" spans="2:3" x14ac:dyDescent="0.35">
      <c r="B113" s="60" t="s">
        <v>346</v>
      </c>
      <c r="C113" s="60">
        <f>SUM(D109+Win10対応_PS!D76)</f>
        <v>289</v>
      </c>
    </row>
    <row r="114" spans="2:3" x14ac:dyDescent="0.35">
      <c r="B114" s="60" t="s">
        <v>347</v>
      </c>
      <c r="C114" s="60">
        <v>391</v>
      </c>
    </row>
    <row r="115" spans="2:3" ht="39.6" x14ac:dyDescent="0.35">
      <c r="C115" s="60" t="s">
        <v>387</v>
      </c>
    </row>
  </sheetData>
  <autoFilter ref="A1:V111" xr:uid="{07C16B04-2154-4842-B488-4FE771601470}"/>
  <mergeCells count="16">
    <mergeCell ref="T2:T3"/>
    <mergeCell ref="U2:U3"/>
    <mergeCell ref="B107:C108"/>
    <mergeCell ref="D107:D108"/>
    <mergeCell ref="Q107:S108"/>
    <mergeCell ref="B2:B3"/>
    <mergeCell ref="C2:C3"/>
    <mergeCell ref="D2:D3"/>
    <mergeCell ref="E2:G2"/>
    <mergeCell ref="H2:P2"/>
    <mergeCell ref="Q2:S2"/>
    <mergeCell ref="B109:C110"/>
    <mergeCell ref="D109:D110"/>
    <mergeCell ref="Q109:Q110"/>
    <mergeCell ref="R109:R110"/>
    <mergeCell ref="S109:S110"/>
  </mergeCells>
  <phoneticPr fontId="23"/>
  <pageMargins left="0.25" right="0.25" top="0.75" bottom="0.75" header="0.3" footer="0.3"/>
  <pageSetup paperSize="8" scale="73" fitToHeight="0" orientation="landscape" r:id="rId1"/>
  <rowBreaks count="2" manualBreakCount="2">
    <brk id="64" max="26" man="1"/>
    <brk id="89" max="2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Y81"/>
  <sheetViews>
    <sheetView view="pageBreakPreview" zoomScale="80" zoomScaleNormal="40" zoomScaleSheetLayoutView="80" workbookViewId="0">
      <pane ySplit="3" topLeftCell="A66" activePane="bottomLeft" state="frozen"/>
      <selection pane="bottomLeft" activeCell="J15" sqref="J15"/>
    </sheetView>
  </sheetViews>
  <sheetFormatPr defaultColWidth="9" defaultRowHeight="13.2" x14ac:dyDescent="0.35"/>
  <cols>
    <col min="1" max="1" width="3" style="195" customWidth="1"/>
    <col min="2" max="2" width="5.33203125" style="195" customWidth="1"/>
    <col min="3" max="3" width="10.6640625" style="195" bestFit="1" customWidth="1"/>
    <col min="4" max="4" width="33.33203125" style="195" bestFit="1" customWidth="1"/>
    <col min="5" max="5" width="34.5546875" style="195" bestFit="1" customWidth="1"/>
    <col min="6" max="6" width="58.6640625" style="196" customWidth="1"/>
    <col min="7" max="20" width="6.5546875" style="195" customWidth="1"/>
    <col min="21" max="22" width="9" style="241" customWidth="1"/>
    <col min="23" max="23" width="9.88671875" style="241" customWidth="1"/>
    <col min="24" max="24" width="51.5546875" style="241" bestFit="1" customWidth="1"/>
    <col min="25" max="25" width="5.33203125" style="195" bestFit="1" customWidth="1"/>
    <col min="26" max="16384" width="9" style="195"/>
  </cols>
  <sheetData>
    <row r="1" spans="1:24" ht="20.399999999999999" thickBot="1" x14ac:dyDescent="0.4">
      <c r="B1" s="200" t="s">
        <v>388</v>
      </c>
      <c r="C1" s="199"/>
      <c r="D1" s="199"/>
      <c r="E1" s="199"/>
      <c r="F1" s="196" t="s">
        <v>389</v>
      </c>
      <c r="G1" s="197" t="s">
        <v>390</v>
      </c>
      <c r="H1" s="197"/>
      <c r="I1" s="197"/>
      <c r="J1" s="197"/>
      <c r="K1" s="197"/>
      <c r="L1" s="197"/>
      <c r="M1" s="197"/>
      <c r="N1" s="197"/>
      <c r="O1" s="197"/>
      <c r="P1" s="197"/>
      <c r="Q1" s="197"/>
      <c r="R1" s="197"/>
      <c r="S1" s="197"/>
      <c r="T1" s="197"/>
      <c r="U1" s="197"/>
      <c r="V1" s="198"/>
      <c r="W1" s="198"/>
      <c r="X1" s="201" t="s">
        <v>391</v>
      </c>
    </row>
    <row r="2" spans="1:24" s="193" customFormat="1" ht="30" customHeight="1" x14ac:dyDescent="0.35">
      <c r="A2" s="195"/>
      <c r="B2" s="552" t="s">
        <v>392</v>
      </c>
      <c r="C2" s="554" t="s">
        <v>393</v>
      </c>
      <c r="D2" s="554" t="s">
        <v>394</v>
      </c>
      <c r="E2" s="556" t="s">
        <v>395</v>
      </c>
      <c r="F2" s="548" t="s">
        <v>396</v>
      </c>
      <c r="G2" s="558" t="s">
        <v>397</v>
      </c>
      <c r="H2" s="559"/>
      <c r="I2" s="559"/>
      <c r="J2" s="559"/>
      <c r="K2" s="559"/>
      <c r="L2" s="559"/>
      <c r="M2" s="559"/>
      <c r="N2" s="559"/>
      <c r="O2" s="559"/>
      <c r="P2" s="559"/>
      <c r="Q2" s="559"/>
      <c r="R2" s="559"/>
      <c r="S2" s="559"/>
      <c r="T2" s="560"/>
      <c r="U2" s="537" t="s">
        <v>398</v>
      </c>
      <c r="V2" s="537" t="s">
        <v>399</v>
      </c>
      <c r="W2" s="537" t="s">
        <v>400</v>
      </c>
      <c r="X2" s="546" t="s">
        <v>401</v>
      </c>
    </row>
    <row r="3" spans="1:24" s="193" customFormat="1" ht="40.200000000000003" thickBot="1" x14ac:dyDescent="0.4">
      <c r="A3" s="195"/>
      <c r="B3" s="553"/>
      <c r="C3" s="555"/>
      <c r="D3" s="555"/>
      <c r="E3" s="557"/>
      <c r="F3" s="549"/>
      <c r="G3" s="202" t="s">
        <v>402</v>
      </c>
      <c r="H3" s="203" t="s">
        <v>403</v>
      </c>
      <c r="I3" s="203" t="s">
        <v>404</v>
      </c>
      <c r="J3" s="203" t="s">
        <v>405</v>
      </c>
      <c r="K3" s="204" t="s">
        <v>406</v>
      </c>
      <c r="L3" s="204" t="s">
        <v>407</v>
      </c>
      <c r="M3" s="204" t="s">
        <v>408</v>
      </c>
      <c r="N3" s="204" t="s">
        <v>409</v>
      </c>
      <c r="O3" s="204" t="s">
        <v>410</v>
      </c>
      <c r="P3" s="203" t="s">
        <v>411</v>
      </c>
      <c r="Q3" s="204" t="s">
        <v>412</v>
      </c>
      <c r="R3" s="203" t="s">
        <v>413</v>
      </c>
      <c r="S3" s="204" t="s">
        <v>414</v>
      </c>
      <c r="T3" s="205" t="s">
        <v>415</v>
      </c>
      <c r="U3" s="538"/>
      <c r="V3" s="538"/>
      <c r="W3" s="538"/>
      <c r="X3" s="547"/>
    </row>
    <row r="4" spans="1:24" s="193" customFormat="1" ht="40.200000000000003" customHeight="1" x14ac:dyDescent="0.35">
      <c r="A4" s="195"/>
      <c r="B4" s="225">
        <f>ROW()-3</f>
        <v>1</v>
      </c>
      <c r="C4" s="239" t="s">
        <v>66</v>
      </c>
      <c r="D4" s="206" t="s">
        <v>416</v>
      </c>
      <c r="E4" s="208" t="s">
        <v>417</v>
      </c>
      <c r="F4" s="223" t="s">
        <v>418</v>
      </c>
      <c r="G4" s="347"/>
      <c r="H4" s="348"/>
      <c r="I4" s="348"/>
      <c r="J4" s="348"/>
      <c r="K4" s="348"/>
      <c r="L4" s="348"/>
      <c r="M4" s="348"/>
      <c r="N4" s="348"/>
      <c r="O4" s="348"/>
      <c r="P4" s="348"/>
      <c r="Q4" s="348"/>
      <c r="R4" s="348"/>
      <c r="S4" s="348"/>
      <c r="T4" s="349" t="s">
        <v>419</v>
      </c>
      <c r="U4" s="212">
        <v>45695</v>
      </c>
      <c r="V4" s="216" t="s">
        <v>427</v>
      </c>
      <c r="W4" s="222" t="s">
        <v>428</v>
      </c>
      <c r="X4" s="217" t="s">
        <v>420</v>
      </c>
    </row>
    <row r="5" spans="1:24" s="193" customFormat="1" ht="40.200000000000003" customHeight="1" x14ac:dyDescent="0.35">
      <c r="A5" s="195"/>
      <c r="B5" s="226">
        <f t="shared" ref="B5:B62" si="0">ROW()-3</f>
        <v>2</v>
      </c>
      <c r="C5" s="206" t="s">
        <v>66</v>
      </c>
      <c r="D5" s="206" t="s">
        <v>416</v>
      </c>
      <c r="E5" s="209" t="s">
        <v>421</v>
      </c>
      <c r="F5" s="224" t="s">
        <v>422</v>
      </c>
      <c r="G5" s="350"/>
      <c r="H5" s="351"/>
      <c r="I5" s="351"/>
      <c r="J5" s="351"/>
      <c r="K5" s="351"/>
      <c r="L5" s="351"/>
      <c r="M5" s="351"/>
      <c r="N5" s="351"/>
      <c r="O5" s="351"/>
      <c r="P5" s="351"/>
      <c r="Q5" s="351"/>
      <c r="R5" s="351"/>
      <c r="S5" s="351"/>
      <c r="T5" s="352" t="s">
        <v>419</v>
      </c>
      <c r="U5" s="212">
        <v>45695</v>
      </c>
      <c r="V5" s="216" t="s">
        <v>427</v>
      </c>
      <c r="W5" s="222" t="s">
        <v>428</v>
      </c>
      <c r="X5" s="218" t="s">
        <v>420</v>
      </c>
    </row>
    <row r="6" spans="1:24" s="193" customFormat="1" ht="40.200000000000003" customHeight="1" x14ac:dyDescent="0.35">
      <c r="A6" s="195"/>
      <c r="B6" s="226">
        <f t="shared" si="0"/>
        <v>3</v>
      </c>
      <c r="C6" s="206" t="s">
        <v>66</v>
      </c>
      <c r="D6" s="206" t="s">
        <v>423</v>
      </c>
      <c r="E6" s="209" t="s">
        <v>424</v>
      </c>
      <c r="F6" s="224" t="s">
        <v>425</v>
      </c>
      <c r="G6" s="350"/>
      <c r="H6" s="351"/>
      <c r="I6" s="351"/>
      <c r="J6" s="351"/>
      <c r="K6" s="351"/>
      <c r="L6" s="351"/>
      <c r="M6" s="351"/>
      <c r="N6" s="351"/>
      <c r="O6" s="351"/>
      <c r="P6" s="351"/>
      <c r="Q6" s="351"/>
      <c r="R6" s="351"/>
      <c r="S6" s="351"/>
      <c r="T6" s="352" t="s">
        <v>426</v>
      </c>
      <c r="U6" s="212">
        <v>45686</v>
      </c>
      <c r="V6" s="216" t="s">
        <v>427</v>
      </c>
      <c r="W6" s="222" t="s">
        <v>428</v>
      </c>
      <c r="X6" s="218" t="s">
        <v>429</v>
      </c>
    </row>
    <row r="7" spans="1:24" s="193" customFormat="1" ht="40.200000000000003" customHeight="1" x14ac:dyDescent="0.35">
      <c r="A7" s="195"/>
      <c r="B7" s="226">
        <f t="shared" si="0"/>
        <v>4</v>
      </c>
      <c r="C7" s="206" t="s">
        <v>66</v>
      </c>
      <c r="D7" s="206" t="s">
        <v>423</v>
      </c>
      <c r="E7" s="209" t="s">
        <v>430</v>
      </c>
      <c r="F7" s="224" t="s">
        <v>431</v>
      </c>
      <c r="G7" s="350"/>
      <c r="H7" s="351"/>
      <c r="I7" s="351"/>
      <c r="J7" s="351"/>
      <c r="K7" s="351"/>
      <c r="L7" s="351"/>
      <c r="M7" s="351"/>
      <c r="N7" s="351"/>
      <c r="O7" s="351"/>
      <c r="P7" s="351"/>
      <c r="Q7" s="351"/>
      <c r="R7" s="351"/>
      <c r="S7" s="351"/>
      <c r="T7" s="352" t="s">
        <v>426</v>
      </c>
      <c r="U7" s="212">
        <v>45686</v>
      </c>
      <c r="V7" s="216" t="s">
        <v>427</v>
      </c>
      <c r="W7" s="222" t="s">
        <v>428</v>
      </c>
      <c r="X7" s="218" t="s">
        <v>429</v>
      </c>
    </row>
    <row r="8" spans="1:24" s="193" customFormat="1" ht="40.200000000000003" customHeight="1" x14ac:dyDescent="0.35">
      <c r="A8" s="195"/>
      <c r="B8" s="359">
        <f t="shared" si="0"/>
        <v>5</v>
      </c>
      <c r="C8" s="360" t="s">
        <v>66</v>
      </c>
      <c r="D8" s="360" t="s">
        <v>432</v>
      </c>
      <c r="E8" s="361" t="s">
        <v>433</v>
      </c>
      <c r="F8" s="362" t="s">
        <v>434</v>
      </c>
      <c r="G8" s="353"/>
      <c r="H8" s="354"/>
      <c r="I8" s="354"/>
      <c r="J8" s="354"/>
      <c r="K8" s="354"/>
      <c r="L8" s="354"/>
      <c r="M8" s="354"/>
      <c r="N8" s="354"/>
      <c r="O8" s="354"/>
      <c r="P8" s="354"/>
      <c r="Q8" s="354"/>
      <c r="R8" s="354"/>
      <c r="S8" s="354"/>
      <c r="T8" s="355"/>
      <c r="U8" s="363"/>
      <c r="V8" s="364"/>
      <c r="W8" s="365"/>
      <c r="X8" s="366"/>
    </row>
    <row r="9" spans="1:24" s="193" customFormat="1" ht="40.200000000000003" customHeight="1" x14ac:dyDescent="0.35">
      <c r="A9" s="195"/>
      <c r="B9" s="226">
        <f t="shared" si="0"/>
        <v>6</v>
      </c>
      <c r="C9" s="206" t="s">
        <v>435</v>
      </c>
      <c r="D9" s="206" t="s">
        <v>436</v>
      </c>
      <c r="E9" s="209"/>
      <c r="F9" s="224" t="s">
        <v>437</v>
      </c>
      <c r="G9" s="352" t="s">
        <v>426</v>
      </c>
      <c r="H9" s="351"/>
      <c r="I9" s="351"/>
      <c r="J9" s="351"/>
      <c r="K9" s="351"/>
      <c r="L9" s="351"/>
      <c r="M9" s="351"/>
      <c r="N9" s="351"/>
      <c r="O9" s="351"/>
      <c r="P9" s="351"/>
      <c r="Q9" s="351"/>
      <c r="R9" s="351"/>
      <c r="S9" s="351"/>
      <c r="T9" s="352"/>
      <c r="U9" s="212">
        <v>45686</v>
      </c>
      <c r="V9" s="216" t="s">
        <v>427</v>
      </c>
      <c r="W9" s="222" t="s">
        <v>428</v>
      </c>
      <c r="X9" s="219"/>
    </row>
    <row r="10" spans="1:24" s="193" customFormat="1" ht="40.200000000000003" customHeight="1" x14ac:dyDescent="0.35">
      <c r="A10" s="195"/>
      <c r="B10" s="226">
        <f t="shared" ref="B10:B69" si="1">ROW()-3</f>
        <v>7</v>
      </c>
      <c r="C10" s="206" t="s">
        <v>438</v>
      </c>
      <c r="D10" s="206" t="s">
        <v>439</v>
      </c>
      <c r="E10" s="209"/>
      <c r="F10" s="224" t="s">
        <v>440</v>
      </c>
      <c r="G10" s="352" t="s">
        <v>426</v>
      </c>
      <c r="H10" s="351"/>
      <c r="I10" s="351"/>
      <c r="J10" s="351"/>
      <c r="K10" s="351"/>
      <c r="L10" s="351"/>
      <c r="M10" s="351"/>
      <c r="N10" s="351"/>
      <c r="O10" s="351"/>
      <c r="P10" s="351"/>
      <c r="Q10" s="351"/>
      <c r="R10" s="351"/>
      <c r="S10" s="351"/>
      <c r="T10" s="352"/>
      <c r="U10" s="212">
        <v>45686</v>
      </c>
      <c r="V10" s="216" t="s">
        <v>427</v>
      </c>
      <c r="W10" s="222" t="s">
        <v>428</v>
      </c>
      <c r="X10" s="219"/>
    </row>
    <row r="11" spans="1:24" s="193" customFormat="1" ht="40.200000000000003" customHeight="1" x14ac:dyDescent="0.35">
      <c r="A11" s="195"/>
      <c r="B11" s="226">
        <f t="shared" si="0"/>
        <v>8</v>
      </c>
      <c r="C11" s="206" t="s">
        <v>441</v>
      </c>
      <c r="D11" s="206" t="s">
        <v>442</v>
      </c>
      <c r="E11" s="209" t="s">
        <v>443</v>
      </c>
      <c r="F11" s="224" t="s">
        <v>444</v>
      </c>
      <c r="G11" s="352" t="s">
        <v>426</v>
      </c>
      <c r="H11" s="351"/>
      <c r="I11" s="351"/>
      <c r="J11" s="351"/>
      <c r="K11" s="351"/>
      <c r="L11" s="351"/>
      <c r="M11" s="351"/>
      <c r="N11" s="351"/>
      <c r="O11" s="351"/>
      <c r="P11" s="351"/>
      <c r="Q11" s="351"/>
      <c r="R11" s="351"/>
      <c r="S11" s="351"/>
      <c r="T11" s="352"/>
      <c r="U11" s="212">
        <v>45686</v>
      </c>
      <c r="V11" s="216" t="s">
        <v>427</v>
      </c>
      <c r="W11" s="222" t="s">
        <v>428</v>
      </c>
      <c r="X11" s="219"/>
    </row>
    <row r="12" spans="1:24" s="193" customFormat="1" ht="51" customHeight="1" x14ac:dyDescent="0.35">
      <c r="A12" s="195"/>
      <c r="B12" s="226">
        <f t="shared" si="0"/>
        <v>9</v>
      </c>
      <c r="C12" s="206" t="s">
        <v>445</v>
      </c>
      <c r="D12" s="206" t="s">
        <v>446</v>
      </c>
      <c r="E12" s="209" t="s">
        <v>447</v>
      </c>
      <c r="F12" s="224" t="s">
        <v>448</v>
      </c>
      <c r="G12" s="352" t="s">
        <v>426</v>
      </c>
      <c r="H12" s="351"/>
      <c r="I12" s="351"/>
      <c r="J12" s="351"/>
      <c r="K12" s="351"/>
      <c r="L12" s="351"/>
      <c r="M12" s="351"/>
      <c r="N12" s="351"/>
      <c r="O12" s="351"/>
      <c r="P12" s="351"/>
      <c r="Q12" s="351"/>
      <c r="R12" s="351"/>
      <c r="S12" s="351"/>
      <c r="T12" s="352"/>
      <c r="U12" s="212">
        <v>45686</v>
      </c>
      <c r="V12" s="216" t="s">
        <v>427</v>
      </c>
      <c r="W12" s="222" t="s">
        <v>428</v>
      </c>
      <c r="X12" s="218" t="s">
        <v>449</v>
      </c>
    </row>
    <row r="13" spans="1:24" s="193" customFormat="1" ht="40.200000000000003" customHeight="1" x14ac:dyDescent="0.35">
      <c r="A13" s="195"/>
      <c r="B13" s="226">
        <f t="shared" si="0"/>
        <v>10</v>
      </c>
      <c r="C13" s="206" t="s">
        <v>445</v>
      </c>
      <c r="D13" s="206" t="s">
        <v>450</v>
      </c>
      <c r="E13" s="209" t="s">
        <v>451</v>
      </c>
      <c r="F13" s="224" t="s">
        <v>452</v>
      </c>
      <c r="G13" s="351" t="s">
        <v>453</v>
      </c>
      <c r="H13" s="351"/>
      <c r="I13" s="351"/>
      <c r="J13" s="351"/>
      <c r="K13" s="351"/>
      <c r="L13" s="351"/>
      <c r="M13" s="351"/>
      <c r="N13" s="351"/>
      <c r="O13" s="351"/>
      <c r="P13" s="351"/>
      <c r="Q13" s="351"/>
      <c r="R13" s="351"/>
      <c r="S13" s="351" t="s">
        <v>453</v>
      </c>
      <c r="T13" s="352"/>
      <c r="U13" s="212">
        <v>45686</v>
      </c>
      <c r="V13" s="216" t="s">
        <v>427</v>
      </c>
      <c r="W13" s="222" t="s">
        <v>428</v>
      </c>
      <c r="X13" s="218" t="s">
        <v>454</v>
      </c>
    </row>
    <row r="14" spans="1:24" s="193" customFormat="1" ht="60.6" customHeight="1" x14ac:dyDescent="0.35">
      <c r="A14" s="195"/>
      <c r="B14" s="226">
        <f t="shared" si="0"/>
        <v>11</v>
      </c>
      <c r="C14" s="206" t="s">
        <v>445</v>
      </c>
      <c r="D14" s="206" t="s">
        <v>455</v>
      </c>
      <c r="E14" s="209" t="s">
        <v>456</v>
      </c>
      <c r="F14" s="224" t="s">
        <v>457</v>
      </c>
      <c r="G14" s="352" t="s">
        <v>426</v>
      </c>
      <c r="H14" s="351"/>
      <c r="I14" s="351"/>
      <c r="J14" s="351"/>
      <c r="K14" s="351"/>
      <c r="L14" s="351"/>
      <c r="M14" s="351"/>
      <c r="N14" s="351"/>
      <c r="O14" s="351"/>
      <c r="P14" s="351"/>
      <c r="Q14" s="351"/>
      <c r="R14" s="351"/>
      <c r="S14" s="351"/>
      <c r="T14" s="352"/>
      <c r="U14" s="212">
        <v>45686</v>
      </c>
      <c r="V14" s="216" t="s">
        <v>427</v>
      </c>
      <c r="W14" s="222" t="s">
        <v>428</v>
      </c>
      <c r="X14" s="218" t="s">
        <v>458</v>
      </c>
    </row>
    <row r="15" spans="1:24" s="193" customFormat="1" ht="60.6" customHeight="1" x14ac:dyDescent="0.35">
      <c r="A15" s="195"/>
      <c r="B15" s="226">
        <f t="shared" si="0"/>
        <v>12</v>
      </c>
      <c r="C15" s="206" t="s">
        <v>445</v>
      </c>
      <c r="D15" s="206" t="s">
        <v>455</v>
      </c>
      <c r="E15" s="209" t="s">
        <v>459</v>
      </c>
      <c r="F15" s="224" t="s">
        <v>460</v>
      </c>
      <c r="G15" s="351" t="s">
        <v>453</v>
      </c>
      <c r="H15" s="351"/>
      <c r="I15" s="351"/>
      <c r="J15" s="351"/>
      <c r="K15" s="351"/>
      <c r="L15" s="351"/>
      <c r="M15" s="351"/>
      <c r="N15" s="351"/>
      <c r="O15" s="351"/>
      <c r="P15" s="351"/>
      <c r="Q15" s="351"/>
      <c r="R15" s="351"/>
      <c r="S15" s="351"/>
      <c r="T15" s="352"/>
      <c r="U15" s="212">
        <v>45687</v>
      </c>
      <c r="V15" s="216" t="s">
        <v>427</v>
      </c>
      <c r="W15" s="222" t="s">
        <v>428</v>
      </c>
      <c r="X15" s="219" t="s">
        <v>461</v>
      </c>
    </row>
    <row r="16" spans="1:24" s="193" customFormat="1" ht="58.2" customHeight="1" x14ac:dyDescent="0.35">
      <c r="A16" s="195"/>
      <c r="B16" s="226">
        <f t="shared" si="0"/>
        <v>13</v>
      </c>
      <c r="C16" s="206" t="s">
        <v>445</v>
      </c>
      <c r="D16" s="206" t="s">
        <v>455</v>
      </c>
      <c r="E16" s="209" t="s">
        <v>459</v>
      </c>
      <c r="F16" s="224" t="s">
        <v>462</v>
      </c>
      <c r="G16" s="351" t="s">
        <v>453</v>
      </c>
      <c r="H16" s="351"/>
      <c r="I16" s="351"/>
      <c r="J16" s="351"/>
      <c r="K16" s="351"/>
      <c r="L16" s="351"/>
      <c r="M16" s="351"/>
      <c r="N16" s="351"/>
      <c r="O16" s="351"/>
      <c r="P16" s="351"/>
      <c r="Q16" s="351"/>
      <c r="R16" s="351"/>
      <c r="S16" s="351"/>
      <c r="T16" s="352"/>
      <c r="U16" s="212">
        <v>45687</v>
      </c>
      <c r="V16" s="216" t="s">
        <v>427</v>
      </c>
      <c r="W16" s="222" t="s">
        <v>428</v>
      </c>
      <c r="X16" s="219" t="s">
        <v>463</v>
      </c>
    </row>
    <row r="17" spans="1:25" s="193" customFormat="1" ht="48.6" customHeight="1" x14ac:dyDescent="0.35">
      <c r="A17" s="195"/>
      <c r="B17" s="226">
        <f t="shared" si="0"/>
        <v>14</v>
      </c>
      <c r="C17" s="206" t="s">
        <v>445</v>
      </c>
      <c r="D17" s="206" t="s">
        <v>455</v>
      </c>
      <c r="E17" s="209" t="s">
        <v>464</v>
      </c>
      <c r="F17" s="224" t="s">
        <v>465</v>
      </c>
      <c r="G17" s="352" t="s">
        <v>426</v>
      </c>
      <c r="H17" s="351"/>
      <c r="I17" s="351"/>
      <c r="J17" s="351"/>
      <c r="K17" s="351"/>
      <c r="L17" s="351"/>
      <c r="M17" s="351"/>
      <c r="N17" s="351"/>
      <c r="O17" s="351"/>
      <c r="P17" s="351"/>
      <c r="Q17" s="351"/>
      <c r="R17" s="351"/>
      <c r="S17" s="351"/>
      <c r="T17" s="352"/>
      <c r="U17" s="212">
        <v>45686</v>
      </c>
      <c r="V17" s="216" t="s">
        <v>427</v>
      </c>
      <c r="W17" s="222" t="s">
        <v>428</v>
      </c>
      <c r="X17" s="218" t="s">
        <v>466</v>
      </c>
    </row>
    <row r="18" spans="1:25" s="193" customFormat="1" ht="61.95" customHeight="1" x14ac:dyDescent="0.35">
      <c r="A18" s="195"/>
      <c r="B18" s="226">
        <f t="shared" si="0"/>
        <v>15</v>
      </c>
      <c r="C18" s="206" t="s">
        <v>445</v>
      </c>
      <c r="D18" s="206" t="s">
        <v>455</v>
      </c>
      <c r="E18" s="209" t="s">
        <v>467</v>
      </c>
      <c r="F18" s="224" t="s">
        <v>468</v>
      </c>
      <c r="G18" s="352" t="s">
        <v>426</v>
      </c>
      <c r="H18" s="351"/>
      <c r="I18" s="351"/>
      <c r="J18" s="351"/>
      <c r="K18" s="351"/>
      <c r="L18" s="351"/>
      <c r="M18" s="351"/>
      <c r="N18" s="351"/>
      <c r="O18" s="351"/>
      <c r="P18" s="351"/>
      <c r="Q18" s="351"/>
      <c r="R18" s="351"/>
      <c r="S18" s="351"/>
      <c r="T18" s="352"/>
      <c r="U18" s="212">
        <v>45686</v>
      </c>
      <c r="V18" s="216" t="s">
        <v>427</v>
      </c>
      <c r="W18" s="222" t="s">
        <v>428</v>
      </c>
      <c r="X18" s="218" t="s">
        <v>469</v>
      </c>
    </row>
    <row r="19" spans="1:25" s="193" customFormat="1" ht="52.95" customHeight="1" x14ac:dyDescent="0.35">
      <c r="A19" s="195"/>
      <c r="B19" s="226">
        <f t="shared" si="0"/>
        <v>16</v>
      </c>
      <c r="C19" s="206" t="s">
        <v>445</v>
      </c>
      <c r="D19" s="206" t="s">
        <v>446</v>
      </c>
      <c r="E19" s="209" t="s">
        <v>470</v>
      </c>
      <c r="F19" s="224" t="s">
        <v>471</v>
      </c>
      <c r="G19" s="352" t="s">
        <v>426</v>
      </c>
      <c r="H19" s="351"/>
      <c r="I19" s="351"/>
      <c r="J19" s="351"/>
      <c r="K19" s="351"/>
      <c r="L19" s="351"/>
      <c r="M19" s="351"/>
      <c r="N19" s="351"/>
      <c r="O19" s="351"/>
      <c r="P19" s="351"/>
      <c r="Q19" s="351"/>
      <c r="R19" s="351"/>
      <c r="S19" s="351"/>
      <c r="T19" s="352"/>
      <c r="U19" s="212">
        <v>45686</v>
      </c>
      <c r="V19" s="216" t="s">
        <v>427</v>
      </c>
      <c r="W19" s="222" t="s">
        <v>428</v>
      </c>
      <c r="X19" s="218" t="s">
        <v>472</v>
      </c>
    </row>
    <row r="20" spans="1:25" s="193" customFormat="1" ht="49.2" customHeight="1" x14ac:dyDescent="0.35">
      <c r="A20" s="195"/>
      <c r="B20" s="226">
        <f t="shared" si="0"/>
        <v>17</v>
      </c>
      <c r="C20" s="206" t="s">
        <v>445</v>
      </c>
      <c r="D20" s="206" t="s">
        <v>446</v>
      </c>
      <c r="E20" s="209" t="s">
        <v>473</v>
      </c>
      <c r="F20" s="224" t="s">
        <v>474</v>
      </c>
      <c r="G20" s="352" t="s">
        <v>426</v>
      </c>
      <c r="H20" s="351"/>
      <c r="I20" s="351"/>
      <c r="J20" s="351"/>
      <c r="K20" s="351"/>
      <c r="L20" s="351"/>
      <c r="M20" s="351"/>
      <c r="N20" s="351"/>
      <c r="O20" s="351"/>
      <c r="P20" s="351"/>
      <c r="Q20" s="351"/>
      <c r="R20" s="351"/>
      <c r="S20" s="351"/>
      <c r="T20" s="352"/>
      <c r="U20" s="212">
        <v>45687</v>
      </c>
      <c r="V20" s="216" t="s">
        <v>427</v>
      </c>
      <c r="W20" s="222" t="s">
        <v>428</v>
      </c>
      <c r="X20" s="218"/>
    </row>
    <row r="21" spans="1:25" s="193" customFormat="1" ht="44.4" customHeight="1" x14ac:dyDescent="0.35">
      <c r="A21" s="195"/>
      <c r="B21" s="226">
        <f t="shared" si="0"/>
        <v>18</v>
      </c>
      <c r="C21" s="206" t="s">
        <v>445</v>
      </c>
      <c r="D21" s="206" t="s">
        <v>446</v>
      </c>
      <c r="E21" s="210" t="s">
        <v>475</v>
      </c>
      <c r="F21" s="224" t="s">
        <v>476</v>
      </c>
      <c r="G21" s="352" t="s">
        <v>426</v>
      </c>
      <c r="H21" s="351"/>
      <c r="I21" s="351"/>
      <c r="J21" s="351"/>
      <c r="K21" s="351"/>
      <c r="L21" s="351"/>
      <c r="M21" s="351"/>
      <c r="N21" s="351"/>
      <c r="O21" s="351"/>
      <c r="P21" s="351"/>
      <c r="Q21" s="351"/>
      <c r="R21" s="351"/>
      <c r="S21" s="351"/>
      <c r="T21" s="352"/>
      <c r="U21" s="212">
        <v>45687</v>
      </c>
      <c r="V21" s="216" t="s">
        <v>427</v>
      </c>
      <c r="W21" s="222" t="s">
        <v>428</v>
      </c>
      <c r="X21" s="220"/>
    </row>
    <row r="22" spans="1:25" s="193" customFormat="1" ht="43.95" customHeight="1" x14ac:dyDescent="0.35">
      <c r="A22" s="195"/>
      <c r="B22" s="226">
        <f t="shared" si="0"/>
        <v>19</v>
      </c>
      <c r="C22" s="206" t="s">
        <v>445</v>
      </c>
      <c r="D22" s="206" t="s">
        <v>446</v>
      </c>
      <c r="E22" s="209" t="s">
        <v>477</v>
      </c>
      <c r="F22" s="224" t="s">
        <v>478</v>
      </c>
      <c r="G22" s="352" t="s">
        <v>426</v>
      </c>
      <c r="H22" s="351"/>
      <c r="I22" s="351"/>
      <c r="J22" s="351"/>
      <c r="K22" s="351"/>
      <c r="L22" s="351"/>
      <c r="M22" s="351"/>
      <c r="N22" s="351"/>
      <c r="O22" s="351"/>
      <c r="P22" s="351"/>
      <c r="Q22" s="351"/>
      <c r="R22" s="351"/>
      <c r="S22" s="351"/>
      <c r="T22" s="352"/>
      <c r="U22" s="212">
        <v>45687</v>
      </c>
      <c r="V22" s="216" t="s">
        <v>427</v>
      </c>
      <c r="W22" s="222" t="s">
        <v>428</v>
      </c>
      <c r="X22" s="219"/>
    </row>
    <row r="23" spans="1:25" s="193" customFormat="1" ht="45" customHeight="1" x14ac:dyDescent="0.35">
      <c r="A23" s="195"/>
      <c r="B23" s="226">
        <f t="shared" si="0"/>
        <v>20</v>
      </c>
      <c r="C23" s="206" t="s">
        <v>445</v>
      </c>
      <c r="D23" s="206" t="s">
        <v>446</v>
      </c>
      <c r="E23" s="209" t="s">
        <v>479</v>
      </c>
      <c r="F23" s="224" t="s">
        <v>480</v>
      </c>
      <c r="G23" s="352" t="s">
        <v>426</v>
      </c>
      <c r="H23" s="351"/>
      <c r="I23" s="351"/>
      <c r="J23" s="351"/>
      <c r="K23" s="351"/>
      <c r="L23" s="351"/>
      <c r="M23" s="351"/>
      <c r="N23" s="351"/>
      <c r="O23" s="351"/>
      <c r="P23" s="351"/>
      <c r="Q23" s="351"/>
      <c r="R23" s="351"/>
      <c r="S23" s="351"/>
      <c r="T23" s="352"/>
      <c r="U23" s="212">
        <v>45687</v>
      </c>
      <c r="V23" s="216" t="s">
        <v>427</v>
      </c>
      <c r="W23" s="222" t="s">
        <v>428</v>
      </c>
      <c r="X23" s="219"/>
    </row>
    <row r="24" spans="1:25" s="193" customFormat="1" ht="45" customHeight="1" x14ac:dyDescent="0.35">
      <c r="A24" s="195"/>
      <c r="B24" s="226">
        <f t="shared" si="0"/>
        <v>21</v>
      </c>
      <c r="C24" s="206" t="s">
        <v>445</v>
      </c>
      <c r="D24" s="206" t="s">
        <v>446</v>
      </c>
      <c r="E24" s="209" t="s">
        <v>481</v>
      </c>
      <c r="F24" s="224" t="s">
        <v>482</v>
      </c>
      <c r="G24" s="352" t="s">
        <v>426</v>
      </c>
      <c r="H24" s="351"/>
      <c r="I24" s="351"/>
      <c r="J24" s="351"/>
      <c r="K24" s="351"/>
      <c r="L24" s="351"/>
      <c r="M24" s="351"/>
      <c r="N24" s="351"/>
      <c r="O24" s="351"/>
      <c r="P24" s="351"/>
      <c r="Q24" s="351"/>
      <c r="R24" s="351"/>
      <c r="S24" s="351"/>
      <c r="T24" s="352"/>
      <c r="U24" s="212">
        <v>45687</v>
      </c>
      <c r="V24" s="216" t="s">
        <v>427</v>
      </c>
      <c r="W24" s="222" t="s">
        <v>428</v>
      </c>
      <c r="X24" s="219"/>
    </row>
    <row r="25" spans="1:25" s="193" customFormat="1" ht="37.950000000000003" customHeight="1" x14ac:dyDescent="0.35">
      <c r="A25" s="195"/>
      <c r="B25" s="226">
        <f t="shared" si="0"/>
        <v>22</v>
      </c>
      <c r="C25" s="206" t="s">
        <v>445</v>
      </c>
      <c r="D25" s="206" t="s">
        <v>483</v>
      </c>
      <c r="E25" s="209" t="s">
        <v>484</v>
      </c>
      <c r="F25" s="224" t="s">
        <v>485</v>
      </c>
      <c r="G25" s="350"/>
      <c r="H25" s="351"/>
      <c r="I25" s="351"/>
      <c r="J25" s="351"/>
      <c r="K25" s="351"/>
      <c r="L25" s="351"/>
      <c r="M25" s="351"/>
      <c r="N25" s="351" t="s">
        <v>486</v>
      </c>
      <c r="O25" s="351"/>
      <c r="P25" s="351"/>
      <c r="Q25" s="351"/>
      <c r="R25" s="351"/>
      <c r="S25" s="351"/>
      <c r="T25" s="352"/>
      <c r="U25" s="212">
        <v>45687</v>
      </c>
      <c r="V25" s="216" t="s">
        <v>427</v>
      </c>
      <c r="W25" s="222" t="s">
        <v>428</v>
      </c>
      <c r="X25" s="219"/>
      <c r="Y25" s="194"/>
    </row>
    <row r="26" spans="1:25" s="193" customFormat="1" ht="50.4" customHeight="1" x14ac:dyDescent="0.35">
      <c r="A26" s="195"/>
      <c r="B26" s="226">
        <f t="shared" si="0"/>
        <v>23</v>
      </c>
      <c r="C26" s="206" t="s">
        <v>445</v>
      </c>
      <c r="D26" s="206" t="s">
        <v>487</v>
      </c>
      <c r="E26" s="209" t="s">
        <v>488</v>
      </c>
      <c r="F26" s="224" t="s">
        <v>485</v>
      </c>
      <c r="G26" s="350"/>
      <c r="H26" s="351"/>
      <c r="I26" s="351"/>
      <c r="J26" s="351"/>
      <c r="K26" s="351"/>
      <c r="L26" s="351"/>
      <c r="M26" s="351"/>
      <c r="N26" s="351" t="s">
        <v>486</v>
      </c>
      <c r="O26" s="351"/>
      <c r="P26" s="351"/>
      <c r="Q26" s="351"/>
      <c r="R26" s="351"/>
      <c r="S26" s="351"/>
      <c r="T26" s="352"/>
      <c r="U26" s="212">
        <v>45687</v>
      </c>
      <c r="V26" s="216" t="s">
        <v>427</v>
      </c>
      <c r="W26" s="222" t="s">
        <v>428</v>
      </c>
      <c r="X26" s="219"/>
      <c r="Y26" s="194"/>
    </row>
    <row r="27" spans="1:25" s="193" customFormat="1" ht="50.4" customHeight="1" x14ac:dyDescent="0.35">
      <c r="A27" s="195"/>
      <c r="B27" s="226">
        <f t="shared" si="0"/>
        <v>24</v>
      </c>
      <c r="C27" s="206" t="s">
        <v>445</v>
      </c>
      <c r="D27" s="206" t="s">
        <v>487</v>
      </c>
      <c r="E27" s="209" t="s">
        <v>489</v>
      </c>
      <c r="F27" s="224" t="s">
        <v>485</v>
      </c>
      <c r="G27" s="350"/>
      <c r="H27" s="351"/>
      <c r="I27" s="351"/>
      <c r="J27" s="351"/>
      <c r="K27" s="351"/>
      <c r="L27" s="351"/>
      <c r="M27" s="351"/>
      <c r="N27" s="351" t="s">
        <v>486</v>
      </c>
      <c r="O27" s="351"/>
      <c r="P27" s="351"/>
      <c r="Q27" s="351"/>
      <c r="R27" s="351"/>
      <c r="S27" s="351"/>
      <c r="T27" s="352"/>
      <c r="U27" s="212">
        <v>45687</v>
      </c>
      <c r="V27" s="216" t="s">
        <v>427</v>
      </c>
      <c r="W27" s="222" t="s">
        <v>428</v>
      </c>
      <c r="X27" s="219"/>
      <c r="Y27" s="194"/>
    </row>
    <row r="28" spans="1:25" s="193" customFormat="1" ht="50.4" customHeight="1" x14ac:dyDescent="0.35">
      <c r="A28" s="195"/>
      <c r="B28" s="226">
        <f t="shared" si="0"/>
        <v>25</v>
      </c>
      <c r="C28" s="206" t="s">
        <v>445</v>
      </c>
      <c r="D28" s="206" t="s">
        <v>487</v>
      </c>
      <c r="E28" s="209" t="s">
        <v>490</v>
      </c>
      <c r="F28" s="224" t="s">
        <v>485</v>
      </c>
      <c r="G28" s="350"/>
      <c r="H28" s="351"/>
      <c r="I28" s="351"/>
      <c r="J28" s="351"/>
      <c r="K28" s="351"/>
      <c r="L28" s="351"/>
      <c r="M28" s="351"/>
      <c r="N28" s="351" t="s">
        <v>486</v>
      </c>
      <c r="O28" s="351"/>
      <c r="P28" s="351"/>
      <c r="Q28" s="351"/>
      <c r="R28" s="351"/>
      <c r="S28" s="351"/>
      <c r="T28" s="352"/>
      <c r="U28" s="212">
        <v>45687</v>
      </c>
      <c r="V28" s="216" t="s">
        <v>427</v>
      </c>
      <c r="W28" s="222" t="s">
        <v>428</v>
      </c>
      <c r="X28" s="219"/>
      <c r="Y28" s="194"/>
    </row>
    <row r="29" spans="1:25" s="193" customFormat="1" ht="50.4" customHeight="1" x14ac:dyDescent="0.35">
      <c r="A29" s="195"/>
      <c r="B29" s="226">
        <f t="shared" si="0"/>
        <v>26</v>
      </c>
      <c r="C29" s="206" t="s">
        <v>445</v>
      </c>
      <c r="D29" s="206" t="s">
        <v>487</v>
      </c>
      <c r="E29" s="209" t="s">
        <v>491</v>
      </c>
      <c r="F29" s="224" t="s">
        <v>485</v>
      </c>
      <c r="G29" s="350"/>
      <c r="H29" s="351"/>
      <c r="I29" s="351"/>
      <c r="J29" s="351"/>
      <c r="K29" s="351"/>
      <c r="L29" s="351"/>
      <c r="M29" s="351"/>
      <c r="N29" s="351" t="s">
        <v>486</v>
      </c>
      <c r="O29" s="351"/>
      <c r="P29" s="351"/>
      <c r="Q29" s="351"/>
      <c r="R29" s="351"/>
      <c r="S29" s="351"/>
      <c r="T29" s="352"/>
      <c r="U29" s="212">
        <v>45687</v>
      </c>
      <c r="V29" s="216" t="s">
        <v>427</v>
      </c>
      <c r="W29" s="222" t="s">
        <v>428</v>
      </c>
      <c r="X29" s="219"/>
      <c r="Y29" s="194"/>
    </row>
    <row r="30" spans="1:25" s="193" customFormat="1" ht="37.950000000000003" customHeight="1" x14ac:dyDescent="0.35">
      <c r="A30" s="195"/>
      <c r="B30" s="226">
        <f t="shared" si="0"/>
        <v>27</v>
      </c>
      <c r="C30" s="206" t="s">
        <v>445</v>
      </c>
      <c r="D30" s="206" t="s">
        <v>487</v>
      </c>
      <c r="E30" s="209" t="s">
        <v>492</v>
      </c>
      <c r="F30" s="224" t="s">
        <v>485</v>
      </c>
      <c r="G30" s="350"/>
      <c r="H30" s="351"/>
      <c r="I30" s="351"/>
      <c r="J30" s="351"/>
      <c r="K30" s="351"/>
      <c r="L30" s="351"/>
      <c r="M30" s="351"/>
      <c r="N30" s="351" t="s">
        <v>486</v>
      </c>
      <c r="O30" s="351"/>
      <c r="P30" s="351"/>
      <c r="Q30" s="351"/>
      <c r="R30" s="351"/>
      <c r="S30" s="351"/>
      <c r="T30" s="352"/>
      <c r="U30" s="212">
        <v>45687</v>
      </c>
      <c r="V30" s="216" t="s">
        <v>427</v>
      </c>
      <c r="W30" s="222" t="s">
        <v>428</v>
      </c>
      <c r="X30" s="219"/>
      <c r="Y30" s="194"/>
    </row>
    <row r="31" spans="1:25" s="193" customFormat="1" ht="37.950000000000003" customHeight="1" x14ac:dyDescent="0.35">
      <c r="A31" s="195"/>
      <c r="B31" s="226">
        <f t="shared" si="0"/>
        <v>28</v>
      </c>
      <c r="C31" s="206" t="s">
        <v>445</v>
      </c>
      <c r="D31" s="206" t="s">
        <v>493</v>
      </c>
      <c r="E31" s="209" t="s">
        <v>494</v>
      </c>
      <c r="F31" s="224" t="s">
        <v>495</v>
      </c>
      <c r="G31" s="350"/>
      <c r="H31" s="351"/>
      <c r="I31" s="351"/>
      <c r="J31" s="351"/>
      <c r="K31" s="351"/>
      <c r="L31" s="351"/>
      <c r="M31" s="351"/>
      <c r="N31" s="351" t="s">
        <v>486</v>
      </c>
      <c r="O31" s="351"/>
      <c r="P31" s="351"/>
      <c r="Q31" s="351"/>
      <c r="R31" s="351"/>
      <c r="S31" s="351"/>
      <c r="T31" s="352"/>
      <c r="U31" s="212">
        <v>45687</v>
      </c>
      <c r="V31" s="216" t="s">
        <v>427</v>
      </c>
      <c r="W31" s="222" t="s">
        <v>428</v>
      </c>
      <c r="X31" s="219"/>
    </row>
    <row r="32" spans="1:25" s="193" customFormat="1" ht="37.950000000000003" customHeight="1" x14ac:dyDescent="0.35">
      <c r="A32" s="195"/>
      <c r="B32" s="226">
        <f t="shared" si="0"/>
        <v>29</v>
      </c>
      <c r="C32" s="206" t="s">
        <v>445</v>
      </c>
      <c r="D32" s="206" t="s">
        <v>487</v>
      </c>
      <c r="E32" s="209" t="s">
        <v>496</v>
      </c>
      <c r="F32" s="224" t="s">
        <v>495</v>
      </c>
      <c r="G32" s="350"/>
      <c r="H32" s="351"/>
      <c r="I32" s="351"/>
      <c r="J32" s="351"/>
      <c r="K32" s="351"/>
      <c r="L32" s="351"/>
      <c r="M32" s="351"/>
      <c r="N32" s="351" t="s">
        <v>486</v>
      </c>
      <c r="O32" s="351"/>
      <c r="P32" s="351"/>
      <c r="Q32" s="351"/>
      <c r="R32" s="351"/>
      <c r="S32" s="351"/>
      <c r="T32" s="352"/>
      <c r="U32" s="212">
        <v>45687</v>
      </c>
      <c r="V32" s="216" t="s">
        <v>427</v>
      </c>
      <c r="W32" s="222" t="s">
        <v>428</v>
      </c>
      <c r="X32" s="219"/>
    </row>
    <row r="33" spans="1:25" s="193" customFormat="1" ht="37.950000000000003" customHeight="1" x14ac:dyDescent="0.35">
      <c r="A33" s="195"/>
      <c r="B33" s="226">
        <f t="shared" si="0"/>
        <v>30</v>
      </c>
      <c r="C33" s="206" t="s">
        <v>445</v>
      </c>
      <c r="D33" s="206" t="s">
        <v>487</v>
      </c>
      <c r="E33" s="209" t="s">
        <v>497</v>
      </c>
      <c r="F33" s="224" t="s">
        <v>495</v>
      </c>
      <c r="G33" s="350"/>
      <c r="H33" s="351"/>
      <c r="I33" s="351"/>
      <c r="J33" s="351"/>
      <c r="K33" s="351"/>
      <c r="L33" s="351"/>
      <c r="M33" s="351"/>
      <c r="N33" s="351" t="s">
        <v>486</v>
      </c>
      <c r="O33" s="351"/>
      <c r="P33" s="351"/>
      <c r="Q33" s="351"/>
      <c r="R33" s="351"/>
      <c r="S33" s="351"/>
      <c r="T33" s="352"/>
      <c r="U33" s="212">
        <v>45687</v>
      </c>
      <c r="V33" s="216" t="s">
        <v>427</v>
      </c>
      <c r="W33" s="222" t="s">
        <v>428</v>
      </c>
      <c r="X33" s="219"/>
    </row>
    <row r="34" spans="1:25" s="193" customFormat="1" ht="37.950000000000003" customHeight="1" x14ac:dyDescent="0.35">
      <c r="A34" s="195"/>
      <c r="B34" s="226">
        <f t="shared" si="0"/>
        <v>31</v>
      </c>
      <c r="C34" s="206" t="s">
        <v>445</v>
      </c>
      <c r="D34" s="206" t="s">
        <v>487</v>
      </c>
      <c r="E34" s="209" t="s">
        <v>498</v>
      </c>
      <c r="F34" s="224" t="s">
        <v>495</v>
      </c>
      <c r="G34" s="350"/>
      <c r="H34" s="351"/>
      <c r="I34" s="351"/>
      <c r="J34" s="351"/>
      <c r="K34" s="351"/>
      <c r="L34" s="351"/>
      <c r="M34" s="351"/>
      <c r="N34" s="351" t="s">
        <v>486</v>
      </c>
      <c r="O34" s="351"/>
      <c r="P34" s="351"/>
      <c r="Q34" s="351"/>
      <c r="R34" s="351"/>
      <c r="S34" s="351"/>
      <c r="T34" s="352"/>
      <c r="U34" s="212">
        <v>45687</v>
      </c>
      <c r="V34" s="216" t="s">
        <v>427</v>
      </c>
      <c r="W34" s="222" t="s">
        <v>428</v>
      </c>
      <c r="X34" s="218" t="s">
        <v>499</v>
      </c>
    </row>
    <row r="35" spans="1:25" s="193" customFormat="1" ht="42.6" customHeight="1" x14ac:dyDescent="0.35">
      <c r="A35" s="195"/>
      <c r="B35" s="226">
        <f t="shared" si="0"/>
        <v>32</v>
      </c>
      <c r="C35" s="206" t="s">
        <v>445</v>
      </c>
      <c r="D35" s="206" t="s">
        <v>487</v>
      </c>
      <c r="E35" s="209" t="s">
        <v>500</v>
      </c>
      <c r="F35" s="224" t="s">
        <v>495</v>
      </c>
      <c r="G35" s="350"/>
      <c r="H35" s="351"/>
      <c r="I35" s="351"/>
      <c r="J35" s="351"/>
      <c r="K35" s="351"/>
      <c r="L35" s="351"/>
      <c r="M35" s="351"/>
      <c r="N35" s="351" t="s">
        <v>486</v>
      </c>
      <c r="O35" s="351"/>
      <c r="P35" s="351"/>
      <c r="Q35" s="351"/>
      <c r="R35" s="351"/>
      <c r="S35" s="351"/>
      <c r="T35" s="352"/>
      <c r="U35" s="212">
        <v>45687</v>
      </c>
      <c r="V35" s="216" t="s">
        <v>427</v>
      </c>
      <c r="W35" s="222" t="s">
        <v>428</v>
      </c>
      <c r="X35" s="219"/>
    </row>
    <row r="36" spans="1:25" s="193" customFormat="1" ht="45.6" customHeight="1" x14ac:dyDescent="0.35">
      <c r="A36" s="195"/>
      <c r="B36" s="226">
        <f t="shared" si="0"/>
        <v>33</v>
      </c>
      <c r="C36" s="206" t="s">
        <v>445</v>
      </c>
      <c r="D36" s="206" t="s">
        <v>487</v>
      </c>
      <c r="E36" s="209" t="s">
        <v>501</v>
      </c>
      <c r="F36" s="224" t="s">
        <v>485</v>
      </c>
      <c r="G36" s="350"/>
      <c r="H36" s="351"/>
      <c r="I36" s="351"/>
      <c r="J36" s="351"/>
      <c r="K36" s="351"/>
      <c r="L36" s="351"/>
      <c r="M36" s="351"/>
      <c r="N36" s="351" t="s">
        <v>486</v>
      </c>
      <c r="O36" s="351"/>
      <c r="P36" s="351"/>
      <c r="Q36" s="351"/>
      <c r="R36" s="351"/>
      <c r="S36" s="351"/>
      <c r="T36" s="352"/>
      <c r="U36" s="212">
        <v>45687</v>
      </c>
      <c r="V36" s="216" t="s">
        <v>427</v>
      </c>
      <c r="W36" s="222" t="s">
        <v>428</v>
      </c>
      <c r="X36" s="219"/>
    </row>
    <row r="37" spans="1:25" s="193" customFormat="1" ht="45.6" customHeight="1" x14ac:dyDescent="0.35">
      <c r="A37" s="195"/>
      <c r="B37" s="226">
        <f t="shared" si="0"/>
        <v>34</v>
      </c>
      <c r="C37" s="206" t="s">
        <v>445</v>
      </c>
      <c r="D37" s="206" t="s">
        <v>487</v>
      </c>
      <c r="E37" s="209" t="s">
        <v>502</v>
      </c>
      <c r="F37" s="224" t="s">
        <v>485</v>
      </c>
      <c r="G37" s="350"/>
      <c r="H37" s="351"/>
      <c r="I37" s="351"/>
      <c r="J37" s="351"/>
      <c r="K37" s="351"/>
      <c r="L37" s="351"/>
      <c r="M37" s="351"/>
      <c r="N37" s="351" t="s">
        <v>486</v>
      </c>
      <c r="O37" s="351"/>
      <c r="P37" s="351"/>
      <c r="Q37" s="351"/>
      <c r="R37" s="351"/>
      <c r="S37" s="351"/>
      <c r="T37" s="352"/>
      <c r="U37" s="212">
        <v>45687</v>
      </c>
      <c r="V37" s="216" t="s">
        <v>427</v>
      </c>
      <c r="W37" s="222" t="s">
        <v>428</v>
      </c>
      <c r="X37" s="219"/>
    </row>
    <row r="38" spans="1:25" s="193" customFormat="1" ht="46.2" customHeight="1" x14ac:dyDescent="0.35">
      <c r="A38" s="195"/>
      <c r="B38" s="226">
        <f t="shared" si="0"/>
        <v>35</v>
      </c>
      <c r="C38" s="206" t="s">
        <v>445</v>
      </c>
      <c r="D38" s="206" t="s">
        <v>487</v>
      </c>
      <c r="E38" s="209" t="s">
        <v>503</v>
      </c>
      <c r="F38" s="224" t="s">
        <v>485</v>
      </c>
      <c r="G38" s="350"/>
      <c r="H38" s="351"/>
      <c r="I38" s="351"/>
      <c r="J38" s="351"/>
      <c r="K38" s="351"/>
      <c r="L38" s="351"/>
      <c r="M38" s="351"/>
      <c r="N38" s="351" t="s">
        <v>486</v>
      </c>
      <c r="O38" s="351"/>
      <c r="P38" s="351"/>
      <c r="Q38" s="351"/>
      <c r="R38" s="351"/>
      <c r="S38" s="351"/>
      <c r="T38" s="352"/>
      <c r="U38" s="212">
        <v>45687</v>
      </c>
      <c r="V38" s="216" t="s">
        <v>427</v>
      </c>
      <c r="W38" s="222" t="s">
        <v>428</v>
      </c>
      <c r="X38" s="219"/>
    </row>
    <row r="39" spans="1:25" s="193" customFormat="1" ht="46.2" customHeight="1" x14ac:dyDescent="0.35">
      <c r="A39" s="195"/>
      <c r="B39" s="226">
        <f t="shared" si="0"/>
        <v>36</v>
      </c>
      <c r="C39" s="206" t="s">
        <v>445</v>
      </c>
      <c r="D39" s="207" t="s">
        <v>504</v>
      </c>
      <c r="E39" s="211" t="s">
        <v>505</v>
      </c>
      <c r="F39" s="224" t="s">
        <v>506</v>
      </c>
      <c r="G39" s="350"/>
      <c r="H39" s="351"/>
      <c r="I39" s="351"/>
      <c r="J39" s="351"/>
      <c r="K39" s="351"/>
      <c r="L39" s="351"/>
      <c r="M39" s="351"/>
      <c r="N39" s="351" t="s">
        <v>486</v>
      </c>
      <c r="O39" s="351"/>
      <c r="P39" s="351"/>
      <c r="Q39" s="351"/>
      <c r="R39" s="351"/>
      <c r="S39" s="351" t="s">
        <v>486</v>
      </c>
      <c r="T39" s="352"/>
      <c r="U39" s="212">
        <v>45687</v>
      </c>
      <c r="V39" s="216" t="s">
        <v>427</v>
      </c>
      <c r="W39" s="222" t="s">
        <v>428</v>
      </c>
      <c r="X39" s="219" t="s">
        <v>507</v>
      </c>
    </row>
    <row r="40" spans="1:25" s="193" customFormat="1" ht="46.2" customHeight="1" x14ac:dyDescent="0.35">
      <c r="A40" s="195"/>
      <c r="B40" s="226">
        <f t="shared" si="0"/>
        <v>37</v>
      </c>
      <c r="C40" s="206" t="s">
        <v>445</v>
      </c>
      <c r="D40" s="207" t="s">
        <v>504</v>
      </c>
      <c r="E40" s="211" t="s">
        <v>505</v>
      </c>
      <c r="F40" s="224" t="s">
        <v>508</v>
      </c>
      <c r="G40" s="350"/>
      <c r="H40" s="351"/>
      <c r="I40" s="351"/>
      <c r="J40" s="351"/>
      <c r="K40" s="351"/>
      <c r="L40" s="351"/>
      <c r="M40" s="351"/>
      <c r="N40" s="351" t="s">
        <v>486</v>
      </c>
      <c r="O40" s="351"/>
      <c r="P40" s="351"/>
      <c r="Q40" s="351"/>
      <c r="R40" s="351"/>
      <c r="S40" s="351" t="s">
        <v>486</v>
      </c>
      <c r="T40" s="352"/>
      <c r="U40" s="212">
        <v>45687</v>
      </c>
      <c r="V40" s="216" t="s">
        <v>427</v>
      </c>
      <c r="W40" s="222" t="s">
        <v>428</v>
      </c>
      <c r="X40" s="219" t="s">
        <v>507</v>
      </c>
    </row>
    <row r="41" spans="1:25" s="193" customFormat="1" ht="37.950000000000003" customHeight="1" x14ac:dyDescent="0.35">
      <c r="A41" s="195"/>
      <c r="B41" s="226">
        <f t="shared" si="0"/>
        <v>38</v>
      </c>
      <c r="C41" s="206" t="s">
        <v>509</v>
      </c>
      <c r="D41" s="206" t="s">
        <v>487</v>
      </c>
      <c r="E41" s="209" t="s">
        <v>510</v>
      </c>
      <c r="F41" s="224" t="s">
        <v>485</v>
      </c>
      <c r="G41" s="350"/>
      <c r="H41" s="351"/>
      <c r="I41" s="351"/>
      <c r="J41" s="351"/>
      <c r="K41" s="351"/>
      <c r="L41" s="351"/>
      <c r="M41" s="351"/>
      <c r="N41" s="351" t="s">
        <v>486</v>
      </c>
      <c r="O41" s="351"/>
      <c r="P41" s="351"/>
      <c r="Q41" s="351"/>
      <c r="R41" s="351"/>
      <c r="S41" s="351"/>
      <c r="T41" s="352"/>
      <c r="U41" s="212">
        <v>45687</v>
      </c>
      <c r="V41" s="216" t="s">
        <v>427</v>
      </c>
      <c r="W41" s="222" t="s">
        <v>428</v>
      </c>
      <c r="X41" s="219"/>
      <c r="Y41" s="194"/>
    </row>
    <row r="42" spans="1:25" s="193" customFormat="1" ht="37.950000000000003" customHeight="1" x14ac:dyDescent="0.35">
      <c r="A42" s="195"/>
      <c r="B42" s="226">
        <f t="shared" si="0"/>
        <v>39</v>
      </c>
      <c r="C42" s="206" t="s">
        <v>509</v>
      </c>
      <c r="D42" s="206" t="s">
        <v>487</v>
      </c>
      <c r="E42" s="209" t="s">
        <v>511</v>
      </c>
      <c r="F42" s="224" t="s">
        <v>512</v>
      </c>
      <c r="G42" s="350"/>
      <c r="H42" s="351"/>
      <c r="I42" s="351"/>
      <c r="J42" s="351"/>
      <c r="K42" s="351"/>
      <c r="L42" s="351"/>
      <c r="M42" s="351"/>
      <c r="N42" s="351" t="s">
        <v>486</v>
      </c>
      <c r="O42" s="351"/>
      <c r="P42" s="351"/>
      <c r="Q42" s="351"/>
      <c r="R42" s="351"/>
      <c r="S42" s="351"/>
      <c r="T42" s="352"/>
      <c r="U42" s="212">
        <v>45687</v>
      </c>
      <c r="V42" s="216" t="s">
        <v>427</v>
      </c>
      <c r="W42" s="222" t="s">
        <v>428</v>
      </c>
      <c r="X42" s="219"/>
      <c r="Y42" s="194"/>
    </row>
    <row r="43" spans="1:25" s="193" customFormat="1" ht="37.950000000000003" customHeight="1" x14ac:dyDescent="0.35">
      <c r="A43" s="195"/>
      <c r="B43" s="226">
        <f t="shared" si="0"/>
        <v>40</v>
      </c>
      <c r="C43" s="206" t="s">
        <v>509</v>
      </c>
      <c r="D43" s="206" t="s">
        <v>487</v>
      </c>
      <c r="E43" s="209" t="s">
        <v>513</v>
      </c>
      <c r="F43" s="224" t="s">
        <v>485</v>
      </c>
      <c r="G43" s="350"/>
      <c r="H43" s="351"/>
      <c r="I43" s="351"/>
      <c r="J43" s="351"/>
      <c r="K43" s="351"/>
      <c r="L43" s="351"/>
      <c r="M43" s="351"/>
      <c r="N43" s="351" t="s">
        <v>486</v>
      </c>
      <c r="O43" s="351"/>
      <c r="P43" s="351"/>
      <c r="Q43" s="351"/>
      <c r="R43" s="351"/>
      <c r="S43" s="351"/>
      <c r="T43" s="352"/>
      <c r="U43" s="212">
        <v>45687</v>
      </c>
      <c r="V43" s="216" t="s">
        <v>427</v>
      </c>
      <c r="W43" s="222" t="s">
        <v>428</v>
      </c>
      <c r="X43" s="219"/>
      <c r="Y43" s="194"/>
    </row>
    <row r="44" spans="1:25" s="193" customFormat="1" ht="37.950000000000003" customHeight="1" x14ac:dyDescent="0.35">
      <c r="A44" s="195"/>
      <c r="B44" s="226">
        <f t="shared" si="0"/>
        <v>41</v>
      </c>
      <c r="C44" s="206" t="s">
        <v>509</v>
      </c>
      <c r="D44" s="206" t="s">
        <v>487</v>
      </c>
      <c r="E44" s="209" t="s">
        <v>514</v>
      </c>
      <c r="F44" s="224" t="s">
        <v>485</v>
      </c>
      <c r="G44" s="350"/>
      <c r="H44" s="351"/>
      <c r="I44" s="351"/>
      <c r="J44" s="351"/>
      <c r="K44" s="351"/>
      <c r="L44" s="351"/>
      <c r="M44" s="351"/>
      <c r="N44" s="351" t="s">
        <v>486</v>
      </c>
      <c r="O44" s="351"/>
      <c r="P44" s="351"/>
      <c r="Q44" s="351"/>
      <c r="R44" s="351"/>
      <c r="S44" s="351"/>
      <c r="T44" s="352"/>
      <c r="U44" s="212">
        <v>45687</v>
      </c>
      <c r="V44" s="216" t="s">
        <v>427</v>
      </c>
      <c r="W44" s="222" t="s">
        <v>428</v>
      </c>
      <c r="X44" s="219"/>
      <c r="Y44" s="194"/>
    </row>
    <row r="45" spans="1:25" s="193" customFormat="1" ht="45.6" customHeight="1" x14ac:dyDescent="0.35">
      <c r="A45" s="195"/>
      <c r="B45" s="226">
        <f t="shared" si="0"/>
        <v>42</v>
      </c>
      <c r="C45" s="206" t="s">
        <v>509</v>
      </c>
      <c r="D45" s="206" t="s">
        <v>487</v>
      </c>
      <c r="E45" s="209" t="s">
        <v>515</v>
      </c>
      <c r="F45" s="224" t="s">
        <v>485</v>
      </c>
      <c r="G45" s="350"/>
      <c r="H45" s="351"/>
      <c r="I45" s="351"/>
      <c r="J45" s="351"/>
      <c r="K45" s="351"/>
      <c r="L45" s="351"/>
      <c r="M45" s="351"/>
      <c r="N45" s="351" t="s">
        <v>486</v>
      </c>
      <c r="O45" s="351"/>
      <c r="P45" s="351"/>
      <c r="Q45" s="351"/>
      <c r="R45" s="351"/>
      <c r="S45" s="351"/>
      <c r="T45" s="352"/>
      <c r="U45" s="212">
        <v>45687</v>
      </c>
      <c r="V45" s="216" t="s">
        <v>427</v>
      </c>
      <c r="W45" s="222" t="s">
        <v>428</v>
      </c>
      <c r="X45" s="219"/>
    </row>
    <row r="46" spans="1:25" s="193" customFormat="1" ht="45.6" customHeight="1" x14ac:dyDescent="0.35">
      <c r="A46" s="195"/>
      <c r="B46" s="226">
        <f t="shared" si="0"/>
        <v>43</v>
      </c>
      <c r="C46" s="206" t="s">
        <v>509</v>
      </c>
      <c r="D46" s="206" t="s">
        <v>487</v>
      </c>
      <c r="E46" s="209" t="s">
        <v>516</v>
      </c>
      <c r="F46" s="224" t="s">
        <v>485</v>
      </c>
      <c r="G46" s="350"/>
      <c r="H46" s="351"/>
      <c r="I46" s="351"/>
      <c r="J46" s="351"/>
      <c r="K46" s="351"/>
      <c r="L46" s="351"/>
      <c r="M46" s="351"/>
      <c r="N46" s="351" t="s">
        <v>486</v>
      </c>
      <c r="O46" s="351"/>
      <c r="P46" s="351"/>
      <c r="Q46" s="351"/>
      <c r="R46" s="351"/>
      <c r="S46" s="351"/>
      <c r="T46" s="352"/>
      <c r="U46" s="212">
        <v>45687</v>
      </c>
      <c r="V46" s="216" t="s">
        <v>427</v>
      </c>
      <c r="W46" s="222" t="s">
        <v>428</v>
      </c>
      <c r="X46" s="219"/>
    </row>
    <row r="47" spans="1:25" s="193" customFormat="1" ht="45.6" customHeight="1" x14ac:dyDescent="0.35">
      <c r="A47" s="195"/>
      <c r="B47" s="226">
        <f t="shared" si="0"/>
        <v>44</v>
      </c>
      <c r="C47" s="206" t="s">
        <v>509</v>
      </c>
      <c r="D47" s="206" t="s">
        <v>487</v>
      </c>
      <c r="E47" s="209" t="s">
        <v>517</v>
      </c>
      <c r="F47" s="224" t="s">
        <v>485</v>
      </c>
      <c r="G47" s="350"/>
      <c r="H47" s="351"/>
      <c r="I47" s="351"/>
      <c r="J47" s="351"/>
      <c r="K47" s="351"/>
      <c r="L47" s="351"/>
      <c r="M47" s="351"/>
      <c r="N47" s="351" t="s">
        <v>486</v>
      </c>
      <c r="O47" s="351"/>
      <c r="P47" s="351"/>
      <c r="Q47" s="351"/>
      <c r="R47" s="351"/>
      <c r="S47" s="351"/>
      <c r="T47" s="352"/>
      <c r="U47" s="212">
        <v>45687</v>
      </c>
      <c r="V47" s="216" t="s">
        <v>427</v>
      </c>
      <c r="W47" s="222" t="s">
        <v>428</v>
      </c>
      <c r="X47" s="219"/>
    </row>
    <row r="48" spans="1:25" s="193" customFormat="1" ht="45.6" customHeight="1" x14ac:dyDescent="0.35">
      <c r="A48" s="195"/>
      <c r="B48" s="226">
        <f t="shared" si="0"/>
        <v>45</v>
      </c>
      <c r="C48" s="206" t="s">
        <v>509</v>
      </c>
      <c r="D48" s="206" t="s">
        <v>487</v>
      </c>
      <c r="E48" s="209" t="s">
        <v>518</v>
      </c>
      <c r="F48" s="224" t="s">
        <v>495</v>
      </c>
      <c r="G48" s="350"/>
      <c r="H48" s="351"/>
      <c r="I48" s="351"/>
      <c r="J48" s="351"/>
      <c r="K48" s="351"/>
      <c r="L48" s="351"/>
      <c r="M48" s="351"/>
      <c r="N48" s="351" t="s">
        <v>486</v>
      </c>
      <c r="O48" s="351"/>
      <c r="P48" s="351"/>
      <c r="Q48" s="351"/>
      <c r="R48" s="351"/>
      <c r="S48" s="351"/>
      <c r="T48" s="352"/>
      <c r="U48" s="212">
        <v>45687</v>
      </c>
      <c r="V48" s="216" t="s">
        <v>427</v>
      </c>
      <c r="W48" s="222" t="s">
        <v>428</v>
      </c>
      <c r="X48" s="219"/>
    </row>
    <row r="49" spans="1:24" s="193" customFormat="1" ht="45.6" customHeight="1" x14ac:dyDescent="0.35">
      <c r="A49" s="195"/>
      <c r="B49" s="226">
        <f t="shared" si="0"/>
        <v>46</v>
      </c>
      <c r="C49" s="206" t="s">
        <v>509</v>
      </c>
      <c r="D49" s="206" t="s">
        <v>487</v>
      </c>
      <c r="E49" s="209" t="s">
        <v>519</v>
      </c>
      <c r="F49" s="224" t="s">
        <v>495</v>
      </c>
      <c r="G49" s="350"/>
      <c r="H49" s="351"/>
      <c r="I49" s="351"/>
      <c r="J49" s="351"/>
      <c r="K49" s="351"/>
      <c r="L49" s="351"/>
      <c r="M49" s="351"/>
      <c r="N49" s="351" t="s">
        <v>486</v>
      </c>
      <c r="O49" s="351"/>
      <c r="P49" s="351"/>
      <c r="Q49" s="351"/>
      <c r="R49" s="351"/>
      <c r="S49" s="351"/>
      <c r="T49" s="352"/>
      <c r="U49" s="212">
        <v>45687</v>
      </c>
      <c r="V49" s="216" t="s">
        <v>427</v>
      </c>
      <c r="W49" s="222" t="s">
        <v>428</v>
      </c>
      <c r="X49" s="219"/>
    </row>
    <row r="50" spans="1:24" s="193" customFormat="1" ht="45.6" customHeight="1" x14ac:dyDescent="0.35">
      <c r="A50" s="195"/>
      <c r="B50" s="226">
        <f t="shared" si="0"/>
        <v>47</v>
      </c>
      <c r="C50" s="206" t="s">
        <v>509</v>
      </c>
      <c r="D50" s="206" t="s">
        <v>487</v>
      </c>
      <c r="E50" s="209" t="s">
        <v>520</v>
      </c>
      <c r="F50" s="224" t="s">
        <v>495</v>
      </c>
      <c r="G50" s="350"/>
      <c r="H50" s="351"/>
      <c r="I50" s="351"/>
      <c r="J50" s="351"/>
      <c r="K50" s="351"/>
      <c r="L50" s="351"/>
      <c r="M50" s="351"/>
      <c r="N50" s="351" t="s">
        <v>486</v>
      </c>
      <c r="O50" s="351"/>
      <c r="P50" s="351"/>
      <c r="Q50" s="351"/>
      <c r="R50" s="351"/>
      <c r="S50" s="351"/>
      <c r="T50" s="352"/>
      <c r="U50" s="212">
        <v>45687</v>
      </c>
      <c r="V50" s="216" t="s">
        <v>427</v>
      </c>
      <c r="W50" s="222" t="s">
        <v>428</v>
      </c>
      <c r="X50" s="219"/>
    </row>
    <row r="51" spans="1:24" s="193" customFormat="1" ht="45.6" customHeight="1" x14ac:dyDescent="0.35">
      <c r="A51" s="195"/>
      <c r="B51" s="226">
        <f t="shared" si="0"/>
        <v>48</v>
      </c>
      <c r="C51" s="206" t="s">
        <v>509</v>
      </c>
      <c r="D51" s="206" t="s">
        <v>487</v>
      </c>
      <c r="E51" s="209" t="s">
        <v>521</v>
      </c>
      <c r="F51" s="224" t="s">
        <v>485</v>
      </c>
      <c r="G51" s="350"/>
      <c r="H51" s="351"/>
      <c r="I51" s="351"/>
      <c r="J51" s="351"/>
      <c r="K51" s="351"/>
      <c r="L51" s="351"/>
      <c r="M51" s="351"/>
      <c r="N51" s="351" t="s">
        <v>486</v>
      </c>
      <c r="O51" s="351"/>
      <c r="P51" s="351"/>
      <c r="Q51" s="351"/>
      <c r="R51" s="351"/>
      <c r="S51" s="351"/>
      <c r="T51" s="352"/>
      <c r="U51" s="212">
        <v>45687</v>
      </c>
      <c r="V51" s="216" t="s">
        <v>427</v>
      </c>
      <c r="W51" s="222" t="s">
        <v>428</v>
      </c>
      <c r="X51" s="219"/>
    </row>
    <row r="52" spans="1:24" s="193" customFormat="1" ht="45.6" customHeight="1" x14ac:dyDescent="0.35">
      <c r="A52" s="195"/>
      <c r="B52" s="226">
        <f t="shared" si="0"/>
        <v>49</v>
      </c>
      <c r="C52" s="206" t="s">
        <v>509</v>
      </c>
      <c r="D52" s="206" t="s">
        <v>487</v>
      </c>
      <c r="E52" s="209" t="s">
        <v>522</v>
      </c>
      <c r="F52" s="224" t="s">
        <v>485</v>
      </c>
      <c r="G52" s="350"/>
      <c r="H52" s="351"/>
      <c r="I52" s="351"/>
      <c r="J52" s="351"/>
      <c r="K52" s="351"/>
      <c r="L52" s="351"/>
      <c r="M52" s="351"/>
      <c r="N52" s="351" t="s">
        <v>486</v>
      </c>
      <c r="O52" s="351"/>
      <c r="P52" s="351"/>
      <c r="Q52" s="351"/>
      <c r="R52" s="351"/>
      <c r="S52" s="351"/>
      <c r="T52" s="352"/>
      <c r="U52" s="212">
        <v>45687</v>
      </c>
      <c r="V52" s="216" t="s">
        <v>427</v>
      </c>
      <c r="W52" s="222" t="s">
        <v>428</v>
      </c>
      <c r="X52" s="219"/>
    </row>
    <row r="53" spans="1:24" s="193" customFormat="1" ht="45.6" customHeight="1" x14ac:dyDescent="0.35">
      <c r="A53" s="195"/>
      <c r="B53" s="226">
        <f t="shared" si="0"/>
        <v>50</v>
      </c>
      <c r="C53" s="206" t="s">
        <v>509</v>
      </c>
      <c r="D53" s="206" t="s">
        <v>487</v>
      </c>
      <c r="E53" s="209" t="s">
        <v>523</v>
      </c>
      <c r="F53" s="224" t="s">
        <v>485</v>
      </c>
      <c r="G53" s="350"/>
      <c r="H53" s="351"/>
      <c r="I53" s="351"/>
      <c r="J53" s="351"/>
      <c r="K53" s="351"/>
      <c r="L53" s="351"/>
      <c r="M53" s="351"/>
      <c r="N53" s="351" t="s">
        <v>486</v>
      </c>
      <c r="O53" s="351"/>
      <c r="P53" s="351"/>
      <c r="Q53" s="351"/>
      <c r="R53" s="351"/>
      <c r="S53" s="351"/>
      <c r="T53" s="352"/>
      <c r="U53" s="212">
        <v>45687</v>
      </c>
      <c r="V53" s="216" t="s">
        <v>427</v>
      </c>
      <c r="W53" s="222" t="s">
        <v>428</v>
      </c>
      <c r="X53" s="219"/>
    </row>
    <row r="54" spans="1:24" s="193" customFormat="1" ht="45.6" customHeight="1" x14ac:dyDescent="0.35">
      <c r="A54" s="195"/>
      <c r="B54" s="226">
        <f t="shared" si="0"/>
        <v>51</v>
      </c>
      <c r="C54" s="206" t="s">
        <v>509</v>
      </c>
      <c r="D54" s="206" t="s">
        <v>487</v>
      </c>
      <c r="E54" s="209" t="s">
        <v>524</v>
      </c>
      <c r="F54" s="224" t="s">
        <v>485</v>
      </c>
      <c r="G54" s="350"/>
      <c r="H54" s="351"/>
      <c r="I54" s="351"/>
      <c r="J54" s="351"/>
      <c r="K54" s="351"/>
      <c r="L54" s="351"/>
      <c r="M54" s="351"/>
      <c r="N54" s="351" t="s">
        <v>486</v>
      </c>
      <c r="O54" s="351"/>
      <c r="P54" s="351"/>
      <c r="Q54" s="351"/>
      <c r="R54" s="351"/>
      <c r="S54" s="351"/>
      <c r="T54" s="352"/>
      <c r="U54" s="212">
        <v>45687</v>
      </c>
      <c r="V54" s="216" t="s">
        <v>427</v>
      </c>
      <c r="W54" s="222" t="s">
        <v>428</v>
      </c>
      <c r="X54" s="219"/>
    </row>
    <row r="55" spans="1:24" s="193" customFormat="1" ht="40.200000000000003" customHeight="1" x14ac:dyDescent="0.35">
      <c r="A55" s="195"/>
      <c r="B55" s="226">
        <f t="shared" si="0"/>
        <v>52</v>
      </c>
      <c r="C55" s="206" t="s">
        <v>525</v>
      </c>
      <c r="D55" s="206" t="s">
        <v>446</v>
      </c>
      <c r="E55" s="209" t="s">
        <v>526</v>
      </c>
      <c r="F55" s="224" t="s">
        <v>527</v>
      </c>
      <c r="G55" s="350" t="s">
        <v>453</v>
      </c>
      <c r="H55" s="351"/>
      <c r="I55" s="351"/>
      <c r="J55" s="351"/>
      <c r="K55" s="351"/>
      <c r="L55" s="351"/>
      <c r="M55" s="351"/>
      <c r="N55" s="351"/>
      <c r="O55" s="351"/>
      <c r="P55" s="351"/>
      <c r="Q55" s="351"/>
      <c r="R55" s="351"/>
      <c r="S55" s="351"/>
      <c r="T55" s="352"/>
      <c r="U55" s="212">
        <v>45687</v>
      </c>
      <c r="V55" s="216" t="s">
        <v>427</v>
      </c>
      <c r="W55" s="222" t="s">
        <v>428</v>
      </c>
      <c r="X55" s="219" t="s">
        <v>528</v>
      </c>
    </row>
    <row r="56" spans="1:24" s="193" customFormat="1" ht="40.200000000000003" customHeight="1" x14ac:dyDescent="0.35">
      <c r="A56" s="195"/>
      <c r="B56" s="226">
        <f t="shared" si="0"/>
        <v>53</v>
      </c>
      <c r="C56" s="206" t="s">
        <v>525</v>
      </c>
      <c r="D56" s="206" t="s">
        <v>446</v>
      </c>
      <c r="E56" s="209" t="s">
        <v>529</v>
      </c>
      <c r="F56" s="224" t="s">
        <v>530</v>
      </c>
      <c r="G56" s="350" t="s">
        <v>426</v>
      </c>
      <c r="H56" s="351"/>
      <c r="I56" s="351"/>
      <c r="J56" s="351"/>
      <c r="K56" s="351"/>
      <c r="L56" s="351"/>
      <c r="M56" s="351"/>
      <c r="N56" s="351"/>
      <c r="O56" s="351"/>
      <c r="P56" s="351"/>
      <c r="Q56" s="351"/>
      <c r="R56" s="351"/>
      <c r="S56" s="351"/>
      <c r="T56" s="352"/>
      <c r="U56" s="212">
        <v>45687</v>
      </c>
      <c r="V56" s="216" t="s">
        <v>427</v>
      </c>
      <c r="W56" s="222" t="s">
        <v>428</v>
      </c>
      <c r="X56" s="218" t="s">
        <v>531</v>
      </c>
    </row>
    <row r="57" spans="1:24" s="193" customFormat="1" ht="40.200000000000003" customHeight="1" x14ac:dyDescent="0.35">
      <c r="A57" s="195"/>
      <c r="B57" s="226">
        <f t="shared" si="0"/>
        <v>54</v>
      </c>
      <c r="C57" s="206" t="s">
        <v>525</v>
      </c>
      <c r="D57" s="206" t="s">
        <v>446</v>
      </c>
      <c r="E57" s="209" t="s">
        <v>532</v>
      </c>
      <c r="F57" s="224" t="s">
        <v>533</v>
      </c>
      <c r="G57" s="350" t="s">
        <v>426</v>
      </c>
      <c r="H57" s="351"/>
      <c r="I57" s="351"/>
      <c r="J57" s="351"/>
      <c r="K57" s="351"/>
      <c r="L57" s="351"/>
      <c r="M57" s="351"/>
      <c r="N57" s="351"/>
      <c r="O57" s="351"/>
      <c r="P57" s="351"/>
      <c r="Q57" s="351"/>
      <c r="R57" s="351"/>
      <c r="S57" s="351"/>
      <c r="T57" s="352"/>
      <c r="U57" s="212">
        <v>45687</v>
      </c>
      <c r="V57" s="216" t="s">
        <v>427</v>
      </c>
      <c r="W57" s="222" t="s">
        <v>428</v>
      </c>
      <c r="X57" s="218" t="s">
        <v>534</v>
      </c>
    </row>
    <row r="58" spans="1:24" s="193" customFormat="1" ht="46.2" customHeight="1" x14ac:dyDescent="0.35">
      <c r="A58" s="195"/>
      <c r="B58" s="226">
        <f t="shared" si="0"/>
        <v>55</v>
      </c>
      <c r="C58" s="237" t="s">
        <v>509</v>
      </c>
      <c r="D58" s="237" t="s">
        <v>535</v>
      </c>
      <c r="E58" s="210" t="s">
        <v>536</v>
      </c>
      <c r="F58" s="224" t="s">
        <v>537</v>
      </c>
      <c r="G58" s="351" t="s">
        <v>486</v>
      </c>
      <c r="H58" s="356"/>
      <c r="I58" s="356"/>
      <c r="J58" s="356"/>
      <c r="K58" s="356"/>
      <c r="L58" s="356"/>
      <c r="M58" s="356"/>
      <c r="N58" s="356"/>
      <c r="O58" s="356"/>
      <c r="P58" s="356"/>
      <c r="Q58" s="356"/>
      <c r="R58" s="356"/>
      <c r="S58" s="356"/>
      <c r="T58" s="357"/>
      <c r="U58" s="212">
        <v>45687</v>
      </c>
      <c r="V58" s="216" t="s">
        <v>427</v>
      </c>
      <c r="W58" s="222" t="s">
        <v>428</v>
      </c>
      <c r="X58" s="246"/>
    </row>
    <row r="59" spans="1:24" s="193" customFormat="1" ht="46.2" customHeight="1" x14ac:dyDescent="0.35">
      <c r="A59" s="195"/>
      <c r="B59" s="226">
        <f t="shared" si="0"/>
        <v>56</v>
      </c>
      <c r="C59" s="237" t="s">
        <v>509</v>
      </c>
      <c r="D59" s="237" t="s">
        <v>535</v>
      </c>
      <c r="E59" s="210" t="s">
        <v>536</v>
      </c>
      <c r="F59" s="224" t="s">
        <v>538</v>
      </c>
      <c r="G59" s="351" t="s">
        <v>486</v>
      </c>
      <c r="H59" s="356"/>
      <c r="I59" s="356"/>
      <c r="J59" s="356"/>
      <c r="K59" s="356"/>
      <c r="L59" s="356"/>
      <c r="M59" s="356"/>
      <c r="N59" s="356"/>
      <c r="O59" s="356"/>
      <c r="P59" s="356"/>
      <c r="Q59" s="356"/>
      <c r="R59" s="356"/>
      <c r="S59" s="356"/>
      <c r="T59" s="357"/>
      <c r="U59" s="212">
        <v>45687</v>
      </c>
      <c r="V59" s="216" t="s">
        <v>427</v>
      </c>
      <c r="W59" s="222" t="s">
        <v>428</v>
      </c>
      <c r="X59" s="246"/>
    </row>
    <row r="60" spans="1:24" s="193" customFormat="1" ht="46.2" customHeight="1" x14ac:dyDescent="0.35">
      <c r="A60" s="195"/>
      <c r="B60" s="226">
        <f t="shared" si="0"/>
        <v>57</v>
      </c>
      <c r="C60" s="237" t="s">
        <v>509</v>
      </c>
      <c r="D60" s="237" t="s">
        <v>535</v>
      </c>
      <c r="E60" s="206" t="s">
        <v>539</v>
      </c>
      <c r="F60" s="224" t="s">
        <v>540</v>
      </c>
      <c r="G60" s="351" t="s">
        <v>486</v>
      </c>
      <c r="H60" s="351"/>
      <c r="I60" s="351"/>
      <c r="J60" s="351"/>
      <c r="K60" s="351"/>
      <c r="L60" s="351"/>
      <c r="M60" s="351"/>
      <c r="N60" s="351"/>
      <c r="O60" s="351"/>
      <c r="P60" s="351"/>
      <c r="Q60" s="351"/>
      <c r="R60" s="351"/>
      <c r="S60" s="351"/>
      <c r="T60" s="352"/>
      <c r="U60" s="212">
        <v>45687</v>
      </c>
      <c r="V60" s="216" t="s">
        <v>427</v>
      </c>
      <c r="W60" s="222" t="s">
        <v>428</v>
      </c>
      <c r="X60" s="219"/>
    </row>
    <row r="61" spans="1:24" s="193" customFormat="1" ht="46.2" customHeight="1" x14ac:dyDescent="0.35">
      <c r="A61" s="195"/>
      <c r="B61" s="226">
        <f t="shared" si="0"/>
        <v>58</v>
      </c>
      <c r="C61" s="237" t="s">
        <v>509</v>
      </c>
      <c r="D61" s="237" t="s">
        <v>535</v>
      </c>
      <c r="E61" s="206" t="s">
        <v>539</v>
      </c>
      <c r="F61" s="224" t="s">
        <v>541</v>
      </c>
      <c r="G61" s="351" t="s">
        <v>486</v>
      </c>
      <c r="H61" s="351"/>
      <c r="I61" s="351"/>
      <c r="J61" s="351"/>
      <c r="K61" s="351"/>
      <c r="L61" s="351"/>
      <c r="M61" s="351"/>
      <c r="N61" s="351"/>
      <c r="O61" s="351"/>
      <c r="P61" s="351"/>
      <c r="Q61" s="351"/>
      <c r="R61" s="351"/>
      <c r="S61" s="351"/>
      <c r="T61" s="352"/>
      <c r="U61" s="212">
        <v>45687</v>
      </c>
      <c r="V61" s="216" t="s">
        <v>427</v>
      </c>
      <c r="W61" s="222" t="s">
        <v>428</v>
      </c>
      <c r="X61" s="219"/>
    </row>
    <row r="62" spans="1:24" s="193" customFormat="1" ht="40.950000000000003" customHeight="1" x14ac:dyDescent="0.35">
      <c r="A62" s="195"/>
      <c r="B62" s="226">
        <f t="shared" si="0"/>
        <v>59</v>
      </c>
      <c r="C62" s="206" t="s">
        <v>509</v>
      </c>
      <c r="D62" s="206" t="s">
        <v>542</v>
      </c>
      <c r="E62" s="209" t="s">
        <v>543</v>
      </c>
      <c r="F62" s="224" t="s">
        <v>544</v>
      </c>
      <c r="G62" s="351" t="s">
        <v>453</v>
      </c>
      <c r="H62" s="351"/>
      <c r="I62" s="351"/>
      <c r="J62" s="351"/>
      <c r="K62" s="351"/>
      <c r="L62" s="351"/>
      <c r="M62" s="351"/>
      <c r="N62" s="351"/>
      <c r="O62" s="351"/>
      <c r="P62" s="351"/>
      <c r="Q62" s="351"/>
      <c r="R62" s="351"/>
      <c r="S62" s="351"/>
      <c r="T62" s="352"/>
      <c r="U62" s="212">
        <v>45687</v>
      </c>
      <c r="V62" s="216" t="s">
        <v>427</v>
      </c>
      <c r="W62" s="222" t="s">
        <v>428</v>
      </c>
      <c r="X62" s="219"/>
    </row>
    <row r="63" spans="1:24" s="193" customFormat="1" ht="53.4" customHeight="1" x14ac:dyDescent="0.35">
      <c r="A63" s="195"/>
      <c r="B63" s="236">
        <f t="shared" si="1"/>
        <v>60</v>
      </c>
      <c r="C63" s="237" t="s">
        <v>545</v>
      </c>
      <c r="D63" s="237" t="s">
        <v>546</v>
      </c>
      <c r="E63" s="237" t="s">
        <v>546</v>
      </c>
      <c r="F63" s="224" t="s">
        <v>547</v>
      </c>
      <c r="G63" s="358"/>
      <c r="H63" s="356"/>
      <c r="I63" s="356"/>
      <c r="J63" s="356"/>
      <c r="K63" s="356"/>
      <c r="L63" s="356"/>
      <c r="M63" s="356"/>
      <c r="N63" s="356"/>
      <c r="O63" s="356"/>
      <c r="P63" s="356"/>
      <c r="Q63" s="356"/>
      <c r="R63" s="356"/>
      <c r="S63" s="356"/>
      <c r="T63" s="350" t="s">
        <v>426</v>
      </c>
      <c r="U63" s="212">
        <v>45687</v>
      </c>
      <c r="V63" s="216" t="s">
        <v>427</v>
      </c>
      <c r="W63" s="222" t="s">
        <v>428</v>
      </c>
      <c r="X63" s="265" t="s">
        <v>548</v>
      </c>
    </row>
    <row r="64" spans="1:24" s="193" customFormat="1" ht="43.95" customHeight="1" x14ac:dyDescent="0.35">
      <c r="A64" s="195"/>
      <c r="B64" s="236">
        <f t="shared" si="1"/>
        <v>61</v>
      </c>
      <c r="C64" s="237" t="s">
        <v>545</v>
      </c>
      <c r="D64" s="237" t="s">
        <v>549</v>
      </c>
      <c r="E64" s="237" t="s">
        <v>549</v>
      </c>
      <c r="F64" s="224" t="s">
        <v>550</v>
      </c>
      <c r="G64" s="358"/>
      <c r="H64" s="356"/>
      <c r="I64" s="356"/>
      <c r="J64" s="356"/>
      <c r="K64" s="356"/>
      <c r="L64" s="356"/>
      <c r="M64" s="356"/>
      <c r="N64" s="356"/>
      <c r="O64" s="356"/>
      <c r="P64" s="356"/>
      <c r="Q64" s="356"/>
      <c r="R64" s="356"/>
      <c r="S64" s="356"/>
      <c r="T64" s="350" t="s">
        <v>426</v>
      </c>
      <c r="U64" s="212">
        <v>45687</v>
      </c>
      <c r="V64" s="216" t="s">
        <v>427</v>
      </c>
      <c r="W64" s="222" t="s">
        <v>428</v>
      </c>
      <c r="X64" s="390" t="s">
        <v>551</v>
      </c>
    </row>
    <row r="65" spans="1:24" s="193" customFormat="1" ht="43.95" customHeight="1" x14ac:dyDescent="0.35">
      <c r="A65" s="195"/>
      <c r="B65" s="236">
        <f t="shared" si="1"/>
        <v>62</v>
      </c>
      <c r="C65" s="237" t="s">
        <v>545</v>
      </c>
      <c r="D65" s="237" t="s">
        <v>552</v>
      </c>
      <c r="E65" s="210" t="s">
        <v>553</v>
      </c>
      <c r="F65" s="224" t="s">
        <v>554</v>
      </c>
      <c r="G65" s="358"/>
      <c r="H65" s="356"/>
      <c r="I65" s="356"/>
      <c r="J65" s="356"/>
      <c r="K65" s="356"/>
      <c r="L65" s="356"/>
      <c r="M65" s="356"/>
      <c r="N65" s="356"/>
      <c r="O65" s="356"/>
      <c r="P65" s="356"/>
      <c r="Q65" s="356"/>
      <c r="R65" s="350" t="s">
        <v>426</v>
      </c>
      <c r="S65" s="356"/>
      <c r="T65" s="350" t="s">
        <v>426</v>
      </c>
      <c r="U65" s="212">
        <v>45687</v>
      </c>
      <c r="V65" s="216" t="s">
        <v>427</v>
      </c>
      <c r="W65" s="222" t="s">
        <v>428</v>
      </c>
      <c r="X65" s="238" t="s">
        <v>555</v>
      </c>
    </row>
    <row r="66" spans="1:24" s="193" customFormat="1" ht="69.599999999999994" customHeight="1" x14ac:dyDescent="0.35">
      <c r="A66" s="195"/>
      <c r="B66" s="236">
        <f t="shared" si="1"/>
        <v>63</v>
      </c>
      <c r="C66" s="237" t="s">
        <v>545</v>
      </c>
      <c r="D66" s="237" t="s">
        <v>552</v>
      </c>
      <c r="E66" s="210" t="s">
        <v>553</v>
      </c>
      <c r="F66" s="224" t="s">
        <v>556</v>
      </c>
      <c r="G66" s="358"/>
      <c r="H66" s="356"/>
      <c r="I66" s="356"/>
      <c r="J66" s="356"/>
      <c r="K66" s="356"/>
      <c r="L66" s="356"/>
      <c r="M66" s="356"/>
      <c r="N66" s="356"/>
      <c r="O66" s="356"/>
      <c r="P66" s="356"/>
      <c r="Q66" s="356"/>
      <c r="R66" s="350" t="s">
        <v>426</v>
      </c>
      <c r="S66" s="356"/>
      <c r="T66" s="350" t="s">
        <v>426</v>
      </c>
      <c r="U66" s="212">
        <v>45687</v>
      </c>
      <c r="V66" s="216" t="s">
        <v>427</v>
      </c>
      <c r="W66" s="222" t="s">
        <v>428</v>
      </c>
      <c r="X66" s="238" t="s">
        <v>555</v>
      </c>
    </row>
    <row r="67" spans="1:24" s="193" customFormat="1" ht="69.599999999999994" customHeight="1" x14ac:dyDescent="0.35">
      <c r="A67" s="195"/>
      <c r="B67" s="359">
        <f t="shared" si="1"/>
        <v>64</v>
      </c>
      <c r="C67" s="360" t="s">
        <v>545</v>
      </c>
      <c r="D67" s="360" t="s">
        <v>552</v>
      </c>
      <c r="E67" s="361" t="s">
        <v>553</v>
      </c>
      <c r="F67" s="362" t="s">
        <v>557</v>
      </c>
      <c r="G67" s="353"/>
      <c r="H67" s="354"/>
      <c r="I67" s="354"/>
      <c r="J67" s="354"/>
      <c r="K67" s="354"/>
      <c r="L67" s="354"/>
      <c r="M67" s="354"/>
      <c r="N67" s="354"/>
      <c r="O67" s="354"/>
      <c r="P67" s="354"/>
      <c r="Q67" s="354"/>
      <c r="R67" s="353"/>
      <c r="S67" s="354"/>
      <c r="T67" s="353"/>
      <c r="U67" s="374"/>
      <c r="V67" s="375"/>
      <c r="W67" s="365"/>
      <c r="X67" s="376" t="s">
        <v>555</v>
      </c>
    </row>
    <row r="68" spans="1:24" s="193" customFormat="1" ht="69.599999999999994" customHeight="1" x14ac:dyDescent="0.35">
      <c r="A68" s="195"/>
      <c r="B68" s="359">
        <f t="shared" si="1"/>
        <v>65</v>
      </c>
      <c r="C68" s="360" t="s">
        <v>545</v>
      </c>
      <c r="D68" s="360" t="s">
        <v>552</v>
      </c>
      <c r="E68" s="361" t="s">
        <v>553</v>
      </c>
      <c r="F68" s="362" t="s">
        <v>558</v>
      </c>
      <c r="G68" s="353"/>
      <c r="H68" s="354"/>
      <c r="I68" s="354"/>
      <c r="J68" s="354"/>
      <c r="K68" s="354"/>
      <c r="L68" s="354"/>
      <c r="M68" s="354"/>
      <c r="N68" s="354"/>
      <c r="O68" s="354"/>
      <c r="P68" s="354"/>
      <c r="Q68" s="354"/>
      <c r="R68" s="353"/>
      <c r="S68" s="354"/>
      <c r="T68" s="353"/>
      <c r="U68" s="363"/>
      <c r="V68" s="375"/>
      <c r="W68" s="365"/>
      <c r="X68" s="376" t="s">
        <v>555</v>
      </c>
    </row>
    <row r="69" spans="1:24" s="193" customFormat="1" ht="43.95" customHeight="1" thickBot="1" x14ac:dyDescent="0.4">
      <c r="A69" s="195"/>
      <c r="B69" s="226">
        <f t="shared" si="1"/>
        <v>66</v>
      </c>
      <c r="C69" s="206" t="s">
        <v>435</v>
      </c>
      <c r="D69" s="206" t="s">
        <v>559</v>
      </c>
      <c r="E69" s="209"/>
      <c r="F69" s="224" t="s">
        <v>437</v>
      </c>
      <c r="G69" s="350" t="s">
        <v>426</v>
      </c>
      <c r="H69" s="351"/>
      <c r="I69" s="351"/>
      <c r="J69" s="351"/>
      <c r="K69" s="351"/>
      <c r="L69" s="351"/>
      <c r="M69" s="351"/>
      <c r="N69" s="351"/>
      <c r="O69" s="351"/>
      <c r="P69" s="351"/>
      <c r="Q69" s="351"/>
      <c r="R69" s="351"/>
      <c r="S69" s="351"/>
      <c r="T69" s="352"/>
      <c r="U69" s="212">
        <v>45687</v>
      </c>
      <c r="V69" s="216" t="s">
        <v>427</v>
      </c>
      <c r="W69" s="222" t="s">
        <v>428</v>
      </c>
      <c r="X69" s="221" t="s">
        <v>560</v>
      </c>
    </row>
    <row r="70" spans="1:24" s="193" customFormat="1" ht="21.6" customHeight="1" x14ac:dyDescent="0.35">
      <c r="A70" s="195"/>
      <c r="B70" s="550" t="s">
        <v>561</v>
      </c>
      <c r="C70" s="551"/>
      <c r="D70" s="551"/>
      <c r="E70" s="551"/>
      <c r="F70" s="243" t="str">
        <f>SUM(G70:T70)&amp;"件"</f>
        <v>68件</v>
      </c>
      <c r="G70" s="213">
        <f t="shared" ref="G70:T70" si="2">COUNTIF(G4:G69,"○")+COUNTIF(G4:G69,"△")+COUNTIF(G4:G69,"□")+COUNTIF(G4:G69,"●")+COUNTIF(G4:G69,"▲")+COUNTIF(G4:G69,"■")</f>
        <v>25</v>
      </c>
      <c r="H70" s="213">
        <f t="shared" si="2"/>
        <v>0</v>
      </c>
      <c r="I70" s="213">
        <f t="shared" si="2"/>
        <v>0</v>
      </c>
      <c r="J70" s="213">
        <f t="shared" si="2"/>
        <v>0</v>
      </c>
      <c r="K70" s="213">
        <f t="shared" si="2"/>
        <v>0</v>
      </c>
      <c r="L70" s="213">
        <f t="shared" si="2"/>
        <v>0</v>
      </c>
      <c r="M70" s="213">
        <f t="shared" si="2"/>
        <v>0</v>
      </c>
      <c r="N70" s="213">
        <f t="shared" si="2"/>
        <v>30</v>
      </c>
      <c r="O70" s="213">
        <f t="shared" si="2"/>
        <v>0</v>
      </c>
      <c r="P70" s="213">
        <f t="shared" si="2"/>
        <v>0</v>
      </c>
      <c r="Q70" s="213">
        <f t="shared" si="2"/>
        <v>0</v>
      </c>
      <c r="R70" s="213">
        <f t="shared" si="2"/>
        <v>2</v>
      </c>
      <c r="S70" s="213">
        <f t="shared" si="2"/>
        <v>3</v>
      </c>
      <c r="T70" s="213">
        <f t="shared" si="2"/>
        <v>8</v>
      </c>
      <c r="U70" s="534" t="s">
        <v>562</v>
      </c>
      <c r="V70" s="530" t="s">
        <v>563</v>
      </c>
      <c r="W70" s="561">
        <f>COUNTIF(W4:W69,"○")</f>
        <v>63</v>
      </c>
      <c r="X70" s="539"/>
    </row>
    <row r="71" spans="1:24" s="193" customFormat="1" ht="21.6" customHeight="1" x14ac:dyDescent="0.35">
      <c r="A71" s="195"/>
      <c r="B71" s="542" t="s">
        <v>564</v>
      </c>
      <c r="C71" s="543"/>
      <c r="D71" s="543"/>
      <c r="E71" s="543"/>
      <c r="F71" s="244" t="str">
        <f>SUM(G71:T71)&amp;"件"</f>
        <v>62件</v>
      </c>
      <c r="G71" s="214">
        <f t="shared" ref="G71:T71" si="3">COUNTIF(G4:G69,"○")+COUNTIF(G4:G69,"△")+COUNTIF(G4:G69,"●")+COUNTIF(G4:G69,"▲")</f>
        <v>20</v>
      </c>
      <c r="H71" s="214">
        <f t="shared" si="3"/>
        <v>0</v>
      </c>
      <c r="I71" s="214">
        <f t="shared" si="3"/>
        <v>0</v>
      </c>
      <c r="J71" s="214">
        <f t="shared" si="3"/>
        <v>0</v>
      </c>
      <c r="K71" s="214">
        <f t="shared" si="3"/>
        <v>0</v>
      </c>
      <c r="L71" s="214">
        <f t="shared" si="3"/>
        <v>0</v>
      </c>
      <c r="M71" s="214">
        <f t="shared" si="3"/>
        <v>0</v>
      </c>
      <c r="N71" s="214">
        <f t="shared" si="3"/>
        <v>30</v>
      </c>
      <c r="O71" s="214">
        <f t="shared" si="3"/>
        <v>0</v>
      </c>
      <c r="P71" s="214">
        <f t="shared" si="3"/>
        <v>0</v>
      </c>
      <c r="Q71" s="214">
        <f t="shared" si="3"/>
        <v>0</v>
      </c>
      <c r="R71" s="214">
        <f t="shared" si="3"/>
        <v>2</v>
      </c>
      <c r="S71" s="214">
        <f t="shared" si="3"/>
        <v>2</v>
      </c>
      <c r="T71" s="214">
        <f t="shared" si="3"/>
        <v>8</v>
      </c>
      <c r="U71" s="535"/>
      <c r="V71" s="531"/>
      <c r="W71" s="562"/>
      <c r="X71" s="540"/>
    </row>
    <row r="72" spans="1:24" s="193" customFormat="1" ht="21.6" customHeight="1" x14ac:dyDescent="0.35">
      <c r="A72" s="195"/>
      <c r="B72" s="542" t="s">
        <v>565</v>
      </c>
      <c r="C72" s="543"/>
      <c r="D72" s="543"/>
      <c r="E72" s="543"/>
      <c r="F72" s="244" t="str">
        <f t="shared" ref="F72:F73" si="4">SUM(G72:T72)&amp;"件"</f>
        <v>26件</v>
      </c>
      <c r="G72" s="214">
        <f t="shared" ref="G72:T72" si="5">COUNTIF(G4:G69,"○")+COUNTIF(G4:G69,"●")</f>
        <v>16</v>
      </c>
      <c r="H72" s="214">
        <f t="shared" si="5"/>
        <v>0</v>
      </c>
      <c r="I72" s="214">
        <f t="shared" si="5"/>
        <v>0</v>
      </c>
      <c r="J72" s="214">
        <f t="shared" si="5"/>
        <v>0</v>
      </c>
      <c r="K72" s="214">
        <f t="shared" si="5"/>
        <v>0</v>
      </c>
      <c r="L72" s="214">
        <f t="shared" si="5"/>
        <v>0</v>
      </c>
      <c r="M72" s="214">
        <f t="shared" si="5"/>
        <v>0</v>
      </c>
      <c r="N72" s="214">
        <f t="shared" si="5"/>
        <v>0</v>
      </c>
      <c r="O72" s="214">
        <f t="shared" si="5"/>
        <v>0</v>
      </c>
      <c r="P72" s="214">
        <f t="shared" si="5"/>
        <v>0</v>
      </c>
      <c r="Q72" s="214">
        <f t="shared" si="5"/>
        <v>0</v>
      </c>
      <c r="R72" s="214">
        <f t="shared" si="5"/>
        <v>2</v>
      </c>
      <c r="S72" s="214">
        <f t="shared" si="5"/>
        <v>0</v>
      </c>
      <c r="T72" s="214">
        <f t="shared" si="5"/>
        <v>8</v>
      </c>
      <c r="U72" s="535"/>
      <c r="V72" s="532" t="s">
        <v>566</v>
      </c>
      <c r="W72" s="528">
        <f>COUNTIF(W4:W69,"×")</f>
        <v>0</v>
      </c>
      <c r="X72" s="540"/>
    </row>
    <row r="73" spans="1:24" s="193" customFormat="1" ht="21.6" customHeight="1" thickBot="1" x14ac:dyDescent="0.4">
      <c r="A73" s="195"/>
      <c r="B73" s="544" t="s">
        <v>567</v>
      </c>
      <c r="C73" s="545"/>
      <c r="D73" s="545"/>
      <c r="E73" s="545"/>
      <c r="F73" s="245" t="str">
        <f t="shared" si="4"/>
        <v>66件</v>
      </c>
      <c r="G73" s="215">
        <f t="shared" ref="G73:T73" si="6">COUNTIF(G4:G69,"●")+COUNTIF(G4:G69,"▲")+COUNTIF(G4:G69,"■")</f>
        <v>25</v>
      </c>
      <c r="H73" s="215">
        <f t="shared" si="6"/>
        <v>0</v>
      </c>
      <c r="I73" s="215">
        <f t="shared" si="6"/>
        <v>0</v>
      </c>
      <c r="J73" s="215">
        <f t="shared" si="6"/>
        <v>0</v>
      </c>
      <c r="K73" s="215">
        <f t="shared" si="6"/>
        <v>0</v>
      </c>
      <c r="L73" s="215">
        <f t="shared" si="6"/>
        <v>0</v>
      </c>
      <c r="M73" s="215">
        <f t="shared" si="6"/>
        <v>0</v>
      </c>
      <c r="N73" s="215">
        <f t="shared" si="6"/>
        <v>30</v>
      </c>
      <c r="O73" s="215">
        <f t="shared" si="6"/>
        <v>0</v>
      </c>
      <c r="P73" s="215">
        <f t="shared" si="6"/>
        <v>0</v>
      </c>
      <c r="Q73" s="215">
        <f t="shared" si="6"/>
        <v>0</v>
      </c>
      <c r="R73" s="215">
        <f t="shared" si="6"/>
        <v>2</v>
      </c>
      <c r="S73" s="215">
        <f t="shared" si="6"/>
        <v>3</v>
      </c>
      <c r="T73" s="215">
        <f t="shared" si="6"/>
        <v>6</v>
      </c>
      <c r="U73" s="536"/>
      <c r="V73" s="533"/>
      <c r="W73" s="529"/>
      <c r="X73" s="541"/>
    </row>
    <row r="76" spans="1:24" x14ac:dyDescent="0.35">
      <c r="D76" s="195" t="e">
        <f>SUM($F$70+Win10対応_サーバ!$D$25)</f>
        <v>#VALUE!</v>
      </c>
    </row>
    <row r="81" spans="14:14" x14ac:dyDescent="0.35">
      <c r="N81" s="242"/>
    </row>
  </sheetData>
  <mergeCells count="20">
    <mergeCell ref="X70:X73"/>
    <mergeCell ref="B72:E72"/>
    <mergeCell ref="B73:E73"/>
    <mergeCell ref="X2:X3"/>
    <mergeCell ref="F2:F3"/>
    <mergeCell ref="B70:E70"/>
    <mergeCell ref="B71:E71"/>
    <mergeCell ref="B2:B3"/>
    <mergeCell ref="C2:C3"/>
    <mergeCell ref="D2:D3"/>
    <mergeCell ref="E2:E3"/>
    <mergeCell ref="G2:T2"/>
    <mergeCell ref="W70:W71"/>
    <mergeCell ref="W72:W73"/>
    <mergeCell ref="V70:V71"/>
    <mergeCell ref="V72:V73"/>
    <mergeCell ref="U70:U73"/>
    <mergeCell ref="W2:W3"/>
    <mergeCell ref="V2:V3"/>
    <mergeCell ref="U2:U3"/>
  </mergeCells>
  <phoneticPr fontId="4"/>
  <pageMargins left="0.59055118110236227" right="0.19685039370078741" top="0.59055118110236227" bottom="0.39370078740157483" header="0.39370078740157483" footer="0.19685039370078741"/>
  <pageSetup paperSize="9" scale="31" fitToHeight="17" orientation="landscape" r:id="rId1"/>
  <headerFooter alignWithMargins="0">
    <oddHeader>&amp;R&amp;P/&amp;N</oddHeader>
  </headerFooter>
  <rowBreaks count="1" manualBreakCount="1">
    <brk id="39" max="2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D11E2-2AF8-4CC8-8AE1-B9C69D9A1FCA}">
  <sheetPr codeName="Sheet7">
    <pageSetUpPr fitToPage="1"/>
  </sheetPr>
  <dimension ref="A1:V96"/>
  <sheetViews>
    <sheetView view="pageBreakPreview" zoomScale="81" zoomScaleNormal="70" zoomScaleSheetLayoutView="81" workbookViewId="0">
      <pane ySplit="3" topLeftCell="A86" activePane="bottomLeft" state="frozen"/>
      <selection activeCell="D17" sqref="D17"/>
      <selection pane="bottomLeft" activeCell="S74" sqref="S74"/>
    </sheetView>
  </sheetViews>
  <sheetFormatPr defaultColWidth="8.6640625" defaultRowHeight="13.2" x14ac:dyDescent="0.35"/>
  <cols>
    <col min="1" max="1" width="3.109375" style="60" customWidth="1"/>
    <col min="2" max="2" width="14.886718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60" style="120" bestFit="1" customWidth="1"/>
    <col min="22" max="22" width="5" style="120" customWidth="1"/>
    <col min="23" max="16384" width="8.6640625" style="120"/>
  </cols>
  <sheetData>
    <row r="1" spans="1:22" ht="20.399999999999999" thickBot="1" x14ac:dyDescent="0.4">
      <c r="B1" s="121" t="s">
        <v>568</v>
      </c>
      <c r="E1" s="121"/>
    </row>
    <row r="2" spans="1:22" ht="24" customHeight="1" x14ac:dyDescent="0.35">
      <c r="A2" s="118"/>
      <c r="B2" s="522" t="s">
        <v>43</v>
      </c>
      <c r="C2" s="505" t="s">
        <v>44</v>
      </c>
      <c r="D2" s="505" t="s">
        <v>45</v>
      </c>
      <c r="E2" s="498" t="s">
        <v>46</v>
      </c>
      <c r="F2" s="499"/>
      <c r="G2" s="500"/>
      <c r="H2" s="519" t="s">
        <v>47</v>
      </c>
      <c r="I2" s="520"/>
      <c r="J2" s="520"/>
      <c r="K2" s="520"/>
      <c r="L2" s="520"/>
      <c r="M2" s="520"/>
      <c r="N2" s="520"/>
      <c r="O2" s="520"/>
      <c r="P2" s="521"/>
      <c r="Q2" s="501" t="s">
        <v>48</v>
      </c>
      <c r="R2" s="502"/>
      <c r="S2" s="502"/>
      <c r="T2" s="505" t="s">
        <v>49</v>
      </c>
      <c r="U2" s="503" t="s">
        <v>50</v>
      </c>
    </row>
    <row r="3" spans="1:22" ht="27" thickBot="1" x14ac:dyDescent="0.4">
      <c r="A3" s="118"/>
      <c r="B3" s="523"/>
      <c r="C3" s="506"/>
      <c r="D3" s="506"/>
      <c r="E3" s="114" t="s">
        <v>51</v>
      </c>
      <c r="F3" s="247"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506"/>
      <c r="U3" s="504"/>
    </row>
    <row r="4" spans="1:22" ht="28.2" customHeight="1" x14ac:dyDescent="0.35">
      <c r="B4" s="122" t="s">
        <v>569</v>
      </c>
      <c r="C4" s="330" t="s">
        <v>570</v>
      </c>
      <c r="D4" s="325"/>
      <c r="E4" s="384">
        <f>ROW()-3</f>
        <v>1</v>
      </c>
      <c r="F4" s="385" t="s">
        <v>571</v>
      </c>
      <c r="G4" s="386" t="s">
        <v>84</v>
      </c>
      <c r="H4" s="410" t="s">
        <v>71</v>
      </c>
      <c r="I4" s="411" t="s">
        <v>71</v>
      </c>
      <c r="J4" s="410" t="s">
        <v>71</v>
      </c>
      <c r="K4" s="410" t="s">
        <v>71</v>
      </c>
      <c r="L4" s="410" t="s">
        <v>71</v>
      </c>
      <c r="M4" s="410" t="s">
        <v>71</v>
      </c>
      <c r="N4" s="411" t="s">
        <v>71</v>
      </c>
      <c r="O4" s="411" t="s">
        <v>71</v>
      </c>
      <c r="P4" s="412" t="s">
        <v>71</v>
      </c>
      <c r="Q4" s="65"/>
      <c r="R4" s="51"/>
      <c r="S4" s="67"/>
      <c r="T4" s="322"/>
      <c r="U4" s="413" t="s">
        <v>572</v>
      </c>
    </row>
    <row r="5" spans="1:22" ht="28.2" customHeight="1" x14ac:dyDescent="0.35">
      <c r="B5" s="122" t="s">
        <v>573</v>
      </c>
      <c r="C5" s="232" t="s">
        <v>574</v>
      </c>
      <c r="D5" s="227" t="s">
        <v>575</v>
      </c>
      <c r="E5" s="231">
        <f t="shared" ref="E5:E90" si="0">ROW()-3</f>
        <v>2</v>
      </c>
      <c r="F5" s="97" t="s">
        <v>576</v>
      </c>
      <c r="G5" s="91" t="s">
        <v>577</v>
      </c>
      <c r="H5" s="78" t="s">
        <v>957</v>
      </c>
      <c r="I5" s="48" t="s">
        <v>71</v>
      </c>
      <c r="J5" s="48" t="s">
        <v>71</v>
      </c>
      <c r="K5" s="48" t="s">
        <v>71</v>
      </c>
      <c r="L5" s="78" t="s">
        <v>957</v>
      </c>
      <c r="M5" s="78" t="s">
        <v>957</v>
      </c>
      <c r="N5" s="48" t="s">
        <v>71</v>
      </c>
      <c r="O5" s="48" t="s">
        <v>71</v>
      </c>
      <c r="P5" s="62" t="s">
        <v>71</v>
      </c>
      <c r="Q5" s="64">
        <v>45692</v>
      </c>
      <c r="R5" s="49"/>
      <c r="S5" s="66"/>
      <c r="T5" s="85" t="s">
        <v>1006</v>
      </c>
      <c r="U5" s="100"/>
    </row>
    <row r="6" spans="1:22" ht="28.2" customHeight="1" x14ac:dyDescent="0.35">
      <c r="B6" s="122"/>
      <c r="C6" s="267" t="s">
        <v>578</v>
      </c>
      <c r="D6" s="227" t="s">
        <v>579</v>
      </c>
      <c r="E6" s="231">
        <f t="shared" si="0"/>
        <v>3</v>
      </c>
      <c r="F6" s="97" t="s">
        <v>580</v>
      </c>
      <c r="G6" s="91" t="s">
        <v>581</v>
      </c>
      <c r="H6" s="78" t="s">
        <v>957</v>
      </c>
      <c r="I6" s="48" t="s">
        <v>71</v>
      </c>
      <c r="J6" s="48" t="s">
        <v>71</v>
      </c>
      <c r="K6" s="48" t="s">
        <v>71</v>
      </c>
      <c r="L6" s="78" t="s">
        <v>957</v>
      </c>
      <c r="M6" s="78" t="s">
        <v>957</v>
      </c>
      <c r="N6" s="48" t="s">
        <v>71</v>
      </c>
      <c r="O6" s="48" t="s">
        <v>71</v>
      </c>
      <c r="P6" s="62" t="s">
        <v>71</v>
      </c>
      <c r="Q6" s="64">
        <v>45692</v>
      </c>
      <c r="R6" s="49"/>
      <c r="S6" s="66"/>
      <c r="T6" s="85" t="s">
        <v>1006</v>
      </c>
      <c r="U6" s="101" t="s">
        <v>582</v>
      </c>
    </row>
    <row r="7" spans="1:22" ht="28.2" customHeight="1" x14ac:dyDescent="0.35">
      <c r="B7" s="122"/>
      <c r="C7" s="310"/>
      <c r="D7" s="227" t="s">
        <v>583</v>
      </c>
      <c r="E7" s="231">
        <f t="shared" si="0"/>
        <v>4</v>
      </c>
      <c r="F7" s="97" t="s">
        <v>584</v>
      </c>
      <c r="G7" s="91" t="s">
        <v>581</v>
      </c>
      <c r="H7" s="78" t="s">
        <v>957</v>
      </c>
      <c r="I7" s="48" t="s">
        <v>71</v>
      </c>
      <c r="J7" s="48" t="s">
        <v>71</v>
      </c>
      <c r="K7" s="48" t="s">
        <v>71</v>
      </c>
      <c r="L7" s="78" t="s">
        <v>957</v>
      </c>
      <c r="M7" s="78" t="s">
        <v>957</v>
      </c>
      <c r="N7" s="48" t="s">
        <v>71</v>
      </c>
      <c r="O7" s="48" t="s">
        <v>71</v>
      </c>
      <c r="P7" s="62" t="s">
        <v>71</v>
      </c>
      <c r="Q7" s="64">
        <v>45692</v>
      </c>
      <c r="R7" s="49"/>
      <c r="S7" s="66"/>
      <c r="T7" s="85" t="s">
        <v>1006</v>
      </c>
      <c r="U7" s="101" t="s">
        <v>958</v>
      </c>
    </row>
    <row r="8" spans="1:22" ht="26.4" x14ac:dyDescent="0.35">
      <c r="B8" s="122"/>
      <c r="C8" s="311"/>
      <c r="D8" s="227" t="s">
        <v>585</v>
      </c>
      <c r="E8" s="231">
        <f t="shared" si="0"/>
        <v>5</v>
      </c>
      <c r="F8" s="97" t="s">
        <v>586</v>
      </c>
      <c r="G8" s="91" t="s">
        <v>581</v>
      </c>
      <c r="H8" s="78" t="s">
        <v>957</v>
      </c>
      <c r="I8" s="48" t="s">
        <v>71</v>
      </c>
      <c r="J8" s="48" t="s">
        <v>71</v>
      </c>
      <c r="K8" s="48" t="s">
        <v>71</v>
      </c>
      <c r="L8" s="78" t="s">
        <v>957</v>
      </c>
      <c r="M8" s="78" t="s">
        <v>957</v>
      </c>
      <c r="N8" s="48" t="s">
        <v>71</v>
      </c>
      <c r="O8" s="48" t="s">
        <v>71</v>
      </c>
      <c r="P8" s="62" t="s">
        <v>71</v>
      </c>
      <c r="Q8" s="64">
        <v>45692</v>
      </c>
      <c r="R8" s="49"/>
      <c r="S8" s="66"/>
      <c r="T8" s="85" t="s">
        <v>1006</v>
      </c>
      <c r="U8" s="101" t="s">
        <v>960</v>
      </c>
    </row>
    <row r="9" spans="1:22" ht="28.2" customHeight="1" x14ac:dyDescent="0.35">
      <c r="B9" s="122"/>
      <c r="C9" s="123"/>
      <c r="D9" s="227" t="s">
        <v>587</v>
      </c>
      <c r="E9" s="231">
        <f t="shared" si="0"/>
        <v>6</v>
      </c>
      <c r="F9" s="97" t="s">
        <v>580</v>
      </c>
      <c r="G9" s="91" t="s">
        <v>581</v>
      </c>
      <c r="H9" s="78" t="s">
        <v>957</v>
      </c>
      <c r="I9" s="48" t="s">
        <v>71</v>
      </c>
      <c r="J9" s="48" t="s">
        <v>71</v>
      </c>
      <c r="K9" s="48" t="s">
        <v>71</v>
      </c>
      <c r="L9" s="78" t="s">
        <v>957</v>
      </c>
      <c r="M9" s="78" t="s">
        <v>957</v>
      </c>
      <c r="N9" s="48" t="s">
        <v>71</v>
      </c>
      <c r="O9" s="48" t="s">
        <v>71</v>
      </c>
      <c r="P9" s="62" t="s">
        <v>71</v>
      </c>
      <c r="Q9" s="64">
        <v>45692</v>
      </c>
      <c r="R9" s="49"/>
      <c r="S9" s="66"/>
      <c r="T9" s="85" t="s">
        <v>1006</v>
      </c>
      <c r="U9" s="101" t="s">
        <v>961</v>
      </c>
    </row>
    <row r="10" spans="1:22" ht="28.2" customHeight="1" x14ac:dyDescent="0.35">
      <c r="B10" s="122"/>
      <c r="C10" s="310"/>
      <c r="D10" s="227" t="s">
        <v>588</v>
      </c>
      <c r="E10" s="231">
        <f t="shared" si="0"/>
        <v>7</v>
      </c>
      <c r="F10" s="97" t="s">
        <v>584</v>
      </c>
      <c r="G10" s="91" t="s">
        <v>581</v>
      </c>
      <c r="H10" s="78" t="s">
        <v>957</v>
      </c>
      <c r="I10" s="48" t="s">
        <v>71</v>
      </c>
      <c r="J10" s="48" t="s">
        <v>71</v>
      </c>
      <c r="K10" s="48" t="s">
        <v>71</v>
      </c>
      <c r="L10" s="78" t="s">
        <v>957</v>
      </c>
      <c r="M10" s="78" t="s">
        <v>957</v>
      </c>
      <c r="N10" s="48" t="s">
        <v>71</v>
      </c>
      <c r="O10" s="48" t="s">
        <v>71</v>
      </c>
      <c r="P10" s="62" t="s">
        <v>71</v>
      </c>
      <c r="Q10" s="64">
        <v>45692</v>
      </c>
      <c r="R10" s="49"/>
      <c r="S10" s="66"/>
      <c r="T10" s="85" t="s">
        <v>1006</v>
      </c>
      <c r="U10" s="100" t="s">
        <v>962</v>
      </c>
    </row>
    <row r="11" spans="1:22" ht="26.4" x14ac:dyDescent="0.35">
      <c r="B11" s="122"/>
      <c r="C11" s="311"/>
      <c r="D11" s="227" t="s">
        <v>589</v>
      </c>
      <c r="E11" s="231">
        <f t="shared" si="0"/>
        <v>8</v>
      </c>
      <c r="F11" s="97" t="s">
        <v>586</v>
      </c>
      <c r="G11" s="91" t="s">
        <v>581</v>
      </c>
      <c r="H11" s="78" t="s">
        <v>957</v>
      </c>
      <c r="I11" s="48" t="s">
        <v>71</v>
      </c>
      <c r="J11" s="48" t="s">
        <v>71</v>
      </c>
      <c r="K11" s="48" t="s">
        <v>71</v>
      </c>
      <c r="L11" s="78" t="s">
        <v>957</v>
      </c>
      <c r="M11" s="78" t="s">
        <v>957</v>
      </c>
      <c r="N11" s="48" t="s">
        <v>71</v>
      </c>
      <c r="O11" s="48" t="s">
        <v>71</v>
      </c>
      <c r="P11" s="62" t="s">
        <v>71</v>
      </c>
      <c r="Q11" s="64">
        <v>45692</v>
      </c>
      <c r="R11" s="49"/>
      <c r="S11" s="66"/>
      <c r="T11" s="85" t="s">
        <v>1006</v>
      </c>
      <c r="U11" s="100" t="s">
        <v>964</v>
      </c>
    </row>
    <row r="12" spans="1:22" ht="28.2" customHeight="1" x14ac:dyDescent="0.35">
      <c r="B12" s="122"/>
      <c r="C12" s="310"/>
      <c r="D12" s="227" t="s">
        <v>590</v>
      </c>
      <c r="E12" s="231">
        <f t="shared" si="0"/>
        <v>9</v>
      </c>
      <c r="F12" s="97" t="s">
        <v>580</v>
      </c>
      <c r="G12" s="91" t="s">
        <v>581</v>
      </c>
      <c r="H12" s="78" t="s">
        <v>957</v>
      </c>
      <c r="I12" s="48" t="s">
        <v>71</v>
      </c>
      <c r="J12" s="48" t="s">
        <v>71</v>
      </c>
      <c r="K12" s="48" t="s">
        <v>71</v>
      </c>
      <c r="L12" s="78" t="s">
        <v>957</v>
      </c>
      <c r="M12" s="78" t="s">
        <v>957</v>
      </c>
      <c r="N12" s="48" t="s">
        <v>71</v>
      </c>
      <c r="O12" s="48" t="s">
        <v>71</v>
      </c>
      <c r="P12" s="62" t="s">
        <v>71</v>
      </c>
      <c r="Q12" s="64">
        <v>45692</v>
      </c>
      <c r="R12" s="49"/>
      <c r="S12" s="66"/>
      <c r="T12" s="85" t="s">
        <v>1006</v>
      </c>
      <c r="U12" s="101" t="s">
        <v>963</v>
      </c>
    </row>
    <row r="13" spans="1:22" ht="26.4" x14ac:dyDescent="0.35">
      <c r="B13" s="122"/>
      <c r="C13" s="311"/>
      <c r="D13" s="227" t="s">
        <v>591</v>
      </c>
      <c r="E13" s="231">
        <f t="shared" si="0"/>
        <v>10</v>
      </c>
      <c r="F13" s="97" t="s">
        <v>584</v>
      </c>
      <c r="G13" s="91" t="s">
        <v>581</v>
      </c>
      <c r="H13" s="78" t="s">
        <v>957</v>
      </c>
      <c r="I13" s="48" t="s">
        <v>71</v>
      </c>
      <c r="J13" s="48" t="s">
        <v>71</v>
      </c>
      <c r="K13" s="48" t="s">
        <v>71</v>
      </c>
      <c r="L13" s="78" t="s">
        <v>957</v>
      </c>
      <c r="M13" s="78" t="s">
        <v>957</v>
      </c>
      <c r="N13" s="48" t="s">
        <v>71</v>
      </c>
      <c r="O13" s="48" t="s">
        <v>71</v>
      </c>
      <c r="P13" s="62" t="s">
        <v>71</v>
      </c>
      <c r="Q13" s="64">
        <v>45692</v>
      </c>
      <c r="R13" s="49"/>
      <c r="S13" s="66"/>
      <c r="T13" s="85" t="s">
        <v>1006</v>
      </c>
      <c r="U13" s="100" t="s">
        <v>965</v>
      </c>
    </row>
    <row r="14" spans="1:22" ht="28.2" customHeight="1" x14ac:dyDescent="0.35">
      <c r="B14" s="122"/>
      <c r="C14" s="123"/>
      <c r="D14" s="227" t="s">
        <v>592</v>
      </c>
      <c r="E14" s="231">
        <f t="shared" si="0"/>
        <v>11</v>
      </c>
      <c r="F14" s="97" t="s">
        <v>586</v>
      </c>
      <c r="G14" s="91" t="s">
        <v>581</v>
      </c>
      <c r="H14" s="78" t="s">
        <v>957</v>
      </c>
      <c r="I14" s="48" t="s">
        <v>71</v>
      </c>
      <c r="J14" s="48" t="s">
        <v>71</v>
      </c>
      <c r="K14" s="48" t="s">
        <v>71</v>
      </c>
      <c r="L14" s="78" t="s">
        <v>957</v>
      </c>
      <c r="M14" s="78" t="s">
        <v>957</v>
      </c>
      <c r="N14" s="48" t="s">
        <v>71</v>
      </c>
      <c r="O14" s="48" t="s">
        <v>71</v>
      </c>
      <c r="P14" s="62" t="s">
        <v>71</v>
      </c>
      <c r="Q14" s="64">
        <v>45692</v>
      </c>
      <c r="R14" s="49"/>
      <c r="S14" s="66"/>
      <c r="T14" s="85" t="s">
        <v>1006</v>
      </c>
      <c r="U14" s="100" t="s">
        <v>966</v>
      </c>
    </row>
    <row r="15" spans="1:22" ht="28.2" customHeight="1" x14ac:dyDescent="0.35">
      <c r="B15" s="122"/>
      <c r="C15" s="124" t="s">
        <v>593</v>
      </c>
      <c r="D15" s="327" t="s">
        <v>594</v>
      </c>
      <c r="E15" s="94">
        <f t="shared" si="0"/>
        <v>12</v>
      </c>
      <c r="F15" s="95" t="s">
        <v>595</v>
      </c>
      <c r="G15" s="96" t="s">
        <v>596</v>
      </c>
      <c r="H15" s="50" t="s">
        <v>71</v>
      </c>
      <c r="I15" s="50" t="s">
        <v>71</v>
      </c>
      <c r="J15" s="50" t="s">
        <v>71</v>
      </c>
      <c r="K15" s="50" t="s">
        <v>71</v>
      </c>
      <c r="L15" s="50" t="s">
        <v>71</v>
      </c>
      <c r="M15" s="50" t="s">
        <v>71</v>
      </c>
      <c r="N15" s="50" t="s">
        <v>71</v>
      </c>
      <c r="O15" s="50" t="s">
        <v>71</v>
      </c>
      <c r="P15" s="63" t="s">
        <v>71</v>
      </c>
      <c r="Q15" s="65"/>
      <c r="R15" s="51"/>
      <c r="S15" s="67"/>
      <c r="T15" s="322"/>
      <c r="U15" s="326" t="s">
        <v>597</v>
      </c>
      <c r="V15" s="126"/>
    </row>
    <row r="16" spans="1:22" ht="28.2" customHeight="1" x14ac:dyDescent="0.35">
      <c r="B16" s="122"/>
      <c r="C16" s="267"/>
      <c r="D16" s="232" t="s">
        <v>598</v>
      </c>
      <c r="E16" s="231">
        <f t="shared" si="0"/>
        <v>13</v>
      </c>
      <c r="F16" s="97" t="s">
        <v>599</v>
      </c>
      <c r="G16" s="91" t="s">
        <v>596</v>
      </c>
      <c r="H16" s="78" t="s">
        <v>957</v>
      </c>
      <c r="I16" s="48" t="s">
        <v>71</v>
      </c>
      <c r="J16" s="48" t="s">
        <v>71</v>
      </c>
      <c r="K16" s="48" t="s">
        <v>71</v>
      </c>
      <c r="L16" s="78" t="s">
        <v>957</v>
      </c>
      <c r="M16" s="78" t="s">
        <v>957</v>
      </c>
      <c r="N16" s="48" t="s">
        <v>71</v>
      </c>
      <c r="O16" s="48" t="s">
        <v>71</v>
      </c>
      <c r="P16" s="62" t="s">
        <v>71</v>
      </c>
      <c r="Q16" s="64">
        <v>45692</v>
      </c>
      <c r="R16" s="49"/>
      <c r="S16" s="66"/>
      <c r="T16" s="85" t="s">
        <v>1006</v>
      </c>
      <c r="U16" s="100" t="s">
        <v>970</v>
      </c>
    </row>
    <row r="17" spans="2:22" ht="28.95" customHeight="1" x14ac:dyDescent="0.35">
      <c r="B17" s="122"/>
      <c r="C17" s="123"/>
      <c r="D17" s="232" t="s">
        <v>600</v>
      </c>
      <c r="E17" s="231">
        <f t="shared" si="0"/>
        <v>14</v>
      </c>
      <c r="F17" s="97" t="s">
        <v>595</v>
      </c>
      <c r="G17" s="91" t="s">
        <v>596</v>
      </c>
      <c r="H17" s="78" t="s">
        <v>957</v>
      </c>
      <c r="I17" s="48" t="s">
        <v>71</v>
      </c>
      <c r="J17" s="48" t="s">
        <v>71</v>
      </c>
      <c r="K17" s="48" t="s">
        <v>71</v>
      </c>
      <c r="L17" s="78" t="s">
        <v>957</v>
      </c>
      <c r="M17" s="78" t="s">
        <v>957</v>
      </c>
      <c r="N17" s="48" t="s">
        <v>71</v>
      </c>
      <c r="O17" s="48" t="s">
        <v>71</v>
      </c>
      <c r="P17" s="62" t="s">
        <v>71</v>
      </c>
      <c r="Q17" s="64">
        <v>45692</v>
      </c>
      <c r="R17" s="49"/>
      <c r="S17" s="66"/>
      <c r="T17" s="85" t="s">
        <v>1006</v>
      </c>
      <c r="U17" s="100" t="s">
        <v>971</v>
      </c>
    </row>
    <row r="18" spans="2:22" ht="28.2" customHeight="1" x14ac:dyDescent="0.35">
      <c r="B18" s="122"/>
      <c r="C18" s="267"/>
      <c r="D18" s="267" t="s">
        <v>601</v>
      </c>
      <c r="E18" s="231">
        <f t="shared" si="0"/>
        <v>15</v>
      </c>
      <c r="F18" s="97" t="s">
        <v>602</v>
      </c>
      <c r="G18" s="91" t="s">
        <v>596</v>
      </c>
      <c r="H18" s="78" t="s">
        <v>957</v>
      </c>
      <c r="I18" s="48" t="s">
        <v>71</v>
      </c>
      <c r="J18" s="48" t="s">
        <v>71</v>
      </c>
      <c r="K18" s="48" t="s">
        <v>71</v>
      </c>
      <c r="L18" s="78" t="s">
        <v>957</v>
      </c>
      <c r="M18" s="78" t="s">
        <v>957</v>
      </c>
      <c r="N18" s="48" t="s">
        <v>71</v>
      </c>
      <c r="O18" s="48" t="s">
        <v>71</v>
      </c>
      <c r="P18" s="62" t="s">
        <v>71</v>
      </c>
      <c r="Q18" s="64">
        <v>45692</v>
      </c>
      <c r="R18" s="49"/>
      <c r="S18" s="66"/>
      <c r="T18" s="85" t="s">
        <v>1006</v>
      </c>
      <c r="U18" s="100" t="s">
        <v>972</v>
      </c>
      <c r="V18" s="126"/>
    </row>
    <row r="19" spans="2:22" ht="28.2" customHeight="1" x14ac:dyDescent="0.35">
      <c r="B19" s="122"/>
      <c r="C19" s="267"/>
      <c r="D19" s="232" t="s">
        <v>603</v>
      </c>
      <c r="E19" s="231">
        <f t="shared" si="0"/>
        <v>16</v>
      </c>
      <c r="F19" s="97" t="s">
        <v>604</v>
      </c>
      <c r="G19" s="91" t="s">
        <v>596</v>
      </c>
      <c r="H19" s="78" t="s">
        <v>957</v>
      </c>
      <c r="I19" s="48" t="s">
        <v>71</v>
      </c>
      <c r="J19" s="48" t="s">
        <v>71</v>
      </c>
      <c r="K19" s="48" t="s">
        <v>71</v>
      </c>
      <c r="L19" s="78" t="s">
        <v>957</v>
      </c>
      <c r="M19" s="78" t="s">
        <v>957</v>
      </c>
      <c r="N19" s="48" t="s">
        <v>71</v>
      </c>
      <c r="O19" s="48" t="s">
        <v>71</v>
      </c>
      <c r="P19" s="62" t="s">
        <v>71</v>
      </c>
      <c r="Q19" s="64">
        <v>45692</v>
      </c>
      <c r="R19" s="49"/>
      <c r="S19" s="66"/>
      <c r="T19" s="85" t="s">
        <v>1006</v>
      </c>
      <c r="U19" s="100" t="s">
        <v>973</v>
      </c>
    </row>
    <row r="20" spans="2:22" ht="28.95" customHeight="1" x14ac:dyDescent="0.35">
      <c r="B20" s="122"/>
      <c r="C20" s="123"/>
      <c r="D20" s="232" t="s">
        <v>605</v>
      </c>
      <c r="E20" s="231">
        <f t="shared" si="0"/>
        <v>17</v>
      </c>
      <c r="F20" s="97" t="s">
        <v>602</v>
      </c>
      <c r="G20" s="91" t="s">
        <v>596</v>
      </c>
      <c r="H20" s="78" t="s">
        <v>957</v>
      </c>
      <c r="I20" s="48" t="s">
        <v>71</v>
      </c>
      <c r="J20" s="48" t="s">
        <v>71</v>
      </c>
      <c r="K20" s="48" t="s">
        <v>71</v>
      </c>
      <c r="L20" s="78" t="s">
        <v>957</v>
      </c>
      <c r="M20" s="78" t="s">
        <v>957</v>
      </c>
      <c r="N20" s="48" t="s">
        <v>71</v>
      </c>
      <c r="O20" s="48" t="s">
        <v>71</v>
      </c>
      <c r="P20" s="62" t="s">
        <v>71</v>
      </c>
      <c r="Q20" s="64">
        <v>45692</v>
      </c>
      <c r="R20" s="49"/>
      <c r="S20" s="66"/>
      <c r="T20" s="85" t="s">
        <v>1006</v>
      </c>
      <c r="U20" s="100" t="s">
        <v>974</v>
      </c>
    </row>
    <row r="21" spans="2:22" ht="28.2" customHeight="1" x14ac:dyDescent="0.35">
      <c r="B21" s="122"/>
      <c r="C21" s="124" t="s">
        <v>606</v>
      </c>
      <c r="D21" s="267" t="s">
        <v>607</v>
      </c>
      <c r="E21" s="231">
        <f t="shared" si="0"/>
        <v>18</v>
      </c>
      <c r="F21" s="97" t="s">
        <v>608</v>
      </c>
      <c r="G21" s="91" t="s">
        <v>609</v>
      </c>
      <c r="H21" s="78" t="s">
        <v>957</v>
      </c>
      <c r="I21" s="48" t="s">
        <v>71</v>
      </c>
      <c r="J21" s="48" t="s">
        <v>71</v>
      </c>
      <c r="K21" s="48" t="s">
        <v>71</v>
      </c>
      <c r="L21" s="78" t="s">
        <v>957</v>
      </c>
      <c r="M21" s="78" t="s">
        <v>957</v>
      </c>
      <c r="N21" s="48" t="s">
        <v>71</v>
      </c>
      <c r="O21" s="48" t="s">
        <v>71</v>
      </c>
      <c r="P21" s="62" t="s">
        <v>71</v>
      </c>
      <c r="Q21" s="64">
        <v>45692</v>
      </c>
      <c r="R21" s="49"/>
      <c r="S21" s="66"/>
      <c r="T21" s="85" t="s">
        <v>1006</v>
      </c>
      <c r="U21" s="100" t="s">
        <v>975</v>
      </c>
    </row>
    <row r="22" spans="2:22" ht="28.2" customHeight="1" x14ac:dyDescent="0.35">
      <c r="B22" s="122"/>
      <c r="C22" s="267"/>
      <c r="D22" s="267"/>
      <c r="E22" s="231">
        <f t="shared" si="0"/>
        <v>19</v>
      </c>
      <c r="F22" s="97" t="s">
        <v>610</v>
      </c>
      <c r="G22" s="91" t="s">
        <v>609</v>
      </c>
      <c r="H22" s="78" t="s">
        <v>957</v>
      </c>
      <c r="I22" s="48" t="s">
        <v>71</v>
      </c>
      <c r="J22" s="48" t="s">
        <v>71</v>
      </c>
      <c r="K22" s="48" t="s">
        <v>71</v>
      </c>
      <c r="L22" s="78" t="s">
        <v>957</v>
      </c>
      <c r="M22" s="78" t="s">
        <v>957</v>
      </c>
      <c r="N22" s="48" t="s">
        <v>71</v>
      </c>
      <c r="O22" s="48" t="s">
        <v>71</v>
      </c>
      <c r="P22" s="62" t="s">
        <v>71</v>
      </c>
      <c r="Q22" s="64">
        <v>45692</v>
      </c>
      <c r="R22" s="49"/>
      <c r="S22" s="66"/>
      <c r="T22" s="85" t="s">
        <v>1006</v>
      </c>
      <c r="U22" s="100" t="s">
        <v>976</v>
      </c>
    </row>
    <row r="23" spans="2:22" ht="28.2" customHeight="1" x14ac:dyDescent="0.35">
      <c r="B23" s="122"/>
      <c r="C23" s="267"/>
      <c r="D23" s="227"/>
      <c r="E23" s="231">
        <f t="shared" si="0"/>
        <v>20</v>
      </c>
      <c r="F23" s="97" t="s">
        <v>611</v>
      </c>
      <c r="G23" s="91" t="s">
        <v>609</v>
      </c>
      <c r="H23" s="78" t="s">
        <v>957</v>
      </c>
      <c r="I23" s="48" t="s">
        <v>71</v>
      </c>
      <c r="J23" s="48" t="s">
        <v>71</v>
      </c>
      <c r="K23" s="48" t="s">
        <v>71</v>
      </c>
      <c r="L23" s="78" t="s">
        <v>957</v>
      </c>
      <c r="M23" s="78" t="s">
        <v>957</v>
      </c>
      <c r="N23" s="48" t="s">
        <v>71</v>
      </c>
      <c r="O23" s="48" t="s">
        <v>71</v>
      </c>
      <c r="P23" s="62" t="s">
        <v>71</v>
      </c>
      <c r="Q23" s="64">
        <v>45692</v>
      </c>
      <c r="R23" s="49"/>
      <c r="S23" s="66"/>
      <c r="T23" s="85" t="s">
        <v>1006</v>
      </c>
      <c r="U23" s="100" t="s">
        <v>977</v>
      </c>
    </row>
    <row r="24" spans="2:22" ht="28.2" customHeight="1" x14ac:dyDescent="0.35">
      <c r="B24" s="122"/>
      <c r="C24" s="123"/>
      <c r="D24" s="267" t="s">
        <v>612</v>
      </c>
      <c r="E24" s="231">
        <f t="shared" si="0"/>
        <v>21</v>
      </c>
      <c r="F24" s="97" t="s">
        <v>613</v>
      </c>
      <c r="G24" s="91" t="s">
        <v>609</v>
      </c>
      <c r="H24" s="78" t="s">
        <v>957</v>
      </c>
      <c r="I24" s="48" t="s">
        <v>71</v>
      </c>
      <c r="J24" s="48" t="s">
        <v>71</v>
      </c>
      <c r="K24" s="48" t="s">
        <v>71</v>
      </c>
      <c r="L24" s="78" t="s">
        <v>957</v>
      </c>
      <c r="M24" s="78" t="s">
        <v>957</v>
      </c>
      <c r="N24" s="48" t="s">
        <v>71</v>
      </c>
      <c r="O24" s="48" t="s">
        <v>71</v>
      </c>
      <c r="P24" s="62" t="s">
        <v>71</v>
      </c>
      <c r="Q24" s="64">
        <v>45692</v>
      </c>
      <c r="R24" s="49"/>
      <c r="S24" s="66"/>
      <c r="T24" s="85" t="s">
        <v>1006</v>
      </c>
      <c r="U24" s="100" t="s">
        <v>978</v>
      </c>
    </row>
    <row r="25" spans="2:22" ht="28.2" customHeight="1" x14ac:dyDescent="0.35">
      <c r="B25" s="122"/>
      <c r="C25" s="267"/>
      <c r="D25" s="267"/>
      <c r="E25" s="231">
        <f t="shared" si="0"/>
        <v>22</v>
      </c>
      <c r="F25" s="97" t="s">
        <v>614</v>
      </c>
      <c r="G25" s="91" t="s">
        <v>609</v>
      </c>
      <c r="H25" s="78" t="s">
        <v>957</v>
      </c>
      <c r="I25" s="48" t="s">
        <v>71</v>
      </c>
      <c r="J25" s="48" t="s">
        <v>71</v>
      </c>
      <c r="K25" s="48" t="s">
        <v>71</v>
      </c>
      <c r="L25" s="78" t="s">
        <v>957</v>
      </c>
      <c r="M25" s="78" t="s">
        <v>957</v>
      </c>
      <c r="N25" s="48" t="s">
        <v>71</v>
      </c>
      <c r="O25" s="48" t="s">
        <v>71</v>
      </c>
      <c r="P25" s="62" t="s">
        <v>71</v>
      </c>
      <c r="Q25" s="64">
        <v>45692</v>
      </c>
      <c r="R25" s="49"/>
      <c r="S25" s="66"/>
      <c r="T25" s="85" t="s">
        <v>1006</v>
      </c>
      <c r="U25" s="101" t="s">
        <v>979</v>
      </c>
    </row>
    <row r="26" spans="2:22" ht="28.2" customHeight="1" x14ac:dyDescent="0.35">
      <c r="B26" s="122"/>
      <c r="C26" s="267"/>
      <c r="D26" s="267"/>
      <c r="E26" s="231">
        <f t="shared" si="0"/>
        <v>23</v>
      </c>
      <c r="F26" s="97" t="s">
        <v>615</v>
      </c>
      <c r="G26" s="91" t="s">
        <v>609</v>
      </c>
      <c r="H26" s="78" t="s">
        <v>957</v>
      </c>
      <c r="I26" s="48" t="s">
        <v>71</v>
      </c>
      <c r="J26" s="48" t="s">
        <v>71</v>
      </c>
      <c r="K26" s="48" t="s">
        <v>71</v>
      </c>
      <c r="L26" s="78" t="s">
        <v>957</v>
      </c>
      <c r="M26" s="78" t="s">
        <v>957</v>
      </c>
      <c r="N26" s="48" t="s">
        <v>71</v>
      </c>
      <c r="O26" s="48" t="s">
        <v>71</v>
      </c>
      <c r="P26" s="62" t="s">
        <v>71</v>
      </c>
      <c r="Q26" s="64">
        <v>45692</v>
      </c>
      <c r="R26" s="49"/>
      <c r="S26" s="66"/>
      <c r="T26" s="85" t="s">
        <v>1006</v>
      </c>
      <c r="U26" s="101" t="s">
        <v>980</v>
      </c>
    </row>
    <row r="27" spans="2:22" ht="28.2" customHeight="1" x14ac:dyDescent="0.35">
      <c r="B27" s="125" t="s">
        <v>616</v>
      </c>
      <c r="C27" s="232" t="s">
        <v>574</v>
      </c>
      <c r="D27" s="232" t="s">
        <v>575</v>
      </c>
      <c r="E27" s="231">
        <f t="shared" si="0"/>
        <v>24</v>
      </c>
      <c r="F27" s="97" t="s">
        <v>576</v>
      </c>
      <c r="G27" s="91" t="s">
        <v>577</v>
      </c>
      <c r="H27" s="78" t="s">
        <v>957</v>
      </c>
      <c r="I27" s="48" t="s">
        <v>71</v>
      </c>
      <c r="J27" s="48" t="s">
        <v>71</v>
      </c>
      <c r="K27" s="48" t="s">
        <v>71</v>
      </c>
      <c r="L27" s="78" t="s">
        <v>957</v>
      </c>
      <c r="M27" s="78" t="s">
        <v>957</v>
      </c>
      <c r="N27" s="48" t="s">
        <v>71</v>
      </c>
      <c r="O27" s="48" t="s">
        <v>71</v>
      </c>
      <c r="P27" s="62" t="s">
        <v>71</v>
      </c>
      <c r="Q27" s="64">
        <v>45692</v>
      </c>
      <c r="R27" s="49"/>
      <c r="S27" s="66"/>
      <c r="T27" s="85" t="s">
        <v>1006</v>
      </c>
      <c r="U27" s="100" t="s">
        <v>983</v>
      </c>
    </row>
    <row r="28" spans="2:22" ht="28.2" customHeight="1" x14ac:dyDescent="0.35">
      <c r="B28" s="122"/>
      <c r="C28" s="267" t="s">
        <v>578</v>
      </c>
      <c r="D28" s="325" t="s">
        <v>579</v>
      </c>
      <c r="E28" s="94">
        <f t="shared" si="0"/>
        <v>25</v>
      </c>
      <c r="F28" s="95" t="s">
        <v>580</v>
      </c>
      <c r="G28" s="96" t="s">
        <v>617</v>
      </c>
      <c r="H28" s="50" t="s">
        <v>71</v>
      </c>
      <c r="I28" s="50" t="s">
        <v>71</v>
      </c>
      <c r="J28" s="50" t="s">
        <v>71</v>
      </c>
      <c r="K28" s="50" t="s">
        <v>71</v>
      </c>
      <c r="L28" s="50" t="s">
        <v>71</v>
      </c>
      <c r="M28" s="50" t="s">
        <v>71</v>
      </c>
      <c r="N28" s="50" t="s">
        <v>71</v>
      </c>
      <c r="O28" s="50" t="s">
        <v>71</v>
      </c>
      <c r="P28" s="63" t="s">
        <v>71</v>
      </c>
      <c r="Q28" s="65"/>
      <c r="R28" s="51"/>
      <c r="S28" s="67"/>
      <c r="T28" s="322"/>
      <c r="U28" s="326" t="s">
        <v>618</v>
      </c>
    </row>
    <row r="29" spans="2:22" ht="28.2" customHeight="1" x14ac:dyDescent="0.35">
      <c r="B29" s="122"/>
      <c r="C29" s="310"/>
      <c r="D29" s="335" t="s">
        <v>583</v>
      </c>
      <c r="E29" s="89">
        <f t="shared" si="0"/>
        <v>26</v>
      </c>
      <c r="F29" s="90" t="s">
        <v>584</v>
      </c>
      <c r="G29" s="91" t="s">
        <v>617</v>
      </c>
      <c r="H29" s="78" t="s">
        <v>957</v>
      </c>
      <c r="I29" s="48" t="s">
        <v>71</v>
      </c>
      <c r="J29" s="48" t="s">
        <v>71</v>
      </c>
      <c r="K29" s="48" t="s">
        <v>71</v>
      </c>
      <c r="L29" s="78" t="s">
        <v>957</v>
      </c>
      <c r="M29" s="78" t="s">
        <v>957</v>
      </c>
      <c r="N29" s="48" t="s">
        <v>71</v>
      </c>
      <c r="O29" s="48" t="s">
        <v>71</v>
      </c>
      <c r="P29" s="62" t="s">
        <v>71</v>
      </c>
      <c r="Q29" s="64">
        <v>45692</v>
      </c>
      <c r="R29" s="49"/>
      <c r="S29" s="66"/>
      <c r="T29" s="85" t="s">
        <v>1006</v>
      </c>
      <c r="U29" s="101" t="s">
        <v>981</v>
      </c>
    </row>
    <row r="30" spans="2:22" ht="26.4" x14ac:dyDescent="0.35">
      <c r="B30" s="122"/>
      <c r="C30" s="311"/>
      <c r="D30" s="335" t="s">
        <v>585</v>
      </c>
      <c r="E30" s="89">
        <f t="shared" si="0"/>
        <v>27</v>
      </c>
      <c r="F30" s="90" t="s">
        <v>586</v>
      </c>
      <c r="G30" s="91" t="s">
        <v>617</v>
      </c>
      <c r="H30" s="78" t="s">
        <v>957</v>
      </c>
      <c r="I30" s="48" t="s">
        <v>71</v>
      </c>
      <c r="J30" s="48" t="s">
        <v>71</v>
      </c>
      <c r="K30" s="48" t="s">
        <v>71</v>
      </c>
      <c r="L30" s="78" t="s">
        <v>957</v>
      </c>
      <c r="M30" s="78" t="s">
        <v>957</v>
      </c>
      <c r="N30" s="48" t="s">
        <v>71</v>
      </c>
      <c r="O30" s="48" t="s">
        <v>71</v>
      </c>
      <c r="P30" s="62" t="s">
        <v>71</v>
      </c>
      <c r="Q30" s="64">
        <v>45692</v>
      </c>
      <c r="R30" s="49"/>
      <c r="S30" s="66"/>
      <c r="T30" s="85" t="s">
        <v>1006</v>
      </c>
      <c r="U30" s="342" t="s">
        <v>982</v>
      </c>
    </row>
    <row r="31" spans="2:22" ht="28.2" customHeight="1" x14ac:dyDescent="0.35">
      <c r="B31" s="122"/>
      <c r="C31" s="123"/>
      <c r="D31" s="227" t="s">
        <v>587</v>
      </c>
      <c r="E31" s="231">
        <f t="shared" si="0"/>
        <v>28</v>
      </c>
      <c r="F31" s="97" t="s">
        <v>580</v>
      </c>
      <c r="G31" s="91" t="s">
        <v>617</v>
      </c>
      <c r="H31" s="78" t="s">
        <v>957</v>
      </c>
      <c r="I31" s="48" t="s">
        <v>71</v>
      </c>
      <c r="J31" s="48" t="s">
        <v>71</v>
      </c>
      <c r="K31" s="48" t="s">
        <v>71</v>
      </c>
      <c r="L31" s="78" t="s">
        <v>957</v>
      </c>
      <c r="M31" s="78" t="s">
        <v>957</v>
      </c>
      <c r="N31" s="48" t="s">
        <v>71</v>
      </c>
      <c r="O31" s="48" t="s">
        <v>71</v>
      </c>
      <c r="P31" s="62" t="s">
        <v>71</v>
      </c>
      <c r="Q31" s="64">
        <v>45692</v>
      </c>
      <c r="R31" s="49"/>
      <c r="S31" s="66"/>
      <c r="T31" s="85" t="s">
        <v>1006</v>
      </c>
      <c r="U31" s="101" t="s">
        <v>983</v>
      </c>
    </row>
    <row r="32" spans="2:22" ht="28.2" customHeight="1" x14ac:dyDescent="0.35">
      <c r="B32" s="122"/>
      <c r="C32" s="310"/>
      <c r="D32" s="335" t="s">
        <v>588</v>
      </c>
      <c r="E32" s="89">
        <f t="shared" si="0"/>
        <v>29</v>
      </c>
      <c r="F32" s="90" t="s">
        <v>584</v>
      </c>
      <c r="G32" s="91" t="s">
        <v>617</v>
      </c>
      <c r="H32" s="78" t="s">
        <v>957</v>
      </c>
      <c r="I32" s="48" t="s">
        <v>71</v>
      </c>
      <c r="J32" s="48" t="s">
        <v>71</v>
      </c>
      <c r="K32" s="48" t="s">
        <v>71</v>
      </c>
      <c r="L32" s="78" t="s">
        <v>957</v>
      </c>
      <c r="M32" s="78" t="s">
        <v>957</v>
      </c>
      <c r="N32" s="48" t="s">
        <v>71</v>
      </c>
      <c r="O32" s="48" t="s">
        <v>71</v>
      </c>
      <c r="P32" s="62" t="s">
        <v>71</v>
      </c>
      <c r="Q32" s="64">
        <v>45692</v>
      </c>
      <c r="R32" s="49"/>
      <c r="S32" s="66"/>
      <c r="T32" s="85" t="s">
        <v>1006</v>
      </c>
      <c r="U32" s="101" t="s">
        <v>984</v>
      </c>
    </row>
    <row r="33" spans="2:22" ht="26.4" x14ac:dyDescent="0.35">
      <c r="B33" s="122"/>
      <c r="C33" s="311"/>
      <c r="D33" s="335" t="s">
        <v>589</v>
      </c>
      <c r="E33" s="89">
        <f t="shared" si="0"/>
        <v>30</v>
      </c>
      <c r="F33" s="90" t="s">
        <v>586</v>
      </c>
      <c r="G33" s="91" t="s">
        <v>617</v>
      </c>
      <c r="H33" s="78" t="s">
        <v>957</v>
      </c>
      <c r="I33" s="48" t="s">
        <v>71</v>
      </c>
      <c r="J33" s="48" t="s">
        <v>71</v>
      </c>
      <c r="K33" s="48" t="s">
        <v>71</v>
      </c>
      <c r="L33" s="78" t="s">
        <v>957</v>
      </c>
      <c r="M33" s="78" t="s">
        <v>957</v>
      </c>
      <c r="N33" s="48" t="s">
        <v>71</v>
      </c>
      <c r="O33" s="48" t="s">
        <v>71</v>
      </c>
      <c r="P33" s="62" t="s">
        <v>71</v>
      </c>
      <c r="Q33" s="64">
        <v>45692</v>
      </c>
      <c r="R33" s="49"/>
      <c r="S33" s="66"/>
      <c r="T33" s="85" t="s">
        <v>1006</v>
      </c>
      <c r="U33" s="342" t="s">
        <v>985</v>
      </c>
    </row>
    <row r="34" spans="2:22" ht="28.2" customHeight="1" x14ac:dyDescent="0.35">
      <c r="B34" s="122"/>
      <c r="C34" s="310"/>
      <c r="D34" s="227" t="s">
        <v>619</v>
      </c>
      <c r="E34" s="231">
        <f t="shared" si="0"/>
        <v>31</v>
      </c>
      <c r="F34" s="97" t="s">
        <v>580</v>
      </c>
      <c r="G34" s="91" t="s">
        <v>617</v>
      </c>
      <c r="H34" s="78" t="s">
        <v>957</v>
      </c>
      <c r="I34" s="48" t="s">
        <v>71</v>
      </c>
      <c r="J34" s="48" t="s">
        <v>71</v>
      </c>
      <c r="K34" s="48" t="s">
        <v>71</v>
      </c>
      <c r="L34" s="78" t="s">
        <v>957</v>
      </c>
      <c r="M34" s="78" t="s">
        <v>957</v>
      </c>
      <c r="N34" s="48" t="s">
        <v>71</v>
      </c>
      <c r="O34" s="48" t="s">
        <v>71</v>
      </c>
      <c r="P34" s="62" t="s">
        <v>71</v>
      </c>
      <c r="Q34" s="64">
        <v>45692</v>
      </c>
      <c r="R34" s="49"/>
      <c r="S34" s="66"/>
      <c r="T34" s="85" t="s">
        <v>1006</v>
      </c>
      <c r="U34" s="101" t="s">
        <v>986</v>
      </c>
    </row>
    <row r="35" spans="2:22" ht="26.4" x14ac:dyDescent="0.35">
      <c r="B35" s="122"/>
      <c r="C35" s="311"/>
      <c r="D35" s="335" t="s">
        <v>591</v>
      </c>
      <c r="E35" s="89">
        <f t="shared" si="0"/>
        <v>32</v>
      </c>
      <c r="F35" s="90" t="s">
        <v>584</v>
      </c>
      <c r="G35" s="91" t="s">
        <v>617</v>
      </c>
      <c r="H35" s="78" t="s">
        <v>957</v>
      </c>
      <c r="I35" s="48" t="s">
        <v>71</v>
      </c>
      <c r="J35" s="48" t="s">
        <v>71</v>
      </c>
      <c r="K35" s="48" t="s">
        <v>71</v>
      </c>
      <c r="L35" s="78" t="s">
        <v>957</v>
      </c>
      <c r="M35" s="78" t="s">
        <v>957</v>
      </c>
      <c r="N35" s="48" t="s">
        <v>71</v>
      </c>
      <c r="O35" s="48" t="s">
        <v>71</v>
      </c>
      <c r="P35" s="62" t="s">
        <v>71</v>
      </c>
      <c r="Q35" s="64">
        <v>45692</v>
      </c>
      <c r="R35" s="49"/>
      <c r="S35" s="66"/>
      <c r="T35" s="85" t="s">
        <v>1006</v>
      </c>
      <c r="U35" s="101" t="s">
        <v>987</v>
      </c>
    </row>
    <row r="36" spans="2:22" ht="28.2" customHeight="1" x14ac:dyDescent="0.35">
      <c r="B36" s="122"/>
      <c r="C36" s="123"/>
      <c r="D36" s="335" t="s">
        <v>592</v>
      </c>
      <c r="E36" s="89">
        <f t="shared" si="0"/>
        <v>33</v>
      </c>
      <c r="F36" s="90" t="s">
        <v>586</v>
      </c>
      <c r="G36" s="91" t="s">
        <v>617</v>
      </c>
      <c r="H36" s="78" t="s">
        <v>957</v>
      </c>
      <c r="I36" s="48" t="s">
        <v>71</v>
      </c>
      <c r="J36" s="48" t="s">
        <v>71</v>
      </c>
      <c r="K36" s="48" t="s">
        <v>71</v>
      </c>
      <c r="L36" s="78" t="s">
        <v>957</v>
      </c>
      <c r="M36" s="78" t="s">
        <v>957</v>
      </c>
      <c r="N36" s="48" t="s">
        <v>71</v>
      </c>
      <c r="O36" s="48" t="s">
        <v>71</v>
      </c>
      <c r="P36" s="62" t="s">
        <v>71</v>
      </c>
      <c r="Q36" s="64">
        <v>45692</v>
      </c>
      <c r="R36" s="49"/>
      <c r="S36" s="66"/>
      <c r="T36" s="85" t="s">
        <v>1006</v>
      </c>
      <c r="U36" s="101" t="s">
        <v>988</v>
      </c>
    </row>
    <row r="37" spans="2:22" ht="28.2" customHeight="1" x14ac:dyDescent="0.35">
      <c r="B37" s="122"/>
      <c r="C37" s="124" t="s">
        <v>593</v>
      </c>
      <c r="D37" s="327" t="s">
        <v>594</v>
      </c>
      <c r="E37" s="94">
        <f t="shared" si="0"/>
        <v>34</v>
      </c>
      <c r="F37" s="95" t="s">
        <v>595</v>
      </c>
      <c r="G37" s="96" t="s">
        <v>620</v>
      </c>
      <c r="H37" s="50" t="s">
        <v>71</v>
      </c>
      <c r="I37" s="50" t="s">
        <v>71</v>
      </c>
      <c r="J37" s="50" t="s">
        <v>71</v>
      </c>
      <c r="K37" s="50" t="s">
        <v>71</v>
      </c>
      <c r="L37" s="50" t="s">
        <v>71</v>
      </c>
      <c r="M37" s="50" t="s">
        <v>71</v>
      </c>
      <c r="N37" s="50" t="s">
        <v>71</v>
      </c>
      <c r="O37" s="50" t="s">
        <v>71</v>
      </c>
      <c r="P37" s="63" t="s">
        <v>71</v>
      </c>
      <c r="Q37" s="65"/>
      <c r="R37" s="51"/>
      <c r="S37" s="67"/>
      <c r="T37" s="322"/>
      <c r="U37" s="326" t="s">
        <v>618</v>
      </c>
      <c r="V37" s="126"/>
    </row>
    <row r="38" spans="2:22" ht="26.4" x14ac:dyDescent="0.35">
      <c r="B38" s="122"/>
      <c r="C38" s="267"/>
      <c r="D38" s="232" t="s">
        <v>598</v>
      </c>
      <c r="E38" s="231">
        <f t="shared" si="0"/>
        <v>35</v>
      </c>
      <c r="F38" s="97" t="s">
        <v>599</v>
      </c>
      <c r="G38" s="91" t="s">
        <v>620</v>
      </c>
      <c r="H38" s="78" t="s">
        <v>957</v>
      </c>
      <c r="I38" s="48" t="s">
        <v>71</v>
      </c>
      <c r="J38" s="48" t="s">
        <v>71</v>
      </c>
      <c r="K38" s="48" t="s">
        <v>71</v>
      </c>
      <c r="L38" s="78" t="s">
        <v>957</v>
      </c>
      <c r="M38" s="78" t="s">
        <v>957</v>
      </c>
      <c r="N38" s="48" t="s">
        <v>71</v>
      </c>
      <c r="O38" s="48" t="s">
        <v>71</v>
      </c>
      <c r="P38" s="62" t="s">
        <v>71</v>
      </c>
      <c r="Q38" s="64">
        <v>45692</v>
      </c>
      <c r="R38" s="49"/>
      <c r="S38" s="66"/>
      <c r="T38" s="85" t="s">
        <v>1006</v>
      </c>
      <c r="U38" s="101" t="s">
        <v>989</v>
      </c>
    </row>
    <row r="39" spans="2:22" ht="28.2" customHeight="1" x14ac:dyDescent="0.35">
      <c r="B39" s="122"/>
      <c r="C39" s="267"/>
      <c r="D39" s="336" t="s">
        <v>601</v>
      </c>
      <c r="E39" s="89">
        <f t="shared" si="0"/>
        <v>36</v>
      </c>
      <c r="F39" s="90" t="s">
        <v>602</v>
      </c>
      <c r="G39" s="91" t="s">
        <v>620</v>
      </c>
      <c r="H39" s="78" t="s">
        <v>957</v>
      </c>
      <c r="I39" s="48" t="s">
        <v>71</v>
      </c>
      <c r="J39" s="48" t="s">
        <v>71</v>
      </c>
      <c r="K39" s="48" t="s">
        <v>71</v>
      </c>
      <c r="L39" s="78" t="s">
        <v>957</v>
      </c>
      <c r="M39" s="78" t="s">
        <v>957</v>
      </c>
      <c r="N39" s="48" t="s">
        <v>71</v>
      </c>
      <c r="O39" s="48" t="s">
        <v>71</v>
      </c>
      <c r="P39" s="62" t="s">
        <v>71</v>
      </c>
      <c r="Q39" s="64">
        <v>45692</v>
      </c>
      <c r="R39" s="49"/>
      <c r="S39" s="66"/>
      <c r="T39" s="85" t="s">
        <v>1006</v>
      </c>
      <c r="U39" s="101" t="s">
        <v>990</v>
      </c>
      <c r="V39" s="126"/>
    </row>
    <row r="40" spans="2:22" ht="28.95" customHeight="1" x14ac:dyDescent="0.35">
      <c r="B40" s="122"/>
      <c r="C40" s="123"/>
      <c r="D40" s="232" t="s">
        <v>605</v>
      </c>
      <c r="E40" s="231">
        <f t="shared" si="0"/>
        <v>37</v>
      </c>
      <c r="F40" s="97" t="s">
        <v>602</v>
      </c>
      <c r="G40" s="91" t="s">
        <v>620</v>
      </c>
      <c r="H40" s="78" t="s">
        <v>957</v>
      </c>
      <c r="I40" s="48" t="s">
        <v>71</v>
      </c>
      <c r="J40" s="48" t="s">
        <v>71</v>
      </c>
      <c r="K40" s="48" t="s">
        <v>71</v>
      </c>
      <c r="L40" s="78" t="s">
        <v>957</v>
      </c>
      <c r="M40" s="78" t="s">
        <v>957</v>
      </c>
      <c r="N40" s="339" t="s">
        <v>71</v>
      </c>
      <c r="O40" s="339" t="s">
        <v>71</v>
      </c>
      <c r="P40" s="343" t="s">
        <v>71</v>
      </c>
      <c r="Q40" s="64">
        <v>45692</v>
      </c>
      <c r="R40" s="49"/>
      <c r="S40" s="66"/>
      <c r="T40" s="85" t="s">
        <v>1006</v>
      </c>
      <c r="U40" s="342" t="s">
        <v>991</v>
      </c>
    </row>
    <row r="41" spans="2:22" ht="28.95" customHeight="1" x14ac:dyDescent="0.35">
      <c r="B41" s="122"/>
      <c r="C41" s="124" t="s">
        <v>606</v>
      </c>
      <c r="D41" s="267" t="s">
        <v>607</v>
      </c>
      <c r="E41" s="231">
        <f t="shared" si="0"/>
        <v>38</v>
      </c>
      <c r="F41" s="97" t="s">
        <v>608</v>
      </c>
      <c r="G41" s="91" t="s">
        <v>621</v>
      </c>
      <c r="H41" s="78" t="s">
        <v>957</v>
      </c>
      <c r="I41" s="48" t="s">
        <v>71</v>
      </c>
      <c r="J41" s="48" t="s">
        <v>71</v>
      </c>
      <c r="K41" s="48" t="s">
        <v>71</v>
      </c>
      <c r="L41" s="78" t="s">
        <v>957</v>
      </c>
      <c r="M41" s="78" t="s">
        <v>957</v>
      </c>
      <c r="N41" s="48" t="s">
        <v>71</v>
      </c>
      <c r="O41" s="48" t="s">
        <v>71</v>
      </c>
      <c r="P41" s="62" t="s">
        <v>71</v>
      </c>
      <c r="Q41" s="64">
        <v>45692</v>
      </c>
      <c r="R41" s="49"/>
      <c r="S41" s="66"/>
      <c r="T41" s="85" t="s">
        <v>1006</v>
      </c>
      <c r="U41" s="101" t="s">
        <v>992</v>
      </c>
    </row>
    <row r="42" spans="2:22" ht="28.2" customHeight="1" x14ac:dyDescent="0.35">
      <c r="B42" s="122"/>
      <c r="C42" s="267"/>
      <c r="D42" s="267"/>
      <c r="E42" s="231">
        <f t="shared" si="0"/>
        <v>39</v>
      </c>
      <c r="F42" s="97" t="s">
        <v>610</v>
      </c>
      <c r="G42" s="91" t="s">
        <v>621</v>
      </c>
      <c r="H42" s="78" t="s">
        <v>957</v>
      </c>
      <c r="I42" s="48" t="s">
        <v>71</v>
      </c>
      <c r="J42" s="48" t="s">
        <v>71</v>
      </c>
      <c r="K42" s="48" t="s">
        <v>71</v>
      </c>
      <c r="L42" s="78" t="s">
        <v>957</v>
      </c>
      <c r="M42" s="78" t="s">
        <v>957</v>
      </c>
      <c r="N42" s="48" t="s">
        <v>71</v>
      </c>
      <c r="O42" s="48" t="s">
        <v>71</v>
      </c>
      <c r="P42" s="62" t="s">
        <v>71</v>
      </c>
      <c r="Q42" s="64">
        <v>45692</v>
      </c>
      <c r="R42" s="49"/>
      <c r="S42" s="66"/>
      <c r="T42" s="85" t="s">
        <v>1006</v>
      </c>
      <c r="U42" s="342" t="s">
        <v>993</v>
      </c>
    </row>
    <row r="43" spans="2:22" ht="28.2" customHeight="1" x14ac:dyDescent="0.35">
      <c r="B43" s="122"/>
      <c r="C43" s="267"/>
      <c r="D43" s="227"/>
      <c r="E43" s="231">
        <f t="shared" si="0"/>
        <v>40</v>
      </c>
      <c r="F43" s="97" t="s">
        <v>611</v>
      </c>
      <c r="G43" s="91" t="s">
        <v>621</v>
      </c>
      <c r="H43" s="78" t="s">
        <v>957</v>
      </c>
      <c r="I43" s="48" t="s">
        <v>71</v>
      </c>
      <c r="J43" s="48" t="s">
        <v>71</v>
      </c>
      <c r="K43" s="48" t="s">
        <v>71</v>
      </c>
      <c r="L43" s="78" t="s">
        <v>957</v>
      </c>
      <c r="M43" s="78" t="s">
        <v>957</v>
      </c>
      <c r="N43" s="48" t="s">
        <v>71</v>
      </c>
      <c r="O43" s="48" t="s">
        <v>71</v>
      </c>
      <c r="P43" s="62" t="s">
        <v>71</v>
      </c>
      <c r="Q43" s="64">
        <v>45692</v>
      </c>
      <c r="R43" s="49"/>
      <c r="S43" s="66"/>
      <c r="T43" s="85" t="s">
        <v>1006</v>
      </c>
      <c r="U43" s="101" t="s">
        <v>994</v>
      </c>
    </row>
    <row r="44" spans="2:22" ht="28.2" customHeight="1" x14ac:dyDescent="0.35">
      <c r="B44" s="122"/>
      <c r="C44" s="123"/>
      <c r="D44" s="336" t="s">
        <v>612</v>
      </c>
      <c r="E44" s="89">
        <f t="shared" si="0"/>
        <v>41</v>
      </c>
      <c r="F44" s="90" t="s">
        <v>613</v>
      </c>
      <c r="G44" s="91" t="s">
        <v>621</v>
      </c>
      <c r="H44" s="78" t="s">
        <v>957</v>
      </c>
      <c r="I44" s="48" t="s">
        <v>71</v>
      </c>
      <c r="J44" s="48" t="s">
        <v>71</v>
      </c>
      <c r="K44" s="48" t="s">
        <v>71</v>
      </c>
      <c r="L44" s="78" t="s">
        <v>957</v>
      </c>
      <c r="M44" s="78" t="s">
        <v>957</v>
      </c>
      <c r="N44" s="48" t="s">
        <v>71</v>
      </c>
      <c r="O44" s="48" t="s">
        <v>71</v>
      </c>
      <c r="P44" s="62" t="s">
        <v>71</v>
      </c>
      <c r="Q44" s="64">
        <v>45692</v>
      </c>
      <c r="R44" s="49"/>
      <c r="S44" s="66"/>
      <c r="T44" s="85" t="s">
        <v>1006</v>
      </c>
      <c r="U44" s="101" t="s">
        <v>995</v>
      </c>
    </row>
    <row r="45" spans="2:22" ht="28.2" customHeight="1" x14ac:dyDescent="0.35">
      <c r="B45" s="122"/>
      <c r="C45" s="267"/>
      <c r="D45" s="267"/>
      <c r="E45" s="89">
        <f t="shared" si="0"/>
        <v>42</v>
      </c>
      <c r="F45" s="90" t="s">
        <v>622</v>
      </c>
      <c r="G45" s="91" t="s">
        <v>621</v>
      </c>
      <c r="H45" s="78" t="s">
        <v>957</v>
      </c>
      <c r="I45" s="48" t="s">
        <v>71</v>
      </c>
      <c r="J45" s="48" t="s">
        <v>71</v>
      </c>
      <c r="K45" s="48" t="s">
        <v>71</v>
      </c>
      <c r="L45" s="78" t="s">
        <v>957</v>
      </c>
      <c r="M45" s="78" t="s">
        <v>957</v>
      </c>
      <c r="N45" s="48" t="s">
        <v>71</v>
      </c>
      <c r="O45" s="48" t="s">
        <v>71</v>
      </c>
      <c r="P45" s="62" t="s">
        <v>71</v>
      </c>
      <c r="Q45" s="64">
        <v>45692</v>
      </c>
      <c r="R45" s="49"/>
      <c r="S45" s="66"/>
      <c r="T45" s="85" t="s">
        <v>1006</v>
      </c>
      <c r="U45" s="101" t="s">
        <v>996</v>
      </c>
    </row>
    <row r="46" spans="2:22" ht="28.2" customHeight="1" x14ac:dyDescent="0.35">
      <c r="B46" s="122"/>
      <c r="C46" s="267"/>
      <c r="D46" s="267"/>
      <c r="E46" s="89">
        <f t="shared" si="0"/>
        <v>43</v>
      </c>
      <c r="F46" s="90" t="s">
        <v>615</v>
      </c>
      <c r="G46" s="91" t="s">
        <v>621</v>
      </c>
      <c r="H46" s="78" t="s">
        <v>957</v>
      </c>
      <c r="I46" s="48" t="s">
        <v>71</v>
      </c>
      <c r="J46" s="48" t="s">
        <v>71</v>
      </c>
      <c r="K46" s="48" t="s">
        <v>71</v>
      </c>
      <c r="L46" s="78" t="s">
        <v>957</v>
      </c>
      <c r="M46" s="78" t="s">
        <v>957</v>
      </c>
      <c r="N46" s="48" t="s">
        <v>71</v>
      </c>
      <c r="O46" s="48" t="s">
        <v>71</v>
      </c>
      <c r="P46" s="62" t="s">
        <v>71</v>
      </c>
      <c r="Q46" s="64">
        <v>45692</v>
      </c>
      <c r="R46" s="49"/>
      <c r="S46" s="66"/>
      <c r="T46" s="85" t="s">
        <v>1006</v>
      </c>
      <c r="U46" s="101" t="s">
        <v>997</v>
      </c>
    </row>
    <row r="47" spans="2:22" ht="28.2" customHeight="1" x14ac:dyDescent="0.35">
      <c r="B47" s="125" t="s">
        <v>623</v>
      </c>
      <c r="C47" s="268" t="s">
        <v>570</v>
      </c>
      <c r="D47" s="233"/>
      <c r="E47" s="231">
        <f t="shared" si="0"/>
        <v>44</v>
      </c>
      <c r="F47" s="97" t="s">
        <v>624</v>
      </c>
      <c r="G47" s="91" t="s">
        <v>625</v>
      </c>
      <c r="H47" s="78" t="s">
        <v>957</v>
      </c>
      <c r="I47" s="48" t="s">
        <v>71</v>
      </c>
      <c r="J47" s="48" t="s">
        <v>71</v>
      </c>
      <c r="K47" s="48" t="s">
        <v>71</v>
      </c>
      <c r="L47" s="48" t="s">
        <v>71</v>
      </c>
      <c r="M47" s="48" t="s">
        <v>71</v>
      </c>
      <c r="N47" s="48" t="s">
        <v>71</v>
      </c>
      <c r="O47" s="78" t="s">
        <v>957</v>
      </c>
      <c r="P47" s="62" t="s">
        <v>71</v>
      </c>
      <c r="Q47" s="64">
        <v>45692</v>
      </c>
      <c r="R47" s="49"/>
      <c r="S47" s="66"/>
      <c r="T47" s="85" t="s">
        <v>1006</v>
      </c>
      <c r="U47" s="100"/>
    </row>
    <row r="48" spans="2:22" ht="28.2" customHeight="1" x14ac:dyDescent="0.35">
      <c r="B48" s="122"/>
      <c r="C48" s="269" t="s">
        <v>626</v>
      </c>
      <c r="D48" s="233" t="s">
        <v>627</v>
      </c>
      <c r="E48" s="231">
        <f t="shared" si="0"/>
        <v>45</v>
      </c>
      <c r="F48" s="97" t="s">
        <v>576</v>
      </c>
      <c r="G48" s="91" t="s">
        <v>628</v>
      </c>
      <c r="H48" s="78" t="s">
        <v>957</v>
      </c>
      <c r="I48" s="48" t="s">
        <v>71</v>
      </c>
      <c r="J48" s="48" t="s">
        <v>71</v>
      </c>
      <c r="K48" s="48" t="s">
        <v>71</v>
      </c>
      <c r="L48" s="78" t="s">
        <v>957</v>
      </c>
      <c r="M48" s="78" t="s">
        <v>957</v>
      </c>
      <c r="N48" s="48" t="s">
        <v>71</v>
      </c>
      <c r="O48" s="78" t="s">
        <v>957</v>
      </c>
      <c r="P48" s="62" t="s">
        <v>71</v>
      </c>
      <c r="Q48" s="64">
        <v>45692</v>
      </c>
      <c r="R48" s="49"/>
      <c r="S48" s="66"/>
      <c r="T48" s="85" t="s">
        <v>1006</v>
      </c>
      <c r="U48" s="100"/>
    </row>
    <row r="49" spans="2:22" ht="28.2" customHeight="1" x14ac:dyDescent="0.35">
      <c r="B49" s="122"/>
      <c r="C49" s="267"/>
      <c r="D49" s="230" t="s">
        <v>629</v>
      </c>
      <c r="E49" s="231">
        <f t="shared" si="0"/>
        <v>46</v>
      </c>
      <c r="F49" s="97" t="s">
        <v>630</v>
      </c>
      <c r="G49" s="91" t="s">
        <v>628</v>
      </c>
      <c r="H49" s="78" t="s">
        <v>957</v>
      </c>
      <c r="I49" s="48" t="s">
        <v>71</v>
      </c>
      <c r="J49" s="48" t="s">
        <v>71</v>
      </c>
      <c r="K49" s="48" t="s">
        <v>71</v>
      </c>
      <c r="L49" s="78" t="s">
        <v>957</v>
      </c>
      <c r="M49" s="78" t="s">
        <v>957</v>
      </c>
      <c r="N49" s="48" t="s">
        <v>71</v>
      </c>
      <c r="O49" s="78" t="s">
        <v>957</v>
      </c>
      <c r="P49" s="62" t="s">
        <v>71</v>
      </c>
      <c r="Q49" s="64">
        <v>45692</v>
      </c>
      <c r="R49" s="49"/>
      <c r="S49" s="66"/>
      <c r="T49" s="85" t="s">
        <v>1006</v>
      </c>
      <c r="U49" s="100"/>
    </row>
    <row r="50" spans="2:22" ht="28.2" customHeight="1" x14ac:dyDescent="0.35">
      <c r="B50" s="122"/>
      <c r="C50" s="123"/>
      <c r="D50" s="230" t="s">
        <v>631</v>
      </c>
      <c r="E50" s="231">
        <f t="shared" si="0"/>
        <v>47</v>
      </c>
      <c r="F50" s="97" t="s">
        <v>632</v>
      </c>
      <c r="G50" s="91" t="s">
        <v>628</v>
      </c>
      <c r="H50" s="78" t="s">
        <v>957</v>
      </c>
      <c r="I50" s="48" t="s">
        <v>71</v>
      </c>
      <c r="J50" s="48" t="s">
        <v>71</v>
      </c>
      <c r="K50" s="48" t="s">
        <v>71</v>
      </c>
      <c r="L50" s="78" t="s">
        <v>957</v>
      </c>
      <c r="M50" s="78" t="s">
        <v>957</v>
      </c>
      <c r="N50" s="48" t="s">
        <v>71</v>
      </c>
      <c r="O50" s="78" t="s">
        <v>957</v>
      </c>
      <c r="P50" s="62" t="s">
        <v>71</v>
      </c>
      <c r="Q50" s="64">
        <v>45692</v>
      </c>
      <c r="R50" s="49"/>
      <c r="S50" s="66"/>
      <c r="T50" s="85" t="s">
        <v>1006</v>
      </c>
      <c r="U50" s="100"/>
    </row>
    <row r="51" spans="2:22" ht="28.2" customHeight="1" x14ac:dyDescent="0.35">
      <c r="B51" s="122"/>
      <c r="C51" s="270" t="s">
        <v>633</v>
      </c>
      <c r="D51" s="233" t="s">
        <v>627</v>
      </c>
      <c r="E51" s="231">
        <f t="shared" si="0"/>
        <v>48</v>
      </c>
      <c r="F51" s="97" t="s">
        <v>576</v>
      </c>
      <c r="G51" s="91" t="s">
        <v>634</v>
      </c>
      <c r="H51" s="78" t="s">
        <v>957</v>
      </c>
      <c r="I51" s="48" t="s">
        <v>71</v>
      </c>
      <c r="J51" s="48" t="s">
        <v>71</v>
      </c>
      <c r="K51" s="48" t="s">
        <v>71</v>
      </c>
      <c r="L51" s="78" t="s">
        <v>957</v>
      </c>
      <c r="M51" s="78" t="s">
        <v>957</v>
      </c>
      <c r="N51" s="48" t="s">
        <v>71</v>
      </c>
      <c r="O51" s="78" t="s">
        <v>957</v>
      </c>
      <c r="P51" s="62" t="s">
        <v>71</v>
      </c>
      <c r="Q51" s="64">
        <v>45692</v>
      </c>
      <c r="R51" s="49"/>
      <c r="S51" s="66"/>
      <c r="T51" s="85" t="s">
        <v>1006</v>
      </c>
      <c r="U51" s="100" t="s">
        <v>963</v>
      </c>
    </row>
    <row r="52" spans="2:22" ht="28.2" customHeight="1" x14ac:dyDescent="0.35">
      <c r="B52" s="122"/>
      <c r="C52" s="123"/>
      <c r="D52" s="230" t="s">
        <v>629</v>
      </c>
      <c r="E52" s="231">
        <f t="shared" si="0"/>
        <v>49</v>
      </c>
      <c r="F52" s="97" t="s">
        <v>630</v>
      </c>
      <c r="G52" s="91" t="s">
        <v>634</v>
      </c>
      <c r="H52" s="78" t="s">
        <v>957</v>
      </c>
      <c r="I52" s="48" t="s">
        <v>71</v>
      </c>
      <c r="J52" s="48" t="s">
        <v>71</v>
      </c>
      <c r="K52" s="48" t="s">
        <v>71</v>
      </c>
      <c r="L52" s="78" t="s">
        <v>957</v>
      </c>
      <c r="M52" s="78" t="s">
        <v>957</v>
      </c>
      <c r="N52" s="48" t="s">
        <v>71</v>
      </c>
      <c r="O52" s="78" t="s">
        <v>957</v>
      </c>
      <c r="P52" s="62" t="s">
        <v>71</v>
      </c>
      <c r="Q52" s="64">
        <v>45692</v>
      </c>
      <c r="R52" s="49"/>
      <c r="S52" s="66"/>
      <c r="T52" s="85" t="s">
        <v>1006</v>
      </c>
      <c r="U52" s="100" t="s">
        <v>962</v>
      </c>
    </row>
    <row r="53" spans="2:22" ht="28.2" customHeight="1" x14ac:dyDescent="0.35">
      <c r="B53" s="122"/>
      <c r="C53" s="123"/>
      <c r="D53" s="230" t="s">
        <v>631</v>
      </c>
      <c r="E53" s="231">
        <f t="shared" si="0"/>
        <v>50</v>
      </c>
      <c r="F53" s="97" t="s">
        <v>632</v>
      </c>
      <c r="G53" s="91" t="s">
        <v>634</v>
      </c>
      <c r="H53" s="78" t="s">
        <v>957</v>
      </c>
      <c r="I53" s="48" t="s">
        <v>71</v>
      </c>
      <c r="J53" s="48" t="s">
        <v>71</v>
      </c>
      <c r="K53" s="48" t="s">
        <v>71</v>
      </c>
      <c r="L53" s="78" t="s">
        <v>957</v>
      </c>
      <c r="M53" s="78" t="s">
        <v>957</v>
      </c>
      <c r="N53" s="48" t="s">
        <v>71</v>
      </c>
      <c r="O53" s="78" t="s">
        <v>957</v>
      </c>
      <c r="P53" s="62" t="s">
        <v>71</v>
      </c>
      <c r="Q53" s="64">
        <v>45692</v>
      </c>
      <c r="R53" s="49"/>
      <c r="S53" s="66"/>
      <c r="T53" s="85" t="s">
        <v>1006</v>
      </c>
      <c r="U53" s="101" t="s">
        <v>964</v>
      </c>
      <c r="V53" s="126"/>
    </row>
    <row r="54" spans="2:22" ht="28.2" customHeight="1" x14ac:dyDescent="0.35">
      <c r="B54" s="122"/>
      <c r="C54" s="270" t="s">
        <v>635</v>
      </c>
      <c r="D54" s="233" t="s">
        <v>627</v>
      </c>
      <c r="E54" s="231">
        <f t="shared" si="0"/>
        <v>51</v>
      </c>
      <c r="F54" s="97" t="s">
        <v>576</v>
      </c>
      <c r="G54" s="91" t="s">
        <v>636</v>
      </c>
      <c r="H54" s="78" t="s">
        <v>957</v>
      </c>
      <c r="I54" s="48" t="s">
        <v>71</v>
      </c>
      <c r="J54" s="48" t="s">
        <v>71</v>
      </c>
      <c r="K54" s="48" t="s">
        <v>71</v>
      </c>
      <c r="L54" s="78" t="s">
        <v>957</v>
      </c>
      <c r="M54" s="78" t="s">
        <v>957</v>
      </c>
      <c r="N54" s="48" t="s">
        <v>71</v>
      </c>
      <c r="O54" s="78" t="s">
        <v>957</v>
      </c>
      <c r="P54" s="62" t="s">
        <v>71</v>
      </c>
      <c r="Q54" s="64">
        <v>45692</v>
      </c>
      <c r="R54" s="49"/>
      <c r="S54" s="66"/>
      <c r="T54" s="85" t="s">
        <v>1006</v>
      </c>
      <c r="U54" s="101" t="s">
        <v>998</v>
      </c>
      <c r="V54" s="126"/>
    </row>
    <row r="55" spans="2:22" ht="28.2" customHeight="1" x14ac:dyDescent="0.35">
      <c r="B55" s="122"/>
      <c r="C55" s="123"/>
      <c r="D55" s="230" t="s">
        <v>629</v>
      </c>
      <c r="E55" s="231">
        <f t="shared" si="0"/>
        <v>52</v>
      </c>
      <c r="F55" s="97" t="s">
        <v>630</v>
      </c>
      <c r="G55" s="91" t="s">
        <v>636</v>
      </c>
      <c r="H55" s="78" t="s">
        <v>957</v>
      </c>
      <c r="I55" s="48" t="s">
        <v>71</v>
      </c>
      <c r="J55" s="48" t="s">
        <v>71</v>
      </c>
      <c r="K55" s="48" t="s">
        <v>71</v>
      </c>
      <c r="L55" s="78" t="s">
        <v>957</v>
      </c>
      <c r="M55" s="78" t="s">
        <v>957</v>
      </c>
      <c r="N55" s="48" t="s">
        <v>71</v>
      </c>
      <c r="O55" s="78" t="s">
        <v>957</v>
      </c>
      <c r="P55" s="62" t="s">
        <v>71</v>
      </c>
      <c r="Q55" s="64">
        <v>45692</v>
      </c>
      <c r="R55" s="49"/>
      <c r="S55" s="66"/>
      <c r="T55" s="85" t="s">
        <v>1006</v>
      </c>
      <c r="U55" s="101" t="s">
        <v>999</v>
      </c>
      <c r="V55" s="126"/>
    </row>
    <row r="56" spans="2:22" ht="28.2" customHeight="1" x14ac:dyDescent="0.35">
      <c r="B56" s="122"/>
      <c r="C56" s="123"/>
      <c r="D56" s="230" t="s">
        <v>631</v>
      </c>
      <c r="E56" s="231">
        <f t="shared" si="0"/>
        <v>53</v>
      </c>
      <c r="F56" s="97" t="s">
        <v>632</v>
      </c>
      <c r="G56" s="91" t="s">
        <v>636</v>
      </c>
      <c r="H56" s="78" t="s">
        <v>957</v>
      </c>
      <c r="I56" s="48" t="s">
        <v>71</v>
      </c>
      <c r="J56" s="48" t="s">
        <v>71</v>
      </c>
      <c r="K56" s="48" t="s">
        <v>71</v>
      </c>
      <c r="L56" s="78" t="s">
        <v>957</v>
      </c>
      <c r="M56" s="78" t="s">
        <v>957</v>
      </c>
      <c r="N56" s="48" t="s">
        <v>71</v>
      </c>
      <c r="O56" s="78" t="s">
        <v>957</v>
      </c>
      <c r="P56" s="62" t="s">
        <v>71</v>
      </c>
      <c r="Q56" s="64">
        <v>45692</v>
      </c>
      <c r="R56" s="49"/>
      <c r="S56" s="66"/>
      <c r="T56" s="85" t="s">
        <v>1006</v>
      </c>
      <c r="U56" s="101" t="s">
        <v>1000</v>
      </c>
      <c r="V56" s="126"/>
    </row>
    <row r="57" spans="2:22" ht="28.2" customHeight="1" x14ac:dyDescent="0.35">
      <c r="B57" s="122"/>
      <c r="C57" s="124" t="s">
        <v>271</v>
      </c>
      <c r="D57" s="233" t="s">
        <v>627</v>
      </c>
      <c r="E57" s="231">
        <f t="shared" si="0"/>
        <v>54</v>
      </c>
      <c r="F57" s="97" t="s">
        <v>576</v>
      </c>
      <c r="G57" s="91" t="s">
        <v>637</v>
      </c>
      <c r="H57" s="78" t="s">
        <v>957</v>
      </c>
      <c r="I57" s="48" t="s">
        <v>71</v>
      </c>
      <c r="J57" s="48" t="s">
        <v>71</v>
      </c>
      <c r="K57" s="48" t="s">
        <v>71</v>
      </c>
      <c r="L57" s="78" t="s">
        <v>957</v>
      </c>
      <c r="M57" s="78" t="s">
        <v>957</v>
      </c>
      <c r="N57" s="48" t="s">
        <v>71</v>
      </c>
      <c r="O57" s="78" t="s">
        <v>957</v>
      </c>
      <c r="P57" s="62" t="s">
        <v>71</v>
      </c>
      <c r="Q57" s="64">
        <v>45692</v>
      </c>
      <c r="R57" s="49"/>
      <c r="S57" s="66"/>
      <c r="T57" s="85" t="s">
        <v>1006</v>
      </c>
      <c r="U57" s="101" t="s">
        <v>1001</v>
      </c>
    </row>
    <row r="58" spans="2:22" ht="28.2" customHeight="1" x14ac:dyDescent="0.35">
      <c r="B58" s="122"/>
      <c r="C58" s="123"/>
      <c r="D58" s="230" t="s">
        <v>629</v>
      </c>
      <c r="E58" s="231">
        <f t="shared" si="0"/>
        <v>55</v>
      </c>
      <c r="F58" s="97" t="s">
        <v>630</v>
      </c>
      <c r="G58" s="91" t="s">
        <v>637</v>
      </c>
      <c r="H58" s="78" t="s">
        <v>957</v>
      </c>
      <c r="I58" s="48" t="s">
        <v>71</v>
      </c>
      <c r="J58" s="48" t="s">
        <v>71</v>
      </c>
      <c r="K58" s="48" t="s">
        <v>71</v>
      </c>
      <c r="L58" s="78" t="s">
        <v>957</v>
      </c>
      <c r="M58" s="78" t="s">
        <v>957</v>
      </c>
      <c r="N58" s="48" t="s">
        <v>71</v>
      </c>
      <c r="O58" s="78" t="s">
        <v>957</v>
      </c>
      <c r="P58" s="62" t="s">
        <v>71</v>
      </c>
      <c r="Q58" s="64">
        <v>45692</v>
      </c>
      <c r="R58" s="49"/>
      <c r="S58" s="66"/>
      <c r="T58" s="85" t="s">
        <v>1006</v>
      </c>
      <c r="U58" s="101" t="s">
        <v>1002</v>
      </c>
      <c r="V58" s="126"/>
    </row>
    <row r="59" spans="2:22" ht="28.2" customHeight="1" x14ac:dyDescent="0.35">
      <c r="B59" s="122"/>
      <c r="C59" s="227"/>
      <c r="D59" s="230" t="s">
        <v>631</v>
      </c>
      <c r="E59" s="231">
        <f t="shared" si="0"/>
        <v>56</v>
      </c>
      <c r="F59" s="97" t="s">
        <v>632</v>
      </c>
      <c r="G59" s="91" t="s">
        <v>637</v>
      </c>
      <c r="H59" s="78" t="s">
        <v>957</v>
      </c>
      <c r="I59" s="48" t="s">
        <v>71</v>
      </c>
      <c r="J59" s="48" t="s">
        <v>71</v>
      </c>
      <c r="K59" s="48" t="s">
        <v>71</v>
      </c>
      <c r="L59" s="78" t="s">
        <v>957</v>
      </c>
      <c r="M59" s="78" t="s">
        <v>957</v>
      </c>
      <c r="N59" s="48" t="s">
        <v>71</v>
      </c>
      <c r="O59" s="78" t="s">
        <v>957</v>
      </c>
      <c r="P59" s="62" t="s">
        <v>71</v>
      </c>
      <c r="Q59" s="64">
        <v>45692</v>
      </c>
      <c r="R59" s="49"/>
      <c r="S59" s="66"/>
      <c r="T59" s="85" t="s">
        <v>1006</v>
      </c>
      <c r="U59" s="101" t="s">
        <v>1003</v>
      </c>
      <c r="V59" s="126"/>
    </row>
    <row r="60" spans="2:22" ht="28.2" customHeight="1" x14ac:dyDescent="0.35">
      <c r="B60" s="122"/>
      <c r="C60" s="124" t="s">
        <v>638</v>
      </c>
      <c r="D60" s="327" t="s">
        <v>639</v>
      </c>
      <c r="E60" s="94">
        <f t="shared" si="0"/>
        <v>57</v>
      </c>
      <c r="F60" s="95" t="s">
        <v>640</v>
      </c>
      <c r="G60" s="96" t="s">
        <v>641</v>
      </c>
      <c r="H60" s="50" t="s">
        <v>71</v>
      </c>
      <c r="I60" s="50" t="s">
        <v>71</v>
      </c>
      <c r="J60" s="50" t="s">
        <v>71</v>
      </c>
      <c r="K60" s="50" t="s">
        <v>71</v>
      </c>
      <c r="L60" s="50" t="s">
        <v>71</v>
      </c>
      <c r="M60" s="50" t="s">
        <v>71</v>
      </c>
      <c r="N60" s="50" t="s">
        <v>71</v>
      </c>
      <c r="O60" s="50" t="s">
        <v>71</v>
      </c>
      <c r="P60" s="63" t="s">
        <v>71</v>
      </c>
      <c r="Q60" s="65"/>
      <c r="R60" s="51"/>
      <c r="S60" s="67"/>
      <c r="T60" s="322"/>
      <c r="U60" s="326" t="s">
        <v>642</v>
      </c>
      <c r="V60" s="126"/>
    </row>
    <row r="61" spans="2:22" ht="28.2" customHeight="1" x14ac:dyDescent="0.35">
      <c r="B61" s="122"/>
      <c r="C61" s="267"/>
      <c r="D61" s="232" t="s">
        <v>643</v>
      </c>
      <c r="E61" s="231">
        <f t="shared" si="0"/>
        <v>58</v>
      </c>
      <c r="F61" s="97" t="s">
        <v>644</v>
      </c>
      <c r="G61" s="91" t="s">
        <v>641</v>
      </c>
      <c r="H61" s="78" t="s">
        <v>957</v>
      </c>
      <c r="I61" s="48" t="s">
        <v>71</v>
      </c>
      <c r="J61" s="48" t="s">
        <v>71</v>
      </c>
      <c r="K61" s="48" t="s">
        <v>71</v>
      </c>
      <c r="L61" s="78" t="s">
        <v>957</v>
      </c>
      <c r="M61" s="78" t="s">
        <v>957</v>
      </c>
      <c r="N61" s="48" t="s">
        <v>71</v>
      </c>
      <c r="O61" s="78" t="s">
        <v>957</v>
      </c>
      <c r="P61" s="62" t="s">
        <v>71</v>
      </c>
      <c r="Q61" s="64">
        <v>45692</v>
      </c>
      <c r="R61" s="49"/>
      <c r="S61" s="66"/>
      <c r="T61" s="85" t="s">
        <v>1006</v>
      </c>
      <c r="U61" s="100" t="s">
        <v>1004</v>
      </c>
    </row>
    <row r="62" spans="2:22" ht="28.95" customHeight="1" x14ac:dyDescent="0.35">
      <c r="B62" s="122"/>
      <c r="C62" s="123"/>
      <c r="D62" s="232" t="s">
        <v>645</v>
      </c>
      <c r="E62" s="231">
        <f t="shared" si="0"/>
        <v>59</v>
      </c>
      <c r="F62" s="97" t="s">
        <v>646</v>
      </c>
      <c r="G62" s="91" t="s">
        <v>647</v>
      </c>
      <c r="H62" s="78" t="s">
        <v>957</v>
      </c>
      <c r="I62" s="48" t="s">
        <v>71</v>
      </c>
      <c r="J62" s="48" t="s">
        <v>71</v>
      </c>
      <c r="K62" s="48" t="s">
        <v>71</v>
      </c>
      <c r="L62" s="78" t="s">
        <v>957</v>
      </c>
      <c r="M62" s="78" t="s">
        <v>957</v>
      </c>
      <c r="N62" s="48" t="s">
        <v>71</v>
      </c>
      <c r="O62" s="78" t="s">
        <v>957</v>
      </c>
      <c r="P62" s="62" t="s">
        <v>71</v>
      </c>
      <c r="Q62" s="64">
        <v>45692</v>
      </c>
      <c r="R62" s="49"/>
      <c r="S62" s="66"/>
      <c r="T62" s="85" t="s">
        <v>1006</v>
      </c>
      <c r="U62" s="100" t="s">
        <v>1005</v>
      </c>
    </row>
    <row r="63" spans="2:22" ht="28.2" customHeight="1" x14ac:dyDescent="0.35">
      <c r="B63" s="122"/>
      <c r="C63" s="124" t="s">
        <v>648</v>
      </c>
      <c r="D63" s="327" t="s">
        <v>570</v>
      </c>
      <c r="E63" s="94">
        <f t="shared" si="0"/>
        <v>60</v>
      </c>
      <c r="F63" s="95" t="s">
        <v>649</v>
      </c>
      <c r="G63" s="96" t="s">
        <v>650</v>
      </c>
      <c r="H63" s="79" t="s">
        <v>71</v>
      </c>
      <c r="I63" s="50" t="s">
        <v>71</v>
      </c>
      <c r="J63" s="50" t="s">
        <v>71</v>
      </c>
      <c r="K63" s="79" t="s">
        <v>71</v>
      </c>
      <c r="L63" s="79" t="s">
        <v>71</v>
      </c>
      <c r="M63" s="79" t="s">
        <v>71</v>
      </c>
      <c r="N63" s="50" t="s">
        <v>71</v>
      </c>
      <c r="O63" s="79" t="s">
        <v>71</v>
      </c>
      <c r="P63" s="63" t="s">
        <v>71</v>
      </c>
      <c r="Q63" s="65"/>
      <c r="R63" s="51"/>
      <c r="S63" s="67"/>
      <c r="T63" s="322"/>
      <c r="U63" s="326" t="s">
        <v>572</v>
      </c>
      <c r="V63" s="126"/>
    </row>
    <row r="64" spans="2:22" ht="28.2" customHeight="1" x14ac:dyDescent="0.35">
      <c r="B64" s="122"/>
      <c r="C64" s="267"/>
      <c r="D64" s="270" t="s">
        <v>651</v>
      </c>
      <c r="E64" s="231">
        <f t="shared" si="0"/>
        <v>61</v>
      </c>
      <c r="F64" s="97" t="s">
        <v>630</v>
      </c>
      <c r="G64" s="91" t="s">
        <v>652</v>
      </c>
      <c r="H64" s="78" t="s">
        <v>957</v>
      </c>
      <c r="I64" s="48" t="s">
        <v>71</v>
      </c>
      <c r="J64" s="48" t="s">
        <v>71</v>
      </c>
      <c r="K64" s="48" t="s">
        <v>71</v>
      </c>
      <c r="L64" s="78" t="s">
        <v>957</v>
      </c>
      <c r="M64" s="78" t="s">
        <v>957</v>
      </c>
      <c r="N64" s="48" t="s">
        <v>71</v>
      </c>
      <c r="O64" s="78" t="s">
        <v>957</v>
      </c>
      <c r="P64" s="62" t="s">
        <v>71</v>
      </c>
      <c r="Q64" s="64">
        <v>45692</v>
      </c>
      <c r="R64" s="49"/>
      <c r="S64" s="66"/>
      <c r="T64" s="85" t="s">
        <v>1006</v>
      </c>
      <c r="U64" s="342" t="s">
        <v>985</v>
      </c>
    </row>
    <row r="65" spans="2:22" ht="28.95" customHeight="1" x14ac:dyDescent="0.35">
      <c r="B65" s="122"/>
      <c r="C65" s="123"/>
      <c r="D65" s="227"/>
      <c r="E65" s="231">
        <f t="shared" si="0"/>
        <v>62</v>
      </c>
      <c r="F65" s="97" t="s">
        <v>576</v>
      </c>
      <c r="G65" s="91" t="s">
        <v>653</v>
      </c>
      <c r="H65" s="78" t="s">
        <v>957</v>
      </c>
      <c r="I65" s="48" t="s">
        <v>71</v>
      </c>
      <c r="J65" s="48" t="s">
        <v>71</v>
      </c>
      <c r="K65" s="48" t="s">
        <v>71</v>
      </c>
      <c r="L65" s="78" t="s">
        <v>957</v>
      </c>
      <c r="M65" s="78" t="s">
        <v>957</v>
      </c>
      <c r="N65" s="48" t="s">
        <v>71</v>
      </c>
      <c r="O65" s="78" t="s">
        <v>957</v>
      </c>
      <c r="P65" s="62" t="s">
        <v>71</v>
      </c>
      <c r="Q65" s="64">
        <v>45692</v>
      </c>
      <c r="R65" s="49"/>
      <c r="S65" s="66"/>
      <c r="T65" s="85" t="s">
        <v>1006</v>
      </c>
      <c r="U65" s="101" t="s">
        <v>986</v>
      </c>
    </row>
    <row r="66" spans="2:22" ht="28.2" customHeight="1" x14ac:dyDescent="0.35">
      <c r="B66" s="125" t="s">
        <v>654</v>
      </c>
      <c r="C66" s="270" t="s">
        <v>655</v>
      </c>
      <c r="D66" s="234" t="s">
        <v>656</v>
      </c>
      <c r="E66" s="89">
        <f t="shared" si="0"/>
        <v>63</v>
      </c>
      <c r="F66" s="90" t="s">
        <v>657</v>
      </c>
      <c r="G66" s="91" t="s">
        <v>658</v>
      </c>
      <c r="H66" s="78" t="s">
        <v>310</v>
      </c>
      <c r="I66" s="48" t="s">
        <v>71</v>
      </c>
      <c r="J66" s="48" t="s">
        <v>71</v>
      </c>
      <c r="K66" s="48" t="s">
        <v>71</v>
      </c>
      <c r="L66" s="78" t="s">
        <v>310</v>
      </c>
      <c r="M66" s="78" t="s">
        <v>310</v>
      </c>
      <c r="N66" s="48" t="s">
        <v>71</v>
      </c>
      <c r="O66" s="48" t="s">
        <v>71</v>
      </c>
      <c r="P66" s="62" t="s">
        <v>71</v>
      </c>
      <c r="Q66" s="431">
        <v>45692</v>
      </c>
      <c r="R66" s="432"/>
      <c r="S66" s="433"/>
      <c r="T66" s="85" t="s">
        <v>1009</v>
      </c>
      <c r="U66" s="100" t="s">
        <v>1007</v>
      </c>
      <c r="V66" s="126"/>
    </row>
    <row r="67" spans="2:22" ht="38.4" customHeight="1" x14ac:dyDescent="0.35">
      <c r="B67" s="271" t="s">
        <v>659</v>
      </c>
      <c r="C67" s="123"/>
      <c r="D67" s="88" t="s">
        <v>660</v>
      </c>
      <c r="E67" s="89">
        <f t="shared" si="0"/>
        <v>64</v>
      </c>
      <c r="F67" s="90" t="s">
        <v>661</v>
      </c>
      <c r="G67" s="91" t="s">
        <v>662</v>
      </c>
      <c r="H67" s="78" t="s">
        <v>310</v>
      </c>
      <c r="I67" s="48" t="s">
        <v>71</v>
      </c>
      <c r="J67" s="48" t="s">
        <v>71</v>
      </c>
      <c r="K67" s="78" t="s">
        <v>71</v>
      </c>
      <c r="L67" s="78" t="s">
        <v>310</v>
      </c>
      <c r="M67" s="78" t="s">
        <v>310</v>
      </c>
      <c r="N67" s="48" t="s">
        <v>71</v>
      </c>
      <c r="O67" s="48" t="s">
        <v>71</v>
      </c>
      <c r="P67" s="62" t="s">
        <v>71</v>
      </c>
      <c r="Q67" s="431">
        <v>45692</v>
      </c>
      <c r="R67" s="432"/>
      <c r="S67" s="433"/>
      <c r="T67" s="85" t="s">
        <v>1009</v>
      </c>
      <c r="U67" s="101" t="s">
        <v>1008</v>
      </c>
    </row>
    <row r="68" spans="2:22" ht="28.2" customHeight="1" x14ac:dyDescent="0.35">
      <c r="B68" s="271"/>
      <c r="C68" s="123"/>
      <c r="D68" s="93" t="s">
        <v>663</v>
      </c>
      <c r="E68" s="94">
        <f t="shared" si="0"/>
        <v>65</v>
      </c>
      <c r="F68" s="95" t="s">
        <v>664</v>
      </c>
      <c r="G68" s="96" t="s">
        <v>662</v>
      </c>
      <c r="H68" s="50" t="s">
        <v>71</v>
      </c>
      <c r="I68" s="50" t="s">
        <v>71</v>
      </c>
      <c r="J68" s="50" t="s">
        <v>71</v>
      </c>
      <c r="K68" s="50" t="s">
        <v>71</v>
      </c>
      <c r="L68" s="50" t="s">
        <v>71</v>
      </c>
      <c r="M68" s="50" t="s">
        <v>71</v>
      </c>
      <c r="N68" s="50" t="s">
        <v>71</v>
      </c>
      <c r="O68" s="50" t="s">
        <v>71</v>
      </c>
      <c r="P68" s="63" t="s">
        <v>71</v>
      </c>
      <c r="Q68" s="65"/>
      <c r="R68" s="51"/>
      <c r="S68" s="67"/>
      <c r="T68" s="322"/>
      <c r="U68" s="326" t="s">
        <v>572</v>
      </c>
    </row>
    <row r="69" spans="2:22" ht="28.2" customHeight="1" x14ac:dyDescent="0.35">
      <c r="B69" s="271"/>
      <c r="C69" s="123"/>
      <c r="D69" s="88" t="s">
        <v>665</v>
      </c>
      <c r="E69" s="89">
        <f t="shared" si="0"/>
        <v>66</v>
      </c>
      <c r="F69" s="90" t="s">
        <v>666</v>
      </c>
      <c r="G69" s="91" t="s">
        <v>662</v>
      </c>
      <c r="H69" s="78" t="s">
        <v>310</v>
      </c>
      <c r="I69" s="48" t="s">
        <v>71</v>
      </c>
      <c r="J69" s="48" t="s">
        <v>71</v>
      </c>
      <c r="K69" s="78" t="s">
        <v>310</v>
      </c>
      <c r="L69" s="78" t="s">
        <v>310</v>
      </c>
      <c r="M69" s="78" t="s">
        <v>310</v>
      </c>
      <c r="N69" s="48" t="s">
        <v>71</v>
      </c>
      <c r="O69" s="48" t="s">
        <v>71</v>
      </c>
      <c r="P69" s="62" t="s">
        <v>71</v>
      </c>
      <c r="Q69" s="431">
        <v>45692</v>
      </c>
      <c r="R69" s="432"/>
      <c r="S69" s="433"/>
      <c r="T69" s="85" t="s">
        <v>1009</v>
      </c>
      <c r="U69" s="427"/>
    </row>
    <row r="70" spans="2:22" ht="28.2" customHeight="1" x14ac:dyDescent="0.35">
      <c r="B70" s="122"/>
      <c r="C70" s="123"/>
      <c r="D70" s="88" t="s">
        <v>667</v>
      </c>
      <c r="E70" s="89">
        <f t="shared" si="0"/>
        <v>67</v>
      </c>
      <c r="F70" s="88" t="s">
        <v>668</v>
      </c>
      <c r="G70" s="91" t="s">
        <v>662</v>
      </c>
      <c r="H70" s="78" t="s">
        <v>310</v>
      </c>
      <c r="I70" s="48" t="s">
        <v>71</v>
      </c>
      <c r="J70" s="48" t="s">
        <v>71</v>
      </c>
      <c r="K70" s="78" t="s">
        <v>71</v>
      </c>
      <c r="L70" s="48" t="s">
        <v>71</v>
      </c>
      <c r="M70" s="48" t="s">
        <v>71</v>
      </c>
      <c r="N70" s="48" t="s">
        <v>71</v>
      </c>
      <c r="O70" s="48" t="s">
        <v>71</v>
      </c>
      <c r="P70" s="62" t="s">
        <v>71</v>
      </c>
      <c r="Q70" s="431">
        <v>45692</v>
      </c>
      <c r="R70" s="432"/>
      <c r="S70" s="433"/>
      <c r="T70" s="85" t="s">
        <v>1009</v>
      </c>
      <c r="U70" s="100"/>
    </row>
    <row r="71" spans="2:22" ht="28.2" customHeight="1" x14ac:dyDescent="0.35">
      <c r="B71" s="122"/>
      <c r="C71" s="123"/>
      <c r="D71" s="88" t="s">
        <v>667</v>
      </c>
      <c r="E71" s="89">
        <f t="shared" si="0"/>
        <v>68</v>
      </c>
      <c r="F71" s="88" t="s">
        <v>669</v>
      </c>
      <c r="G71" s="91" t="s">
        <v>662</v>
      </c>
      <c r="H71" s="78" t="s">
        <v>310</v>
      </c>
      <c r="I71" s="48" t="s">
        <v>71</v>
      </c>
      <c r="J71" s="48" t="s">
        <v>71</v>
      </c>
      <c r="K71" s="78" t="s">
        <v>71</v>
      </c>
      <c r="L71" s="48" t="s">
        <v>71</v>
      </c>
      <c r="M71" s="48" t="s">
        <v>71</v>
      </c>
      <c r="N71" s="48" t="s">
        <v>71</v>
      </c>
      <c r="O71" s="48" t="s">
        <v>71</v>
      </c>
      <c r="P71" s="62" t="s">
        <v>71</v>
      </c>
      <c r="Q71" s="431">
        <v>45692</v>
      </c>
      <c r="R71" s="432"/>
      <c r="S71" s="433"/>
      <c r="T71" s="85" t="s">
        <v>1009</v>
      </c>
      <c r="U71" s="100"/>
    </row>
    <row r="72" spans="2:22" ht="28.2" customHeight="1" x14ac:dyDescent="0.35">
      <c r="B72" s="122"/>
      <c r="C72" s="123"/>
      <c r="D72" s="88" t="s">
        <v>670</v>
      </c>
      <c r="E72" s="89">
        <f t="shared" si="0"/>
        <v>69</v>
      </c>
      <c r="F72" s="88" t="s">
        <v>671</v>
      </c>
      <c r="G72" s="91" t="s">
        <v>662</v>
      </c>
      <c r="H72" s="78" t="s">
        <v>310</v>
      </c>
      <c r="I72" s="48" t="s">
        <v>71</v>
      </c>
      <c r="J72" s="48" t="s">
        <v>71</v>
      </c>
      <c r="K72" s="78" t="s">
        <v>71</v>
      </c>
      <c r="L72" s="48" t="s">
        <v>71</v>
      </c>
      <c r="M72" s="48" t="s">
        <v>71</v>
      </c>
      <c r="N72" s="48" t="s">
        <v>71</v>
      </c>
      <c r="O72" s="48" t="s">
        <v>71</v>
      </c>
      <c r="P72" s="62" t="s">
        <v>71</v>
      </c>
      <c r="Q72" s="431">
        <v>45692</v>
      </c>
      <c r="R72" s="432"/>
      <c r="S72" s="433"/>
      <c r="T72" s="85" t="s">
        <v>1009</v>
      </c>
      <c r="U72" s="100"/>
    </row>
    <row r="73" spans="2:22" ht="28.2" customHeight="1" x14ac:dyDescent="0.35">
      <c r="B73" s="122"/>
      <c r="C73" s="123"/>
      <c r="D73" s="88" t="s">
        <v>672</v>
      </c>
      <c r="E73" s="89">
        <f t="shared" si="0"/>
        <v>70</v>
      </c>
      <c r="F73" s="88" t="s">
        <v>673</v>
      </c>
      <c r="G73" s="91" t="s">
        <v>662</v>
      </c>
      <c r="H73" s="78" t="s">
        <v>310</v>
      </c>
      <c r="I73" s="48" t="s">
        <v>71</v>
      </c>
      <c r="J73" s="48" t="s">
        <v>71</v>
      </c>
      <c r="K73" s="78" t="s">
        <v>71</v>
      </c>
      <c r="L73" s="48" t="s">
        <v>71</v>
      </c>
      <c r="M73" s="48" t="s">
        <v>71</v>
      </c>
      <c r="N73" s="48" t="s">
        <v>71</v>
      </c>
      <c r="O73" s="48" t="s">
        <v>71</v>
      </c>
      <c r="P73" s="62" t="s">
        <v>71</v>
      </c>
      <c r="Q73" s="431">
        <v>45692</v>
      </c>
      <c r="R73" s="432"/>
      <c r="S73" s="433"/>
      <c r="T73" s="85" t="s">
        <v>1009</v>
      </c>
      <c r="U73" s="100" t="s">
        <v>674</v>
      </c>
    </row>
    <row r="74" spans="2:22" ht="28.2" customHeight="1" x14ac:dyDescent="0.35">
      <c r="B74" s="122"/>
      <c r="C74" s="123"/>
      <c r="D74" s="93" t="s">
        <v>675</v>
      </c>
      <c r="E74" s="94">
        <f t="shared" si="0"/>
        <v>71</v>
      </c>
      <c r="F74" s="93" t="s">
        <v>277</v>
      </c>
      <c r="G74" s="96" t="s">
        <v>662</v>
      </c>
      <c r="H74" s="79" t="s">
        <v>71</v>
      </c>
      <c r="I74" s="50" t="s">
        <v>71</v>
      </c>
      <c r="J74" s="50" t="s">
        <v>71</v>
      </c>
      <c r="K74" s="79" t="s">
        <v>71</v>
      </c>
      <c r="L74" s="50" t="s">
        <v>71</v>
      </c>
      <c r="M74" s="50" t="s">
        <v>71</v>
      </c>
      <c r="N74" s="50" t="s">
        <v>71</v>
      </c>
      <c r="O74" s="50" t="s">
        <v>71</v>
      </c>
      <c r="P74" s="63" t="s">
        <v>71</v>
      </c>
      <c r="Q74" s="65"/>
      <c r="R74" s="51"/>
      <c r="S74" s="67"/>
      <c r="T74" s="322"/>
      <c r="U74" s="326" t="s">
        <v>572</v>
      </c>
    </row>
    <row r="75" spans="2:22" ht="28.2" customHeight="1" x14ac:dyDescent="0.35">
      <c r="B75" s="122"/>
      <c r="C75" s="123"/>
      <c r="D75" s="93" t="s">
        <v>676</v>
      </c>
      <c r="E75" s="94">
        <f t="shared" si="0"/>
        <v>72</v>
      </c>
      <c r="F75" s="93" t="s">
        <v>280</v>
      </c>
      <c r="G75" s="96" t="s">
        <v>662</v>
      </c>
      <c r="H75" s="79" t="s">
        <v>71</v>
      </c>
      <c r="I75" s="50" t="s">
        <v>71</v>
      </c>
      <c r="J75" s="50" t="s">
        <v>71</v>
      </c>
      <c r="K75" s="79" t="s">
        <v>71</v>
      </c>
      <c r="L75" s="50" t="s">
        <v>71</v>
      </c>
      <c r="M75" s="50" t="s">
        <v>71</v>
      </c>
      <c r="N75" s="50" t="s">
        <v>71</v>
      </c>
      <c r="O75" s="50" t="s">
        <v>71</v>
      </c>
      <c r="P75" s="63" t="s">
        <v>71</v>
      </c>
      <c r="Q75" s="65"/>
      <c r="R75" s="51"/>
      <c r="S75" s="67"/>
      <c r="T75" s="322"/>
      <c r="U75" s="326" t="s">
        <v>572</v>
      </c>
    </row>
    <row r="76" spans="2:22" ht="28.2" customHeight="1" x14ac:dyDescent="0.35">
      <c r="B76" s="122"/>
      <c r="C76" s="123"/>
      <c r="D76" s="93" t="s">
        <v>677</v>
      </c>
      <c r="E76" s="94">
        <f t="shared" si="0"/>
        <v>73</v>
      </c>
      <c r="F76" s="93" t="s">
        <v>282</v>
      </c>
      <c r="G76" s="96" t="s">
        <v>662</v>
      </c>
      <c r="H76" s="79" t="s">
        <v>71</v>
      </c>
      <c r="I76" s="50" t="s">
        <v>71</v>
      </c>
      <c r="J76" s="50" t="s">
        <v>71</v>
      </c>
      <c r="K76" s="79" t="s">
        <v>71</v>
      </c>
      <c r="L76" s="50" t="s">
        <v>71</v>
      </c>
      <c r="M76" s="50" t="s">
        <v>71</v>
      </c>
      <c r="N76" s="50" t="s">
        <v>71</v>
      </c>
      <c r="O76" s="50" t="s">
        <v>71</v>
      </c>
      <c r="P76" s="63" t="s">
        <v>71</v>
      </c>
      <c r="Q76" s="65"/>
      <c r="R76" s="51"/>
      <c r="S76" s="67"/>
      <c r="T76" s="322"/>
      <c r="U76" s="326" t="s">
        <v>572</v>
      </c>
    </row>
    <row r="77" spans="2:22" ht="28.2" customHeight="1" x14ac:dyDescent="0.35">
      <c r="B77" s="122"/>
      <c r="C77" s="123"/>
      <c r="D77" s="93" t="s">
        <v>678</v>
      </c>
      <c r="E77" s="94">
        <f t="shared" si="0"/>
        <v>74</v>
      </c>
      <c r="F77" s="93" t="s">
        <v>284</v>
      </c>
      <c r="G77" s="96" t="s">
        <v>662</v>
      </c>
      <c r="H77" s="79" t="s">
        <v>71</v>
      </c>
      <c r="I77" s="50" t="s">
        <v>71</v>
      </c>
      <c r="J77" s="50" t="s">
        <v>71</v>
      </c>
      <c r="K77" s="79" t="s">
        <v>71</v>
      </c>
      <c r="L77" s="50" t="s">
        <v>71</v>
      </c>
      <c r="M77" s="50" t="s">
        <v>71</v>
      </c>
      <c r="N77" s="50" t="s">
        <v>71</v>
      </c>
      <c r="O77" s="50" t="s">
        <v>71</v>
      </c>
      <c r="P77" s="63" t="s">
        <v>71</v>
      </c>
      <c r="Q77" s="65"/>
      <c r="R77" s="51"/>
      <c r="S77" s="67"/>
      <c r="T77" s="322"/>
      <c r="U77" s="326" t="s">
        <v>572</v>
      </c>
    </row>
    <row r="78" spans="2:22" ht="28.2" customHeight="1" x14ac:dyDescent="0.35">
      <c r="B78" s="122"/>
      <c r="C78" s="123"/>
      <c r="D78" s="93" t="s">
        <v>679</v>
      </c>
      <c r="E78" s="94">
        <f t="shared" si="0"/>
        <v>75</v>
      </c>
      <c r="F78" s="93" t="s">
        <v>680</v>
      </c>
      <c r="G78" s="96" t="s">
        <v>662</v>
      </c>
      <c r="H78" s="50" t="s">
        <v>71</v>
      </c>
      <c r="I78" s="50" t="s">
        <v>71</v>
      </c>
      <c r="J78" s="50" t="s">
        <v>71</v>
      </c>
      <c r="K78" s="50" t="s">
        <v>71</v>
      </c>
      <c r="L78" s="50" t="s">
        <v>71</v>
      </c>
      <c r="M78" s="50" t="s">
        <v>71</v>
      </c>
      <c r="N78" s="50" t="s">
        <v>71</v>
      </c>
      <c r="O78" s="50" t="s">
        <v>71</v>
      </c>
      <c r="P78" s="63" t="s">
        <v>71</v>
      </c>
      <c r="Q78" s="65"/>
      <c r="R78" s="51"/>
      <c r="S78" s="67"/>
      <c r="T78" s="322"/>
      <c r="U78" s="326" t="s">
        <v>572</v>
      </c>
    </row>
    <row r="79" spans="2:22" ht="28.2" customHeight="1" x14ac:dyDescent="0.35">
      <c r="B79" s="122"/>
      <c r="C79" s="123"/>
      <c r="D79" s="88" t="s">
        <v>681</v>
      </c>
      <c r="E79" s="89">
        <f t="shared" si="0"/>
        <v>76</v>
      </c>
      <c r="F79" s="88" t="s">
        <v>682</v>
      </c>
      <c r="G79" s="91" t="s">
        <v>683</v>
      </c>
      <c r="H79" s="78" t="s">
        <v>71</v>
      </c>
      <c r="I79" s="48" t="s">
        <v>71</v>
      </c>
      <c r="J79" s="48" t="s">
        <v>71</v>
      </c>
      <c r="K79" s="78" t="s">
        <v>310</v>
      </c>
      <c r="L79" s="48" t="s">
        <v>71</v>
      </c>
      <c r="M79" s="48" t="s">
        <v>71</v>
      </c>
      <c r="N79" s="48" t="s">
        <v>71</v>
      </c>
      <c r="O79" s="48" t="s">
        <v>71</v>
      </c>
      <c r="P79" s="62" t="s">
        <v>71</v>
      </c>
      <c r="Q79" s="64">
        <v>45692</v>
      </c>
      <c r="R79" s="49"/>
      <c r="S79" s="66"/>
      <c r="T79" s="85" t="s">
        <v>968</v>
      </c>
      <c r="U79" s="100"/>
    </row>
    <row r="80" spans="2:22" ht="28.2" customHeight="1" x14ac:dyDescent="0.35">
      <c r="B80" s="125" t="s">
        <v>684</v>
      </c>
      <c r="C80" s="312" t="s">
        <v>685</v>
      </c>
      <c r="D80" s="88" t="s">
        <v>686</v>
      </c>
      <c r="E80" s="89">
        <f t="shared" si="0"/>
        <v>77</v>
      </c>
      <c r="F80" s="88"/>
      <c r="G80" s="91" t="s">
        <v>687</v>
      </c>
      <c r="H80" s="48" t="s">
        <v>71</v>
      </c>
      <c r="I80" s="48" t="s">
        <v>71</v>
      </c>
      <c r="J80" s="48" t="s">
        <v>71</v>
      </c>
      <c r="K80" s="78" t="s">
        <v>957</v>
      </c>
      <c r="L80" s="48" t="s">
        <v>71</v>
      </c>
      <c r="M80" s="48" t="s">
        <v>71</v>
      </c>
      <c r="N80" s="48" t="s">
        <v>71</v>
      </c>
      <c r="O80" s="48" t="s">
        <v>71</v>
      </c>
      <c r="P80" s="62" t="s">
        <v>71</v>
      </c>
      <c r="Q80" s="64">
        <v>45692</v>
      </c>
      <c r="R80" s="49"/>
      <c r="S80" s="66"/>
      <c r="T80" s="85" t="s">
        <v>1006</v>
      </c>
      <c r="U80" s="100" t="s">
        <v>688</v>
      </c>
    </row>
    <row r="81" spans="1:22" ht="28.2" customHeight="1" x14ac:dyDescent="0.35">
      <c r="B81" s="313"/>
      <c r="C81" s="312" t="s">
        <v>689</v>
      </c>
      <c r="D81" s="88" t="s">
        <v>690</v>
      </c>
      <c r="E81" s="89">
        <f t="shared" si="0"/>
        <v>78</v>
      </c>
      <c r="F81" s="88"/>
      <c r="G81" s="91" t="s">
        <v>687</v>
      </c>
      <c r="H81" s="48" t="s">
        <v>71</v>
      </c>
      <c r="I81" s="48" t="s">
        <v>71</v>
      </c>
      <c r="J81" s="48" t="s">
        <v>71</v>
      </c>
      <c r="K81" s="78" t="s">
        <v>957</v>
      </c>
      <c r="L81" s="48" t="s">
        <v>71</v>
      </c>
      <c r="M81" s="48" t="s">
        <v>71</v>
      </c>
      <c r="N81" s="48" t="s">
        <v>71</v>
      </c>
      <c r="O81" s="48" t="s">
        <v>71</v>
      </c>
      <c r="P81" s="62" t="s">
        <v>71</v>
      </c>
      <c r="Q81" s="64">
        <v>45692</v>
      </c>
      <c r="R81" s="49"/>
      <c r="S81" s="66"/>
      <c r="T81" s="85" t="s">
        <v>1006</v>
      </c>
      <c r="U81" s="100" t="s">
        <v>691</v>
      </c>
    </row>
    <row r="82" spans="1:22" ht="28.2" customHeight="1" x14ac:dyDescent="0.35">
      <c r="B82" s="276" t="s">
        <v>654</v>
      </c>
      <c r="C82" s="292" t="s">
        <v>655</v>
      </c>
      <c r="D82" s="278" t="s">
        <v>656</v>
      </c>
      <c r="E82" s="279">
        <f t="shared" si="0"/>
        <v>79</v>
      </c>
      <c r="F82" s="280" t="s">
        <v>657</v>
      </c>
      <c r="G82" s="281" t="s">
        <v>658</v>
      </c>
      <c r="H82" s="282" t="s">
        <v>71</v>
      </c>
      <c r="I82" s="282" t="s">
        <v>71</v>
      </c>
      <c r="J82" s="282" t="s">
        <v>71</v>
      </c>
      <c r="K82" s="282" t="s">
        <v>71</v>
      </c>
      <c r="L82" s="282" t="s">
        <v>71</v>
      </c>
      <c r="M82" s="282" t="s">
        <v>71</v>
      </c>
      <c r="N82" s="282" t="s">
        <v>71</v>
      </c>
      <c r="O82" s="282" t="s">
        <v>71</v>
      </c>
      <c r="P82" s="283" t="s">
        <v>71</v>
      </c>
      <c r="Q82" s="284"/>
      <c r="R82" s="285"/>
      <c r="S82" s="286"/>
      <c r="T82" s="287"/>
      <c r="U82" s="288"/>
      <c r="V82" s="126"/>
    </row>
    <row r="83" spans="1:22" ht="48.6" customHeight="1" x14ac:dyDescent="0.35">
      <c r="B83" s="289" t="s">
        <v>692</v>
      </c>
      <c r="C83" s="277"/>
      <c r="D83" s="290" t="s">
        <v>664</v>
      </c>
      <c r="E83" s="279">
        <f t="shared" si="0"/>
        <v>80</v>
      </c>
      <c r="F83" s="280" t="s">
        <v>664</v>
      </c>
      <c r="G83" s="281" t="s">
        <v>662</v>
      </c>
      <c r="H83" s="282" t="s">
        <v>71</v>
      </c>
      <c r="I83" s="282" t="s">
        <v>71</v>
      </c>
      <c r="J83" s="282" t="s">
        <v>71</v>
      </c>
      <c r="K83" s="282" t="s">
        <v>71</v>
      </c>
      <c r="L83" s="282" t="s">
        <v>71</v>
      </c>
      <c r="M83" s="282" t="s">
        <v>71</v>
      </c>
      <c r="N83" s="282" t="s">
        <v>71</v>
      </c>
      <c r="O83" s="282" t="s">
        <v>71</v>
      </c>
      <c r="P83" s="283" t="s">
        <v>71</v>
      </c>
      <c r="Q83" s="284"/>
      <c r="R83" s="285"/>
      <c r="S83" s="286"/>
      <c r="T83" s="287"/>
      <c r="U83" s="288"/>
      <c r="V83" s="126"/>
    </row>
    <row r="84" spans="1:22" ht="28.2" customHeight="1" x14ac:dyDescent="0.35">
      <c r="B84" s="291"/>
      <c r="C84" s="277"/>
      <c r="D84" s="290" t="s">
        <v>693</v>
      </c>
      <c r="E84" s="279">
        <f t="shared" si="0"/>
        <v>81</v>
      </c>
      <c r="F84" s="280" t="s">
        <v>694</v>
      </c>
      <c r="G84" s="281" t="s">
        <v>662</v>
      </c>
      <c r="H84" s="282" t="s">
        <v>71</v>
      </c>
      <c r="I84" s="282" t="s">
        <v>71</v>
      </c>
      <c r="J84" s="282" t="s">
        <v>71</v>
      </c>
      <c r="K84" s="282" t="s">
        <v>71</v>
      </c>
      <c r="L84" s="282" t="s">
        <v>71</v>
      </c>
      <c r="M84" s="282" t="s">
        <v>71</v>
      </c>
      <c r="N84" s="282" t="s">
        <v>71</v>
      </c>
      <c r="O84" s="282" t="s">
        <v>71</v>
      </c>
      <c r="P84" s="283" t="s">
        <v>71</v>
      </c>
      <c r="Q84" s="284"/>
      <c r="R84" s="285"/>
      <c r="S84" s="286"/>
      <c r="T84" s="287"/>
      <c r="U84" s="288"/>
    </row>
    <row r="85" spans="1:22" ht="28.2" customHeight="1" x14ac:dyDescent="0.35">
      <c r="B85" s="291"/>
      <c r="C85" s="277"/>
      <c r="D85" s="290" t="s">
        <v>675</v>
      </c>
      <c r="E85" s="279">
        <f t="shared" si="0"/>
        <v>82</v>
      </c>
      <c r="F85" s="290" t="s">
        <v>277</v>
      </c>
      <c r="G85" s="281" t="s">
        <v>662</v>
      </c>
      <c r="H85" s="282" t="s">
        <v>71</v>
      </c>
      <c r="I85" s="282" t="s">
        <v>71</v>
      </c>
      <c r="J85" s="282" t="s">
        <v>71</v>
      </c>
      <c r="K85" s="282" t="s">
        <v>71</v>
      </c>
      <c r="L85" s="282" t="s">
        <v>71</v>
      </c>
      <c r="M85" s="282" t="s">
        <v>71</v>
      </c>
      <c r="N85" s="282" t="s">
        <v>71</v>
      </c>
      <c r="O85" s="282" t="s">
        <v>71</v>
      </c>
      <c r="P85" s="283" t="s">
        <v>71</v>
      </c>
      <c r="Q85" s="284"/>
      <c r="R85" s="285"/>
      <c r="S85" s="286"/>
      <c r="T85" s="287"/>
      <c r="U85" s="288"/>
    </row>
    <row r="86" spans="1:22" ht="28.2" customHeight="1" x14ac:dyDescent="0.35">
      <c r="B86" s="291"/>
      <c r="C86" s="277"/>
      <c r="D86" s="290" t="s">
        <v>676</v>
      </c>
      <c r="E86" s="279">
        <f t="shared" si="0"/>
        <v>83</v>
      </c>
      <c r="F86" s="290" t="s">
        <v>280</v>
      </c>
      <c r="G86" s="281" t="s">
        <v>662</v>
      </c>
      <c r="H86" s="282" t="s">
        <v>71</v>
      </c>
      <c r="I86" s="282" t="s">
        <v>71</v>
      </c>
      <c r="J86" s="282" t="s">
        <v>71</v>
      </c>
      <c r="K86" s="282" t="s">
        <v>71</v>
      </c>
      <c r="L86" s="282" t="s">
        <v>71</v>
      </c>
      <c r="M86" s="282" t="s">
        <v>71</v>
      </c>
      <c r="N86" s="282" t="s">
        <v>71</v>
      </c>
      <c r="O86" s="282" t="s">
        <v>71</v>
      </c>
      <c r="P86" s="283" t="s">
        <v>71</v>
      </c>
      <c r="Q86" s="284"/>
      <c r="R86" s="285"/>
      <c r="S86" s="286"/>
      <c r="T86" s="287"/>
      <c r="U86" s="288"/>
      <c r="V86" s="126"/>
    </row>
    <row r="87" spans="1:22" ht="28.2" customHeight="1" x14ac:dyDescent="0.35">
      <c r="B87" s="291"/>
      <c r="C87" s="277"/>
      <c r="D87" s="290" t="s">
        <v>677</v>
      </c>
      <c r="E87" s="279">
        <f t="shared" si="0"/>
        <v>84</v>
      </c>
      <c r="F87" s="290" t="s">
        <v>282</v>
      </c>
      <c r="G87" s="281" t="s">
        <v>662</v>
      </c>
      <c r="H87" s="282" t="s">
        <v>71</v>
      </c>
      <c r="I87" s="282" t="s">
        <v>71</v>
      </c>
      <c r="J87" s="282" t="s">
        <v>71</v>
      </c>
      <c r="K87" s="282" t="s">
        <v>71</v>
      </c>
      <c r="L87" s="282" t="s">
        <v>71</v>
      </c>
      <c r="M87" s="282" t="s">
        <v>71</v>
      </c>
      <c r="N87" s="282" t="s">
        <v>71</v>
      </c>
      <c r="O87" s="282" t="s">
        <v>71</v>
      </c>
      <c r="P87" s="283" t="s">
        <v>71</v>
      </c>
      <c r="Q87" s="284"/>
      <c r="R87" s="285"/>
      <c r="S87" s="286"/>
      <c r="T87" s="287"/>
      <c r="U87" s="288"/>
      <c r="V87" s="126"/>
    </row>
    <row r="88" spans="1:22" ht="37.950000000000003" customHeight="1" x14ac:dyDescent="0.35">
      <c r="B88" s="291"/>
      <c r="C88" s="277"/>
      <c r="D88" s="290" t="s">
        <v>678</v>
      </c>
      <c r="E88" s="279">
        <f t="shared" si="0"/>
        <v>85</v>
      </c>
      <c r="F88" s="290" t="s">
        <v>284</v>
      </c>
      <c r="G88" s="281" t="s">
        <v>662</v>
      </c>
      <c r="H88" s="282" t="s">
        <v>71</v>
      </c>
      <c r="I88" s="282" t="s">
        <v>71</v>
      </c>
      <c r="J88" s="282" t="s">
        <v>71</v>
      </c>
      <c r="K88" s="282" t="s">
        <v>71</v>
      </c>
      <c r="L88" s="282" t="s">
        <v>71</v>
      </c>
      <c r="M88" s="282" t="s">
        <v>71</v>
      </c>
      <c r="N88" s="282" t="s">
        <v>71</v>
      </c>
      <c r="O88" s="282" t="s">
        <v>71</v>
      </c>
      <c r="P88" s="283" t="s">
        <v>71</v>
      </c>
      <c r="Q88" s="284"/>
      <c r="R88" s="285"/>
      <c r="S88" s="286"/>
      <c r="T88" s="287"/>
      <c r="U88" s="293"/>
    </row>
    <row r="89" spans="1:22" ht="28.2" customHeight="1" x14ac:dyDescent="0.35">
      <c r="B89" s="291"/>
      <c r="C89" s="277"/>
      <c r="D89" s="290" t="s">
        <v>695</v>
      </c>
      <c r="E89" s="279">
        <f t="shared" si="0"/>
        <v>86</v>
      </c>
      <c r="F89" s="290" t="s">
        <v>680</v>
      </c>
      <c r="G89" s="281" t="s">
        <v>662</v>
      </c>
      <c r="H89" s="282" t="s">
        <v>71</v>
      </c>
      <c r="I89" s="282" t="s">
        <v>71</v>
      </c>
      <c r="J89" s="282" t="s">
        <v>71</v>
      </c>
      <c r="K89" s="282" t="s">
        <v>71</v>
      </c>
      <c r="L89" s="282" t="s">
        <v>71</v>
      </c>
      <c r="M89" s="282" t="s">
        <v>71</v>
      </c>
      <c r="N89" s="282" t="s">
        <v>71</v>
      </c>
      <c r="O89" s="282" t="s">
        <v>71</v>
      </c>
      <c r="P89" s="283" t="s">
        <v>71</v>
      </c>
      <c r="Q89" s="284"/>
      <c r="R89" s="285"/>
      <c r="S89" s="286"/>
      <c r="T89" s="287"/>
      <c r="U89" s="288"/>
    </row>
    <row r="90" spans="1:22" ht="36" customHeight="1" x14ac:dyDescent="0.35">
      <c r="B90" s="291"/>
      <c r="C90" s="277"/>
      <c r="D90" s="290" t="s">
        <v>696</v>
      </c>
      <c r="E90" s="279">
        <f t="shared" si="0"/>
        <v>87</v>
      </c>
      <c r="F90" s="290" t="s">
        <v>682</v>
      </c>
      <c r="G90" s="281" t="s">
        <v>662</v>
      </c>
      <c r="H90" s="282" t="s">
        <v>71</v>
      </c>
      <c r="I90" s="282" t="s">
        <v>71</v>
      </c>
      <c r="J90" s="282" t="s">
        <v>71</v>
      </c>
      <c r="K90" s="282" t="s">
        <v>71</v>
      </c>
      <c r="L90" s="282" t="s">
        <v>71</v>
      </c>
      <c r="M90" s="282" t="s">
        <v>71</v>
      </c>
      <c r="N90" s="282" t="s">
        <v>71</v>
      </c>
      <c r="O90" s="282" t="s">
        <v>71</v>
      </c>
      <c r="P90" s="283" t="s">
        <v>71</v>
      </c>
      <c r="Q90" s="284"/>
      <c r="R90" s="285"/>
      <c r="S90" s="286"/>
      <c r="T90" s="287"/>
      <c r="U90" s="288"/>
    </row>
    <row r="91" spans="1:22" ht="28.2" customHeight="1" thickBot="1" x14ac:dyDescent="0.4">
      <c r="B91" s="309"/>
      <c r="C91" s="294"/>
      <c r="D91" s="295"/>
      <c r="E91" s="296"/>
      <c r="F91" s="297"/>
      <c r="G91" s="298"/>
      <c r="H91" s="299" t="s">
        <v>71</v>
      </c>
      <c r="I91" s="300" t="s">
        <v>71</v>
      </c>
      <c r="J91" s="300" t="s">
        <v>71</v>
      </c>
      <c r="K91" s="301" t="s">
        <v>71</v>
      </c>
      <c r="L91" s="300" t="s">
        <v>71</v>
      </c>
      <c r="M91" s="300" t="s">
        <v>71</v>
      </c>
      <c r="N91" s="301" t="s">
        <v>71</v>
      </c>
      <c r="O91" s="301" t="s">
        <v>71</v>
      </c>
      <c r="P91" s="302" t="s">
        <v>71</v>
      </c>
      <c r="Q91" s="303"/>
      <c r="R91" s="304"/>
      <c r="S91" s="305"/>
      <c r="T91" s="306"/>
      <c r="U91" s="307"/>
    </row>
    <row r="92" spans="1:22" ht="18" customHeight="1" x14ac:dyDescent="0.35">
      <c r="B92" s="524" t="s">
        <v>300</v>
      </c>
      <c r="C92" s="509"/>
      <c r="D92" s="509">
        <f>SUM(H94:P94)</f>
        <v>200</v>
      </c>
      <c r="E92" s="157"/>
      <c r="F92" s="158"/>
      <c r="G92" s="248" t="s">
        <v>301</v>
      </c>
      <c r="H92" s="160">
        <f t="shared" ref="H92:P92" si="1">COUNTIF(H4:H91,"●")+COUNTIF(H4:H91,"■")+COUNTIF(H4:H91,"OK")</f>
        <v>63</v>
      </c>
      <c r="I92" s="160">
        <f t="shared" si="1"/>
        <v>0</v>
      </c>
      <c r="J92" s="160">
        <f t="shared" si="1"/>
        <v>0</v>
      </c>
      <c r="K92" s="160">
        <f t="shared" si="1"/>
        <v>4</v>
      </c>
      <c r="L92" s="160">
        <f t="shared" si="1"/>
        <v>58</v>
      </c>
      <c r="M92" s="160">
        <f t="shared" si="1"/>
        <v>58</v>
      </c>
      <c r="N92" s="160">
        <f t="shared" si="1"/>
        <v>0</v>
      </c>
      <c r="O92" s="160">
        <f t="shared" si="1"/>
        <v>17</v>
      </c>
      <c r="P92" s="160">
        <f t="shared" si="1"/>
        <v>0</v>
      </c>
      <c r="Q92" s="511" t="s">
        <v>302</v>
      </c>
      <c r="R92" s="511"/>
      <c r="S92" s="511"/>
      <c r="T92" s="161"/>
      <c r="U92" s="162"/>
    </row>
    <row r="93" spans="1:22" ht="18" customHeight="1" x14ac:dyDescent="0.35">
      <c r="B93" s="525"/>
      <c r="C93" s="510"/>
      <c r="D93" s="510"/>
      <c r="E93" s="55"/>
      <c r="F93" s="56"/>
      <c r="G93" s="249" t="s">
        <v>303</v>
      </c>
      <c r="H93" s="75">
        <f t="shared" ref="H93:P93" si="2">COUNTIF(H4:H91,"×")+COUNTIF(H4:H91,"NG")</f>
        <v>0</v>
      </c>
      <c r="I93" s="76">
        <f t="shared" si="2"/>
        <v>0</v>
      </c>
      <c r="J93" s="76">
        <f t="shared" si="2"/>
        <v>0</v>
      </c>
      <c r="K93" s="76">
        <f t="shared" si="2"/>
        <v>0</v>
      </c>
      <c r="L93" s="76">
        <f t="shared" si="2"/>
        <v>0</v>
      </c>
      <c r="M93" s="76">
        <f t="shared" si="2"/>
        <v>0</v>
      </c>
      <c r="N93" s="76">
        <f t="shared" si="2"/>
        <v>0</v>
      </c>
      <c r="O93" s="76">
        <f t="shared" si="2"/>
        <v>0</v>
      </c>
      <c r="P93" s="77">
        <f t="shared" si="2"/>
        <v>0</v>
      </c>
      <c r="Q93" s="512"/>
      <c r="R93" s="512"/>
      <c r="S93" s="512"/>
      <c r="T93" s="71"/>
      <c r="U93" s="105"/>
    </row>
    <row r="94" spans="1:22" ht="18" customHeight="1" x14ac:dyDescent="0.35">
      <c r="B94" s="526" t="s">
        <v>304</v>
      </c>
      <c r="C94" s="507"/>
      <c r="D94" s="507">
        <f>SUM(H95:P95)</f>
        <v>200</v>
      </c>
      <c r="E94" s="45"/>
      <c r="F94" s="46"/>
      <c r="G94" s="249" t="s">
        <v>305</v>
      </c>
      <c r="H94" s="75">
        <f t="shared" ref="H94:P94" si="3">H92+H93</f>
        <v>63</v>
      </c>
      <c r="I94" s="76">
        <f t="shared" si="3"/>
        <v>0</v>
      </c>
      <c r="J94" s="76">
        <f t="shared" si="3"/>
        <v>0</v>
      </c>
      <c r="K94" s="76">
        <f t="shared" si="3"/>
        <v>4</v>
      </c>
      <c r="L94" s="76">
        <f t="shared" si="3"/>
        <v>58</v>
      </c>
      <c r="M94" s="76">
        <f t="shared" si="3"/>
        <v>58</v>
      </c>
      <c r="N94" s="76">
        <f t="shared" si="3"/>
        <v>0</v>
      </c>
      <c r="O94" s="76">
        <f t="shared" si="3"/>
        <v>17</v>
      </c>
      <c r="P94" s="77">
        <f t="shared" si="3"/>
        <v>0</v>
      </c>
      <c r="Q94" s="513">
        <f>COUNTA(Q4:Q91)</f>
        <v>66</v>
      </c>
      <c r="R94" s="515">
        <f>COUNTA(R4:R91)</f>
        <v>0</v>
      </c>
      <c r="S94" s="517">
        <f>COUNTA(S4:S91)</f>
        <v>0</v>
      </c>
      <c r="T94" s="71"/>
      <c r="U94" s="105"/>
    </row>
    <row r="95" spans="1:22" ht="18" customHeight="1" thickBot="1" x14ac:dyDescent="0.4">
      <c r="A95" s="118"/>
      <c r="B95" s="527"/>
      <c r="C95" s="508"/>
      <c r="D95" s="508"/>
      <c r="E95" s="106"/>
      <c r="F95" s="107"/>
      <c r="G95" s="250" t="s">
        <v>306</v>
      </c>
      <c r="H95" s="109">
        <f t="shared" ref="H95:P95" si="4">COUNTBLANK(H4:H91)+H94+COUNTIF(H4:H91,"□")</f>
        <v>63</v>
      </c>
      <c r="I95" s="110">
        <f t="shared" si="4"/>
        <v>0</v>
      </c>
      <c r="J95" s="110">
        <f t="shared" si="4"/>
        <v>0</v>
      </c>
      <c r="K95" s="110">
        <f t="shared" si="4"/>
        <v>4</v>
      </c>
      <c r="L95" s="110">
        <f t="shared" si="4"/>
        <v>58</v>
      </c>
      <c r="M95" s="110">
        <f t="shared" si="4"/>
        <v>58</v>
      </c>
      <c r="N95" s="110">
        <f t="shared" si="4"/>
        <v>0</v>
      </c>
      <c r="O95" s="110">
        <f t="shared" si="4"/>
        <v>17</v>
      </c>
      <c r="P95" s="111">
        <f t="shared" si="4"/>
        <v>0</v>
      </c>
      <c r="Q95" s="514"/>
      <c r="R95" s="516"/>
      <c r="S95" s="518"/>
      <c r="T95" s="112"/>
      <c r="U95" s="113"/>
    </row>
    <row r="96" spans="1:22" ht="24" customHeight="1" x14ac:dyDescent="0.35"/>
  </sheetData>
  <mergeCells count="16">
    <mergeCell ref="T2:T3"/>
    <mergeCell ref="U2:U3"/>
    <mergeCell ref="B92:C93"/>
    <mergeCell ref="D92:D93"/>
    <mergeCell ref="Q92:S93"/>
    <mergeCell ref="B2:B3"/>
    <mergeCell ref="C2:C3"/>
    <mergeCell ref="D2:D3"/>
    <mergeCell ref="E2:G2"/>
    <mergeCell ref="H2:P2"/>
    <mergeCell ref="Q2:S2"/>
    <mergeCell ref="B94:C95"/>
    <mergeCell ref="D94:D95"/>
    <mergeCell ref="Q94:Q95"/>
    <mergeCell ref="R94:R95"/>
    <mergeCell ref="S94:S95"/>
  </mergeCells>
  <phoneticPr fontId="23"/>
  <pageMargins left="0.25" right="0.25" top="0.75" bottom="0.75" header="0.3" footer="0.3"/>
  <pageSetup paperSize="8" scale="69" fitToHeight="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11BFA-4E6F-4800-B7FA-1A7109513613}">
  <sheetPr codeName="Sheet8">
    <pageSetUpPr fitToPage="1"/>
  </sheetPr>
  <dimension ref="A1:V78"/>
  <sheetViews>
    <sheetView view="pageBreakPreview" zoomScale="85" zoomScaleNormal="70" zoomScaleSheetLayoutView="85" workbookViewId="0">
      <pane ySplit="3" topLeftCell="A67" activePane="bottomLeft" state="frozen"/>
      <selection activeCell="F18" sqref="F18"/>
      <selection pane="bottomLeft" activeCell="Q55" sqref="Q55"/>
    </sheetView>
  </sheetViews>
  <sheetFormatPr defaultColWidth="8.6640625" defaultRowHeight="13.2" outlineLevelRow="1" x14ac:dyDescent="0.35"/>
  <cols>
    <col min="1" max="1" width="3.109375" style="60" customWidth="1"/>
    <col min="2" max="2" width="14.886718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20.109375" style="120" bestFit="1" customWidth="1"/>
    <col min="22" max="22" width="5" style="120" customWidth="1"/>
    <col min="23" max="16384" width="8.6640625" style="120"/>
  </cols>
  <sheetData>
    <row r="1" spans="1:22" ht="20.399999999999999" thickBot="1" x14ac:dyDescent="0.4">
      <c r="B1" s="121" t="s">
        <v>568</v>
      </c>
      <c r="E1" s="121"/>
    </row>
    <row r="2" spans="1:22" ht="24" customHeight="1" x14ac:dyDescent="0.35">
      <c r="A2" s="118"/>
      <c r="B2" s="522" t="s">
        <v>43</v>
      </c>
      <c r="C2" s="505" t="s">
        <v>44</v>
      </c>
      <c r="D2" s="505" t="s">
        <v>45</v>
      </c>
      <c r="E2" s="498" t="s">
        <v>46</v>
      </c>
      <c r="F2" s="499"/>
      <c r="G2" s="500"/>
      <c r="H2" s="519" t="s">
        <v>308</v>
      </c>
      <c r="I2" s="520"/>
      <c r="J2" s="520"/>
      <c r="K2" s="520"/>
      <c r="L2" s="520"/>
      <c r="M2" s="520"/>
      <c r="N2" s="520"/>
      <c r="O2" s="520"/>
      <c r="P2" s="521"/>
      <c r="Q2" s="501" t="s">
        <v>48</v>
      </c>
      <c r="R2" s="502"/>
      <c r="S2" s="502"/>
      <c r="T2" s="505" t="s">
        <v>49</v>
      </c>
      <c r="U2" s="503" t="s">
        <v>50</v>
      </c>
    </row>
    <row r="3" spans="1:22" ht="27" thickBot="1" x14ac:dyDescent="0.4">
      <c r="A3" s="118"/>
      <c r="B3" s="523"/>
      <c r="C3" s="506"/>
      <c r="D3" s="506"/>
      <c r="E3" s="114" t="s">
        <v>51</v>
      </c>
      <c r="F3" s="247"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506"/>
      <c r="U3" s="504"/>
    </row>
    <row r="4" spans="1:22" ht="28.2" hidden="1" customHeight="1" outlineLevel="1" x14ac:dyDescent="0.35">
      <c r="B4" s="345" t="s">
        <v>569</v>
      </c>
      <c r="C4" s="330" t="s">
        <v>570</v>
      </c>
      <c r="D4" s="325"/>
      <c r="E4" s="384">
        <f>ROW()-3</f>
        <v>1</v>
      </c>
      <c r="F4" s="385" t="s">
        <v>571</v>
      </c>
      <c r="G4" s="386" t="s">
        <v>84</v>
      </c>
      <c r="H4" s="50" t="s">
        <v>71</v>
      </c>
      <c r="I4" s="50" t="s">
        <v>71</v>
      </c>
      <c r="J4" s="50" t="s">
        <v>71</v>
      </c>
      <c r="K4" s="50" t="s">
        <v>71</v>
      </c>
      <c r="L4" s="50" t="s">
        <v>71</v>
      </c>
      <c r="M4" s="50" t="s">
        <v>71</v>
      </c>
      <c r="N4" s="50" t="s">
        <v>71</v>
      </c>
      <c r="O4" s="50" t="s">
        <v>71</v>
      </c>
      <c r="P4" s="50" t="s">
        <v>71</v>
      </c>
      <c r="Q4" s="329"/>
      <c r="R4" s="379"/>
      <c r="S4" s="380"/>
      <c r="T4" s="322"/>
      <c r="U4" s="413" t="s">
        <v>697</v>
      </c>
    </row>
    <row r="5" spans="1:22" ht="28.2" hidden="1" customHeight="1" outlineLevel="1" x14ac:dyDescent="0.35">
      <c r="B5" s="345" t="s">
        <v>573</v>
      </c>
      <c r="C5" s="328" t="s">
        <v>574</v>
      </c>
      <c r="D5" s="325" t="s">
        <v>575</v>
      </c>
      <c r="E5" s="94">
        <f t="shared" ref="E5:E54" si="0">ROW()-3</f>
        <v>2</v>
      </c>
      <c r="F5" s="95" t="s">
        <v>576</v>
      </c>
      <c r="G5" s="96" t="s">
        <v>577</v>
      </c>
      <c r="H5" s="50" t="s">
        <v>71</v>
      </c>
      <c r="I5" s="50" t="s">
        <v>71</v>
      </c>
      <c r="J5" s="50" t="s">
        <v>71</v>
      </c>
      <c r="K5" s="50" t="s">
        <v>71</v>
      </c>
      <c r="L5" s="50" t="s">
        <v>71</v>
      </c>
      <c r="M5" s="50" t="s">
        <v>71</v>
      </c>
      <c r="N5" s="50" t="s">
        <v>71</v>
      </c>
      <c r="O5" s="50" t="s">
        <v>71</v>
      </c>
      <c r="P5" s="50" t="s">
        <v>71</v>
      </c>
      <c r="Q5" s="65"/>
      <c r="R5" s="51"/>
      <c r="S5" s="67"/>
      <c r="T5" s="322"/>
      <c r="U5" s="102"/>
    </row>
    <row r="6" spans="1:22" ht="28.2" hidden="1" customHeight="1" outlineLevel="1" x14ac:dyDescent="0.35">
      <c r="B6" s="345"/>
      <c r="C6" s="327" t="s">
        <v>578</v>
      </c>
      <c r="D6" s="325" t="s">
        <v>579</v>
      </c>
      <c r="E6" s="94">
        <f t="shared" si="0"/>
        <v>3</v>
      </c>
      <c r="F6" s="95" t="s">
        <v>580</v>
      </c>
      <c r="G6" s="96" t="s">
        <v>581</v>
      </c>
      <c r="H6" s="50" t="s">
        <v>71</v>
      </c>
      <c r="I6" s="50" t="s">
        <v>71</v>
      </c>
      <c r="J6" s="50" t="s">
        <v>71</v>
      </c>
      <c r="K6" s="50" t="s">
        <v>71</v>
      </c>
      <c r="L6" s="50" t="s">
        <v>71</v>
      </c>
      <c r="M6" s="50" t="s">
        <v>71</v>
      </c>
      <c r="N6" s="50" t="s">
        <v>71</v>
      </c>
      <c r="O6" s="50" t="s">
        <v>71</v>
      </c>
      <c r="P6" s="50" t="s">
        <v>71</v>
      </c>
      <c r="Q6" s="65"/>
      <c r="R6" s="51"/>
      <c r="S6" s="67"/>
      <c r="T6" s="322"/>
      <c r="U6" s="326" t="s">
        <v>698</v>
      </c>
    </row>
    <row r="7" spans="1:22" ht="28.2" hidden="1" customHeight="1" outlineLevel="1" x14ac:dyDescent="0.35">
      <c r="B7" s="345"/>
      <c r="C7" s="381"/>
      <c r="D7" s="325" t="s">
        <v>583</v>
      </c>
      <c r="E7" s="94">
        <f t="shared" si="0"/>
        <v>4</v>
      </c>
      <c r="F7" s="95" t="s">
        <v>584</v>
      </c>
      <c r="G7" s="96" t="s">
        <v>581</v>
      </c>
      <c r="H7" s="50" t="s">
        <v>71</v>
      </c>
      <c r="I7" s="50" t="s">
        <v>71</v>
      </c>
      <c r="J7" s="50" t="s">
        <v>71</v>
      </c>
      <c r="K7" s="50" t="s">
        <v>71</v>
      </c>
      <c r="L7" s="50" t="s">
        <v>71</v>
      </c>
      <c r="M7" s="50" t="s">
        <v>71</v>
      </c>
      <c r="N7" s="50" t="s">
        <v>71</v>
      </c>
      <c r="O7" s="50" t="s">
        <v>71</v>
      </c>
      <c r="P7" s="50" t="s">
        <v>71</v>
      </c>
      <c r="Q7" s="65"/>
      <c r="R7" s="51"/>
      <c r="S7" s="67"/>
      <c r="T7" s="322"/>
      <c r="U7" s="326"/>
    </row>
    <row r="8" spans="1:22" ht="26.4" hidden="1" outlineLevel="1" x14ac:dyDescent="0.35">
      <c r="B8" s="345"/>
      <c r="C8" s="382"/>
      <c r="D8" s="325" t="s">
        <v>589</v>
      </c>
      <c r="E8" s="94">
        <f t="shared" si="0"/>
        <v>5</v>
      </c>
      <c r="F8" s="95" t="s">
        <v>586</v>
      </c>
      <c r="G8" s="96" t="s">
        <v>581</v>
      </c>
      <c r="H8" s="50" t="s">
        <v>71</v>
      </c>
      <c r="I8" s="50" t="s">
        <v>71</v>
      </c>
      <c r="J8" s="50" t="s">
        <v>71</v>
      </c>
      <c r="K8" s="50" t="s">
        <v>71</v>
      </c>
      <c r="L8" s="50" t="s">
        <v>71</v>
      </c>
      <c r="M8" s="50" t="s">
        <v>71</v>
      </c>
      <c r="N8" s="50" t="s">
        <v>71</v>
      </c>
      <c r="O8" s="50" t="s">
        <v>71</v>
      </c>
      <c r="P8" s="50" t="s">
        <v>71</v>
      </c>
      <c r="Q8" s="65"/>
      <c r="R8" s="51"/>
      <c r="S8" s="67"/>
      <c r="T8" s="322"/>
      <c r="U8" s="383"/>
    </row>
    <row r="9" spans="1:22" ht="28.2" hidden="1" customHeight="1" outlineLevel="1" x14ac:dyDescent="0.35">
      <c r="B9" s="345"/>
      <c r="C9" s="381"/>
      <c r="D9" s="325" t="s">
        <v>619</v>
      </c>
      <c r="E9" s="94">
        <f t="shared" si="0"/>
        <v>6</v>
      </c>
      <c r="F9" s="95" t="s">
        <v>580</v>
      </c>
      <c r="G9" s="96" t="s">
        <v>581</v>
      </c>
      <c r="H9" s="50" t="s">
        <v>71</v>
      </c>
      <c r="I9" s="50" t="s">
        <v>71</v>
      </c>
      <c r="J9" s="50" t="s">
        <v>71</v>
      </c>
      <c r="K9" s="50" t="s">
        <v>71</v>
      </c>
      <c r="L9" s="50" t="s">
        <v>71</v>
      </c>
      <c r="M9" s="50" t="s">
        <v>71</v>
      </c>
      <c r="N9" s="50" t="s">
        <v>71</v>
      </c>
      <c r="O9" s="50" t="s">
        <v>71</v>
      </c>
      <c r="P9" s="50" t="s">
        <v>71</v>
      </c>
      <c r="Q9" s="65"/>
      <c r="R9" s="51"/>
      <c r="S9" s="67"/>
      <c r="T9" s="322"/>
      <c r="U9" s="326"/>
    </row>
    <row r="10" spans="1:22" ht="28.2" hidden="1" customHeight="1" outlineLevel="1" x14ac:dyDescent="0.35">
      <c r="B10" s="345"/>
      <c r="C10" s="330"/>
      <c r="D10" s="325" t="s">
        <v>592</v>
      </c>
      <c r="E10" s="94">
        <f t="shared" si="0"/>
        <v>7</v>
      </c>
      <c r="F10" s="95" t="s">
        <v>586</v>
      </c>
      <c r="G10" s="96" t="s">
        <v>581</v>
      </c>
      <c r="H10" s="50" t="s">
        <v>71</v>
      </c>
      <c r="I10" s="50" t="s">
        <v>71</v>
      </c>
      <c r="J10" s="50" t="s">
        <v>71</v>
      </c>
      <c r="K10" s="50" t="s">
        <v>71</v>
      </c>
      <c r="L10" s="50" t="s">
        <v>71</v>
      </c>
      <c r="M10" s="50" t="s">
        <v>71</v>
      </c>
      <c r="N10" s="50" t="s">
        <v>71</v>
      </c>
      <c r="O10" s="50" t="s">
        <v>71</v>
      </c>
      <c r="P10" s="50" t="s">
        <v>71</v>
      </c>
      <c r="Q10" s="65"/>
      <c r="R10" s="51"/>
      <c r="S10" s="67"/>
      <c r="T10" s="322"/>
      <c r="U10" s="383"/>
    </row>
    <row r="11" spans="1:22" ht="28.2" hidden="1" customHeight="1" outlineLevel="1" x14ac:dyDescent="0.35">
      <c r="B11" s="345"/>
      <c r="C11" s="320" t="s">
        <v>593</v>
      </c>
      <c r="D11" s="325" t="s">
        <v>579</v>
      </c>
      <c r="E11" s="94">
        <f t="shared" si="0"/>
        <v>8</v>
      </c>
      <c r="F11" s="95" t="s">
        <v>595</v>
      </c>
      <c r="G11" s="96" t="s">
        <v>596</v>
      </c>
      <c r="H11" s="50" t="s">
        <v>71</v>
      </c>
      <c r="I11" s="50" t="s">
        <v>71</v>
      </c>
      <c r="J11" s="50" t="s">
        <v>71</v>
      </c>
      <c r="K11" s="50" t="s">
        <v>71</v>
      </c>
      <c r="L11" s="50" t="s">
        <v>71</v>
      </c>
      <c r="M11" s="50" t="s">
        <v>71</v>
      </c>
      <c r="N11" s="50" t="s">
        <v>71</v>
      </c>
      <c r="O11" s="50" t="s">
        <v>71</v>
      </c>
      <c r="P11" s="50" t="s">
        <v>71</v>
      </c>
      <c r="Q11" s="65"/>
      <c r="R11" s="51"/>
      <c r="S11" s="67"/>
      <c r="T11" s="322"/>
      <c r="U11" s="326" t="s">
        <v>698</v>
      </c>
      <c r="V11" s="126"/>
    </row>
    <row r="12" spans="1:22" ht="28.2" hidden="1" customHeight="1" outlineLevel="1" x14ac:dyDescent="0.35">
      <c r="B12" s="345"/>
      <c r="C12" s="327"/>
      <c r="D12" s="325" t="s">
        <v>583</v>
      </c>
      <c r="E12" s="94">
        <f t="shared" si="0"/>
        <v>9</v>
      </c>
      <c r="F12" s="95" t="s">
        <v>604</v>
      </c>
      <c r="G12" s="96" t="s">
        <v>596</v>
      </c>
      <c r="H12" s="50" t="s">
        <v>71</v>
      </c>
      <c r="I12" s="50" t="s">
        <v>71</v>
      </c>
      <c r="J12" s="50" t="s">
        <v>71</v>
      </c>
      <c r="K12" s="50" t="s">
        <v>71</v>
      </c>
      <c r="L12" s="50" t="s">
        <v>71</v>
      </c>
      <c r="M12" s="50" t="s">
        <v>71</v>
      </c>
      <c r="N12" s="50" t="s">
        <v>71</v>
      </c>
      <c r="O12" s="50" t="s">
        <v>71</v>
      </c>
      <c r="P12" s="50" t="s">
        <v>71</v>
      </c>
      <c r="Q12" s="65"/>
      <c r="R12" s="51"/>
      <c r="S12" s="67"/>
      <c r="T12" s="322"/>
      <c r="U12" s="102"/>
    </row>
    <row r="13" spans="1:22" ht="28.95" hidden="1" customHeight="1" outlineLevel="1" x14ac:dyDescent="0.35">
      <c r="B13" s="345"/>
      <c r="C13" s="330"/>
      <c r="D13" s="325" t="s">
        <v>589</v>
      </c>
      <c r="E13" s="94">
        <f t="shared" si="0"/>
        <v>10</v>
      </c>
      <c r="F13" s="95" t="s">
        <v>602</v>
      </c>
      <c r="G13" s="96" t="s">
        <v>596</v>
      </c>
      <c r="H13" s="50" t="s">
        <v>71</v>
      </c>
      <c r="I13" s="50" t="s">
        <v>71</v>
      </c>
      <c r="J13" s="50" t="s">
        <v>71</v>
      </c>
      <c r="K13" s="50" t="s">
        <v>71</v>
      </c>
      <c r="L13" s="50" t="s">
        <v>71</v>
      </c>
      <c r="M13" s="50" t="s">
        <v>71</v>
      </c>
      <c r="N13" s="50" t="s">
        <v>71</v>
      </c>
      <c r="O13" s="50" t="s">
        <v>71</v>
      </c>
      <c r="P13" s="50" t="s">
        <v>71</v>
      </c>
      <c r="Q13" s="65"/>
      <c r="R13" s="51"/>
      <c r="S13" s="67"/>
      <c r="T13" s="322"/>
      <c r="U13" s="102"/>
    </row>
    <row r="14" spans="1:22" ht="28.2" hidden="1" customHeight="1" outlineLevel="1" x14ac:dyDescent="0.35">
      <c r="B14" s="345"/>
      <c r="C14" s="327"/>
      <c r="D14" s="325" t="s">
        <v>619</v>
      </c>
      <c r="E14" s="94">
        <f t="shared" si="0"/>
        <v>11</v>
      </c>
      <c r="F14" s="95" t="s">
        <v>595</v>
      </c>
      <c r="G14" s="96" t="s">
        <v>596</v>
      </c>
      <c r="H14" s="50" t="s">
        <v>71</v>
      </c>
      <c r="I14" s="50" t="s">
        <v>71</v>
      </c>
      <c r="J14" s="50" t="s">
        <v>71</v>
      </c>
      <c r="K14" s="50" t="s">
        <v>71</v>
      </c>
      <c r="L14" s="50" t="s">
        <v>71</v>
      </c>
      <c r="M14" s="50" t="s">
        <v>71</v>
      </c>
      <c r="N14" s="50" t="s">
        <v>71</v>
      </c>
      <c r="O14" s="50" t="s">
        <v>71</v>
      </c>
      <c r="P14" s="50" t="s">
        <v>71</v>
      </c>
      <c r="Q14" s="65"/>
      <c r="R14" s="51"/>
      <c r="S14" s="67"/>
      <c r="T14" s="322"/>
      <c r="U14" s="326"/>
      <c r="V14" s="126"/>
    </row>
    <row r="15" spans="1:22" ht="28.2" hidden="1" customHeight="1" outlineLevel="1" x14ac:dyDescent="0.35">
      <c r="B15" s="345"/>
      <c r="C15" s="327"/>
      <c r="D15" s="325" t="s">
        <v>592</v>
      </c>
      <c r="E15" s="94">
        <f t="shared" si="0"/>
        <v>12</v>
      </c>
      <c r="F15" s="95" t="s">
        <v>602</v>
      </c>
      <c r="G15" s="96" t="s">
        <v>596</v>
      </c>
      <c r="H15" s="50" t="s">
        <v>71</v>
      </c>
      <c r="I15" s="50" t="s">
        <v>71</v>
      </c>
      <c r="J15" s="50" t="s">
        <v>71</v>
      </c>
      <c r="K15" s="50" t="s">
        <v>71</v>
      </c>
      <c r="L15" s="50" t="s">
        <v>71</v>
      </c>
      <c r="M15" s="50" t="s">
        <v>71</v>
      </c>
      <c r="N15" s="50" t="s">
        <v>71</v>
      </c>
      <c r="O15" s="50" t="s">
        <v>71</v>
      </c>
      <c r="P15" s="50" t="s">
        <v>71</v>
      </c>
      <c r="Q15" s="65"/>
      <c r="R15" s="51"/>
      <c r="S15" s="67"/>
      <c r="T15" s="322"/>
      <c r="U15" s="102"/>
    </row>
    <row r="16" spans="1:22" ht="28.2" hidden="1" customHeight="1" outlineLevel="1" x14ac:dyDescent="0.35">
      <c r="B16" s="345"/>
      <c r="C16" s="320" t="s">
        <v>606</v>
      </c>
      <c r="D16" s="327" t="s">
        <v>607</v>
      </c>
      <c r="E16" s="94">
        <f t="shared" si="0"/>
        <v>13</v>
      </c>
      <c r="F16" s="95" t="s">
        <v>608</v>
      </c>
      <c r="G16" s="96" t="s">
        <v>609</v>
      </c>
      <c r="H16" s="50" t="s">
        <v>71</v>
      </c>
      <c r="I16" s="50" t="s">
        <v>71</v>
      </c>
      <c r="J16" s="50" t="s">
        <v>71</v>
      </c>
      <c r="K16" s="50" t="s">
        <v>71</v>
      </c>
      <c r="L16" s="50" t="s">
        <v>71</v>
      </c>
      <c r="M16" s="50" t="s">
        <v>71</v>
      </c>
      <c r="N16" s="50" t="s">
        <v>71</v>
      </c>
      <c r="O16" s="50" t="s">
        <v>71</v>
      </c>
      <c r="P16" s="50" t="s">
        <v>71</v>
      </c>
      <c r="Q16" s="65"/>
      <c r="R16" s="51"/>
      <c r="S16" s="67"/>
      <c r="T16" s="322"/>
      <c r="U16" s="102"/>
    </row>
    <row r="17" spans="2:22" ht="28.2" hidden="1" customHeight="1" outlineLevel="1" x14ac:dyDescent="0.35">
      <c r="B17" s="345"/>
      <c r="C17" s="327"/>
      <c r="D17" s="327"/>
      <c r="E17" s="94">
        <f t="shared" si="0"/>
        <v>14</v>
      </c>
      <c r="F17" s="95" t="s">
        <v>610</v>
      </c>
      <c r="G17" s="96" t="s">
        <v>609</v>
      </c>
      <c r="H17" s="50" t="s">
        <v>71</v>
      </c>
      <c r="I17" s="50" t="s">
        <v>71</v>
      </c>
      <c r="J17" s="50" t="s">
        <v>71</v>
      </c>
      <c r="K17" s="50" t="s">
        <v>71</v>
      </c>
      <c r="L17" s="50" t="s">
        <v>71</v>
      </c>
      <c r="M17" s="50" t="s">
        <v>71</v>
      </c>
      <c r="N17" s="50" t="s">
        <v>71</v>
      </c>
      <c r="O17" s="50" t="s">
        <v>71</v>
      </c>
      <c r="P17" s="50" t="s">
        <v>71</v>
      </c>
      <c r="Q17" s="65"/>
      <c r="R17" s="51"/>
      <c r="S17" s="67"/>
      <c r="T17" s="322"/>
      <c r="U17" s="102"/>
    </row>
    <row r="18" spans="2:22" ht="28.2" hidden="1" customHeight="1" outlineLevel="1" x14ac:dyDescent="0.35">
      <c r="B18" s="345"/>
      <c r="C18" s="327"/>
      <c r="D18" s="325"/>
      <c r="E18" s="94">
        <f t="shared" si="0"/>
        <v>15</v>
      </c>
      <c r="F18" s="95" t="s">
        <v>611</v>
      </c>
      <c r="G18" s="96" t="s">
        <v>609</v>
      </c>
      <c r="H18" s="50" t="s">
        <v>71</v>
      </c>
      <c r="I18" s="50" t="s">
        <v>71</v>
      </c>
      <c r="J18" s="50" t="s">
        <v>71</v>
      </c>
      <c r="K18" s="50" t="s">
        <v>71</v>
      </c>
      <c r="L18" s="50" t="s">
        <v>71</v>
      </c>
      <c r="M18" s="50" t="s">
        <v>71</v>
      </c>
      <c r="N18" s="50" t="s">
        <v>71</v>
      </c>
      <c r="O18" s="50" t="s">
        <v>71</v>
      </c>
      <c r="P18" s="50" t="s">
        <v>71</v>
      </c>
      <c r="Q18" s="65"/>
      <c r="R18" s="51"/>
      <c r="S18" s="67"/>
      <c r="T18" s="322"/>
      <c r="U18" s="326" t="s">
        <v>699</v>
      </c>
    </row>
    <row r="19" spans="2:22" ht="28.2" hidden="1" customHeight="1" outlineLevel="1" x14ac:dyDescent="0.35">
      <c r="B19" s="345"/>
      <c r="C19" s="330"/>
      <c r="D19" s="327" t="s">
        <v>612</v>
      </c>
      <c r="E19" s="94">
        <f t="shared" si="0"/>
        <v>16</v>
      </c>
      <c r="F19" s="95" t="s">
        <v>613</v>
      </c>
      <c r="G19" s="96" t="s">
        <v>609</v>
      </c>
      <c r="H19" s="50" t="s">
        <v>71</v>
      </c>
      <c r="I19" s="50" t="s">
        <v>71</v>
      </c>
      <c r="J19" s="50" t="s">
        <v>71</v>
      </c>
      <c r="K19" s="50" t="s">
        <v>71</v>
      </c>
      <c r="L19" s="50" t="s">
        <v>71</v>
      </c>
      <c r="M19" s="50" t="s">
        <v>71</v>
      </c>
      <c r="N19" s="50" t="s">
        <v>71</v>
      </c>
      <c r="O19" s="50" t="s">
        <v>71</v>
      </c>
      <c r="P19" s="50" t="s">
        <v>71</v>
      </c>
      <c r="Q19" s="65"/>
      <c r="R19" s="51"/>
      <c r="S19" s="67"/>
      <c r="T19" s="322"/>
      <c r="U19" s="326"/>
    </row>
    <row r="20" spans="2:22" ht="28.2" hidden="1" customHeight="1" outlineLevel="1" x14ac:dyDescent="0.35">
      <c r="B20" s="345"/>
      <c r="C20" s="327"/>
      <c r="D20" s="327"/>
      <c r="E20" s="94">
        <f t="shared" si="0"/>
        <v>17</v>
      </c>
      <c r="F20" s="95" t="s">
        <v>614</v>
      </c>
      <c r="G20" s="96" t="s">
        <v>609</v>
      </c>
      <c r="H20" s="50" t="s">
        <v>71</v>
      </c>
      <c r="I20" s="50" t="s">
        <v>71</v>
      </c>
      <c r="J20" s="50" t="s">
        <v>71</v>
      </c>
      <c r="K20" s="50" t="s">
        <v>71</v>
      </c>
      <c r="L20" s="50" t="s">
        <v>71</v>
      </c>
      <c r="M20" s="50" t="s">
        <v>71</v>
      </c>
      <c r="N20" s="50" t="s">
        <v>71</v>
      </c>
      <c r="O20" s="50" t="s">
        <v>71</v>
      </c>
      <c r="P20" s="50" t="s">
        <v>71</v>
      </c>
      <c r="Q20" s="65"/>
      <c r="R20" s="51"/>
      <c r="S20" s="67"/>
      <c r="T20" s="322"/>
      <c r="U20" s="326"/>
    </row>
    <row r="21" spans="2:22" ht="28.2" hidden="1" customHeight="1" outlineLevel="1" x14ac:dyDescent="0.35">
      <c r="B21" s="345"/>
      <c r="C21" s="327"/>
      <c r="D21" s="327"/>
      <c r="E21" s="94">
        <f t="shared" si="0"/>
        <v>18</v>
      </c>
      <c r="F21" s="95" t="s">
        <v>615</v>
      </c>
      <c r="G21" s="96" t="s">
        <v>609</v>
      </c>
      <c r="H21" s="50" t="s">
        <v>71</v>
      </c>
      <c r="I21" s="50" t="s">
        <v>71</v>
      </c>
      <c r="J21" s="50" t="s">
        <v>71</v>
      </c>
      <c r="K21" s="50" t="s">
        <v>71</v>
      </c>
      <c r="L21" s="50" t="s">
        <v>71</v>
      </c>
      <c r="M21" s="50" t="s">
        <v>71</v>
      </c>
      <c r="N21" s="50" t="s">
        <v>71</v>
      </c>
      <c r="O21" s="50" t="s">
        <v>71</v>
      </c>
      <c r="P21" s="50" t="s">
        <v>71</v>
      </c>
      <c r="Q21" s="65"/>
      <c r="R21" s="51"/>
      <c r="S21" s="67"/>
      <c r="T21" s="322"/>
      <c r="U21" s="326" t="s">
        <v>699</v>
      </c>
    </row>
    <row r="22" spans="2:22" ht="28.2" hidden="1" customHeight="1" outlineLevel="1" x14ac:dyDescent="0.35">
      <c r="B22" s="388" t="s">
        <v>616</v>
      </c>
      <c r="C22" s="328" t="s">
        <v>574</v>
      </c>
      <c r="D22" s="328" t="s">
        <v>575</v>
      </c>
      <c r="E22" s="94">
        <f t="shared" si="0"/>
        <v>19</v>
      </c>
      <c r="F22" s="95" t="s">
        <v>576</v>
      </c>
      <c r="G22" s="96" t="s">
        <v>577</v>
      </c>
      <c r="H22" s="50" t="s">
        <v>71</v>
      </c>
      <c r="I22" s="50" t="s">
        <v>71</v>
      </c>
      <c r="J22" s="50" t="s">
        <v>71</v>
      </c>
      <c r="K22" s="50" t="s">
        <v>71</v>
      </c>
      <c r="L22" s="50" t="s">
        <v>71</v>
      </c>
      <c r="M22" s="50" t="s">
        <v>71</v>
      </c>
      <c r="N22" s="50" t="s">
        <v>71</v>
      </c>
      <c r="O22" s="50" t="s">
        <v>71</v>
      </c>
      <c r="P22" s="50" t="s">
        <v>71</v>
      </c>
      <c r="Q22" s="65"/>
      <c r="R22" s="51"/>
      <c r="S22" s="67"/>
      <c r="T22" s="322"/>
      <c r="U22" s="102"/>
    </row>
    <row r="23" spans="2:22" ht="28.2" hidden="1" customHeight="1" outlineLevel="1" x14ac:dyDescent="0.35">
      <c r="B23" s="345"/>
      <c r="C23" s="327" t="s">
        <v>578</v>
      </c>
      <c r="D23" s="325" t="s">
        <v>579</v>
      </c>
      <c r="E23" s="94">
        <f t="shared" si="0"/>
        <v>20</v>
      </c>
      <c r="F23" s="95" t="s">
        <v>580</v>
      </c>
      <c r="G23" s="96" t="s">
        <v>617</v>
      </c>
      <c r="H23" s="50" t="s">
        <v>71</v>
      </c>
      <c r="I23" s="50" t="s">
        <v>71</v>
      </c>
      <c r="J23" s="50" t="s">
        <v>71</v>
      </c>
      <c r="K23" s="50" t="s">
        <v>71</v>
      </c>
      <c r="L23" s="50" t="s">
        <v>71</v>
      </c>
      <c r="M23" s="50" t="s">
        <v>71</v>
      </c>
      <c r="N23" s="50" t="s">
        <v>71</v>
      </c>
      <c r="O23" s="50" t="s">
        <v>71</v>
      </c>
      <c r="P23" s="50" t="s">
        <v>71</v>
      </c>
      <c r="Q23" s="65"/>
      <c r="R23" s="51"/>
      <c r="S23" s="67"/>
      <c r="T23" s="322"/>
      <c r="U23" s="326" t="s">
        <v>698</v>
      </c>
    </row>
    <row r="24" spans="2:22" ht="28.2" hidden="1" customHeight="1" outlineLevel="1" x14ac:dyDescent="0.35">
      <c r="B24" s="345"/>
      <c r="C24" s="330"/>
      <c r="D24" s="325" t="s">
        <v>587</v>
      </c>
      <c r="E24" s="94">
        <f t="shared" si="0"/>
        <v>21</v>
      </c>
      <c r="F24" s="95" t="s">
        <v>580</v>
      </c>
      <c r="G24" s="96" t="s">
        <v>617</v>
      </c>
      <c r="H24" s="50" t="s">
        <v>71</v>
      </c>
      <c r="I24" s="50" t="s">
        <v>71</v>
      </c>
      <c r="J24" s="50" t="s">
        <v>71</v>
      </c>
      <c r="K24" s="50" t="s">
        <v>71</v>
      </c>
      <c r="L24" s="50" t="s">
        <v>71</v>
      </c>
      <c r="M24" s="50" t="s">
        <v>71</v>
      </c>
      <c r="N24" s="50" t="s">
        <v>71</v>
      </c>
      <c r="O24" s="50" t="s">
        <v>71</v>
      </c>
      <c r="P24" s="50" t="s">
        <v>71</v>
      </c>
      <c r="Q24" s="65"/>
      <c r="R24" s="51"/>
      <c r="S24" s="67"/>
      <c r="T24" s="322"/>
      <c r="U24" s="326"/>
    </row>
    <row r="25" spans="2:22" ht="26.4" hidden="1" outlineLevel="1" x14ac:dyDescent="0.35">
      <c r="B25" s="345"/>
      <c r="C25" s="382"/>
      <c r="D25" s="325" t="s">
        <v>589</v>
      </c>
      <c r="E25" s="94">
        <f t="shared" si="0"/>
        <v>22</v>
      </c>
      <c r="F25" s="95" t="s">
        <v>586</v>
      </c>
      <c r="G25" s="96" t="s">
        <v>617</v>
      </c>
      <c r="H25" s="50" t="s">
        <v>71</v>
      </c>
      <c r="I25" s="50" t="s">
        <v>71</v>
      </c>
      <c r="J25" s="50" t="s">
        <v>71</v>
      </c>
      <c r="K25" s="50" t="s">
        <v>71</v>
      </c>
      <c r="L25" s="50" t="s">
        <v>71</v>
      </c>
      <c r="M25" s="50" t="s">
        <v>71</v>
      </c>
      <c r="N25" s="50" t="s">
        <v>71</v>
      </c>
      <c r="O25" s="50" t="s">
        <v>71</v>
      </c>
      <c r="P25" s="50" t="s">
        <v>71</v>
      </c>
      <c r="Q25" s="65"/>
      <c r="R25" s="51"/>
      <c r="S25" s="67"/>
      <c r="T25" s="322"/>
      <c r="U25" s="102"/>
    </row>
    <row r="26" spans="2:22" ht="28.2" hidden="1" customHeight="1" outlineLevel="1" x14ac:dyDescent="0.35">
      <c r="B26" s="345"/>
      <c r="C26" s="381"/>
      <c r="D26" s="325" t="s">
        <v>619</v>
      </c>
      <c r="E26" s="94">
        <f t="shared" si="0"/>
        <v>23</v>
      </c>
      <c r="F26" s="95" t="s">
        <v>580</v>
      </c>
      <c r="G26" s="96" t="s">
        <v>617</v>
      </c>
      <c r="H26" s="50" t="s">
        <v>71</v>
      </c>
      <c r="I26" s="50" t="s">
        <v>71</v>
      </c>
      <c r="J26" s="50" t="s">
        <v>71</v>
      </c>
      <c r="K26" s="50" t="s">
        <v>71</v>
      </c>
      <c r="L26" s="50" t="s">
        <v>71</v>
      </c>
      <c r="M26" s="50" t="s">
        <v>71</v>
      </c>
      <c r="N26" s="50" t="s">
        <v>71</v>
      </c>
      <c r="O26" s="50" t="s">
        <v>71</v>
      </c>
      <c r="P26" s="50" t="s">
        <v>71</v>
      </c>
      <c r="Q26" s="65"/>
      <c r="R26" s="51"/>
      <c r="S26" s="67"/>
      <c r="T26" s="322"/>
      <c r="U26" s="326"/>
    </row>
    <row r="27" spans="2:22" ht="28.2" hidden="1" customHeight="1" outlineLevel="1" x14ac:dyDescent="0.35">
      <c r="B27" s="345"/>
      <c r="C27" s="330"/>
      <c r="D27" s="325" t="s">
        <v>592</v>
      </c>
      <c r="E27" s="94">
        <f t="shared" si="0"/>
        <v>24</v>
      </c>
      <c r="F27" s="95" t="s">
        <v>586</v>
      </c>
      <c r="G27" s="96" t="s">
        <v>617</v>
      </c>
      <c r="H27" s="50" t="s">
        <v>71</v>
      </c>
      <c r="I27" s="50" t="s">
        <v>71</v>
      </c>
      <c r="J27" s="50" t="s">
        <v>71</v>
      </c>
      <c r="K27" s="50" t="s">
        <v>71</v>
      </c>
      <c r="L27" s="50" t="s">
        <v>71</v>
      </c>
      <c r="M27" s="50" t="s">
        <v>71</v>
      </c>
      <c r="N27" s="50" t="s">
        <v>71</v>
      </c>
      <c r="O27" s="50" t="s">
        <v>71</v>
      </c>
      <c r="P27" s="50" t="s">
        <v>71</v>
      </c>
      <c r="Q27" s="65"/>
      <c r="R27" s="51"/>
      <c r="S27" s="67"/>
      <c r="T27" s="322"/>
      <c r="U27" s="326"/>
    </row>
    <row r="28" spans="2:22" ht="28.2" hidden="1" customHeight="1" outlineLevel="1" x14ac:dyDescent="0.35">
      <c r="B28" s="345"/>
      <c r="C28" s="320" t="s">
        <v>593</v>
      </c>
      <c r="D28" s="327" t="s">
        <v>594</v>
      </c>
      <c r="E28" s="94">
        <f t="shared" si="0"/>
        <v>25</v>
      </c>
      <c r="F28" s="95" t="s">
        <v>595</v>
      </c>
      <c r="G28" s="96" t="s">
        <v>620</v>
      </c>
      <c r="H28" s="50" t="s">
        <v>71</v>
      </c>
      <c r="I28" s="50" t="s">
        <v>71</v>
      </c>
      <c r="J28" s="50" t="s">
        <v>71</v>
      </c>
      <c r="K28" s="50" t="s">
        <v>71</v>
      </c>
      <c r="L28" s="50" t="s">
        <v>71</v>
      </c>
      <c r="M28" s="50" t="s">
        <v>71</v>
      </c>
      <c r="N28" s="50" t="s">
        <v>71</v>
      </c>
      <c r="O28" s="50" t="s">
        <v>71</v>
      </c>
      <c r="P28" s="50" t="s">
        <v>71</v>
      </c>
      <c r="Q28" s="65"/>
      <c r="R28" s="51"/>
      <c r="S28" s="67"/>
      <c r="T28" s="322"/>
      <c r="U28" s="326" t="s">
        <v>698</v>
      </c>
      <c r="V28" s="126"/>
    </row>
    <row r="29" spans="2:22" ht="26.4" hidden="1" outlineLevel="1" x14ac:dyDescent="0.35">
      <c r="B29" s="345"/>
      <c r="C29" s="327"/>
      <c r="D29" s="328" t="s">
        <v>598</v>
      </c>
      <c r="E29" s="94">
        <f t="shared" si="0"/>
        <v>26</v>
      </c>
      <c r="F29" s="95" t="s">
        <v>599</v>
      </c>
      <c r="G29" s="96" t="s">
        <v>620</v>
      </c>
      <c r="H29" s="50" t="s">
        <v>71</v>
      </c>
      <c r="I29" s="50" t="s">
        <v>71</v>
      </c>
      <c r="J29" s="50" t="s">
        <v>71</v>
      </c>
      <c r="K29" s="50" t="s">
        <v>71</v>
      </c>
      <c r="L29" s="50" t="s">
        <v>71</v>
      </c>
      <c r="M29" s="50" t="s">
        <v>71</v>
      </c>
      <c r="N29" s="50" t="s">
        <v>71</v>
      </c>
      <c r="O29" s="50" t="s">
        <v>71</v>
      </c>
      <c r="P29" s="50" t="s">
        <v>71</v>
      </c>
      <c r="Q29" s="65"/>
      <c r="R29" s="51"/>
      <c r="S29" s="67"/>
      <c r="T29" s="322"/>
      <c r="U29" s="326"/>
    </row>
    <row r="30" spans="2:22" ht="28.2" hidden="1" customHeight="1" outlineLevel="1" x14ac:dyDescent="0.35">
      <c r="B30" s="345"/>
      <c r="C30" s="327"/>
      <c r="D30" s="327" t="s">
        <v>601</v>
      </c>
      <c r="E30" s="94">
        <f t="shared" si="0"/>
        <v>27</v>
      </c>
      <c r="F30" s="95" t="s">
        <v>602</v>
      </c>
      <c r="G30" s="96" t="s">
        <v>620</v>
      </c>
      <c r="H30" s="50" t="s">
        <v>71</v>
      </c>
      <c r="I30" s="50" t="s">
        <v>71</v>
      </c>
      <c r="J30" s="50" t="s">
        <v>71</v>
      </c>
      <c r="K30" s="50" t="s">
        <v>71</v>
      </c>
      <c r="L30" s="50" t="s">
        <v>71</v>
      </c>
      <c r="M30" s="50" t="s">
        <v>71</v>
      </c>
      <c r="N30" s="50" t="s">
        <v>71</v>
      </c>
      <c r="O30" s="50" t="s">
        <v>71</v>
      </c>
      <c r="P30" s="50" t="s">
        <v>71</v>
      </c>
      <c r="Q30" s="65"/>
      <c r="R30" s="51"/>
      <c r="S30" s="67"/>
      <c r="T30" s="322"/>
      <c r="U30" s="326"/>
      <c r="V30" s="126"/>
    </row>
    <row r="31" spans="2:22" ht="28.95" hidden="1" customHeight="1" outlineLevel="1" x14ac:dyDescent="0.35">
      <c r="B31" s="345"/>
      <c r="C31" s="330"/>
      <c r="D31" s="328" t="s">
        <v>605</v>
      </c>
      <c r="E31" s="94">
        <f t="shared" si="0"/>
        <v>28</v>
      </c>
      <c r="F31" s="95" t="s">
        <v>602</v>
      </c>
      <c r="G31" s="96" t="s">
        <v>620</v>
      </c>
      <c r="H31" s="50" t="s">
        <v>71</v>
      </c>
      <c r="I31" s="50" t="s">
        <v>71</v>
      </c>
      <c r="J31" s="50" t="s">
        <v>71</v>
      </c>
      <c r="K31" s="50" t="s">
        <v>71</v>
      </c>
      <c r="L31" s="50" t="s">
        <v>71</v>
      </c>
      <c r="M31" s="50" t="s">
        <v>71</v>
      </c>
      <c r="N31" s="50" t="s">
        <v>71</v>
      </c>
      <c r="O31" s="50" t="s">
        <v>71</v>
      </c>
      <c r="P31" s="50" t="s">
        <v>71</v>
      </c>
      <c r="Q31" s="65"/>
      <c r="R31" s="51"/>
      <c r="S31" s="67"/>
      <c r="T31" s="322"/>
      <c r="U31" s="326"/>
    </row>
    <row r="32" spans="2:22" ht="28.2" hidden="1" customHeight="1" outlineLevel="1" x14ac:dyDescent="0.35">
      <c r="B32" s="345"/>
      <c r="C32" s="320" t="s">
        <v>606</v>
      </c>
      <c r="D32" s="327" t="s">
        <v>607</v>
      </c>
      <c r="E32" s="94">
        <f t="shared" si="0"/>
        <v>29</v>
      </c>
      <c r="F32" s="95" t="s">
        <v>608</v>
      </c>
      <c r="G32" s="96" t="s">
        <v>621</v>
      </c>
      <c r="H32" s="50" t="s">
        <v>71</v>
      </c>
      <c r="I32" s="50" t="s">
        <v>71</v>
      </c>
      <c r="J32" s="50" t="s">
        <v>71</v>
      </c>
      <c r="K32" s="50" t="s">
        <v>71</v>
      </c>
      <c r="L32" s="50" t="s">
        <v>71</v>
      </c>
      <c r="M32" s="50" t="s">
        <v>71</v>
      </c>
      <c r="N32" s="50" t="s">
        <v>71</v>
      </c>
      <c r="O32" s="50" t="s">
        <v>71</v>
      </c>
      <c r="P32" s="50" t="s">
        <v>71</v>
      </c>
      <c r="Q32" s="65"/>
      <c r="R32" s="51"/>
      <c r="S32" s="67"/>
      <c r="T32" s="322"/>
      <c r="U32" s="326"/>
    </row>
    <row r="33" spans="2:22" ht="28.2" hidden="1" customHeight="1" outlineLevel="1" x14ac:dyDescent="0.35">
      <c r="B33" s="345"/>
      <c r="C33" s="327"/>
      <c r="D33" s="327"/>
      <c r="E33" s="94">
        <f t="shared" si="0"/>
        <v>30</v>
      </c>
      <c r="F33" s="95" t="s">
        <v>610</v>
      </c>
      <c r="G33" s="96" t="s">
        <v>621</v>
      </c>
      <c r="H33" s="50" t="s">
        <v>71</v>
      </c>
      <c r="I33" s="50" t="s">
        <v>71</v>
      </c>
      <c r="J33" s="50" t="s">
        <v>71</v>
      </c>
      <c r="K33" s="50" t="s">
        <v>71</v>
      </c>
      <c r="L33" s="50" t="s">
        <v>71</v>
      </c>
      <c r="M33" s="50" t="s">
        <v>71</v>
      </c>
      <c r="N33" s="50" t="s">
        <v>71</v>
      </c>
      <c r="O33" s="50" t="s">
        <v>71</v>
      </c>
      <c r="P33" s="50" t="s">
        <v>71</v>
      </c>
      <c r="Q33" s="65"/>
      <c r="R33" s="51"/>
      <c r="S33" s="67"/>
      <c r="T33" s="322"/>
      <c r="U33" s="326"/>
    </row>
    <row r="34" spans="2:22" ht="26.4" hidden="1" outlineLevel="1" x14ac:dyDescent="0.35">
      <c r="B34" s="345"/>
      <c r="C34" s="330"/>
      <c r="D34" s="387" t="s">
        <v>612</v>
      </c>
      <c r="E34" s="94">
        <f t="shared" si="0"/>
        <v>31</v>
      </c>
      <c r="F34" s="95" t="s">
        <v>614</v>
      </c>
      <c r="G34" s="96" t="s">
        <v>621</v>
      </c>
      <c r="H34" s="50" t="s">
        <v>71</v>
      </c>
      <c r="I34" s="50" t="s">
        <v>71</v>
      </c>
      <c r="J34" s="50" t="s">
        <v>71</v>
      </c>
      <c r="K34" s="50" t="s">
        <v>71</v>
      </c>
      <c r="L34" s="50" t="s">
        <v>71</v>
      </c>
      <c r="M34" s="50" t="s">
        <v>71</v>
      </c>
      <c r="N34" s="50" t="s">
        <v>71</v>
      </c>
      <c r="O34" s="50" t="s">
        <v>71</v>
      </c>
      <c r="P34" s="50" t="s">
        <v>71</v>
      </c>
      <c r="Q34" s="65"/>
      <c r="R34" s="51"/>
      <c r="S34" s="67"/>
      <c r="T34" s="322"/>
      <c r="U34" s="326" t="s">
        <v>700</v>
      </c>
    </row>
    <row r="35" spans="2:22" ht="28.2" hidden="1" customHeight="1" outlineLevel="1" x14ac:dyDescent="0.35">
      <c r="B35" s="345"/>
      <c r="C35" s="327"/>
      <c r="D35" s="327"/>
      <c r="E35" s="94">
        <f t="shared" si="0"/>
        <v>32</v>
      </c>
      <c r="F35" s="95" t="s">
        <v>615</v>
      </c>
      <c r="G35" s="96" t="s">
        <v>621</v>
      </c>
      <c r="H35" s="50" t="s">
        <v>71</v>
      </c>
      <c r="I35" s="50" t="s">
        <v>71</v>
      </c>
      <c r="J35" s="50" t="s">
        <v>71</v>
      </c>
      <c r="K35" s="50" t="s">
        <v>71</v>
      </c>
      <c r="L35" s="50" t="s">
        <v>71</v>
      </c>
      <c r="M35" s="50" t="s">
        <v>71</v>
      </c>
      <c r="N35" s="50" t="s">
        <v>71</v>
      </c>
      <c r="O35" s="50" t="s">
        <v>71</v>
      </c>
      <c r="P35" s="63" t="s">
        <v>71</v>
      </c>
      <c r="Q35" s="65"/>
      <c r="R35" s="51"/>
      <c r="S35" s="67"/>
      <c r="T35" s="322"/>
      <c r="U35" s="326" t="s">
        <v>701</v>
      </c>
    </row>
    <row r="36" spans="2:22" ht="28.2" customHeight="1" collapsed="1" x14ac:dyDescent="0.35">
      <c r="B36" s="125" t="s">
        <v>623</v>
      </c>
      <c r="C36" s="268" t="s">
        <v>570</v>
      </c>
      <c r="D36" s="233"/>
      <c r="E36" s="231">
        <f t="shared" si="0"/>
        <v>33</v>
      </c>
      <c r="F36" s="97" t="s">
        <v>624</v>
      </c>
      <c r="G36" s="91" t="s">
        <v>625</v>
      </c>
      <c r="H36" s="78" t="s">
        <v>310</v>
      </c>
      <c r="I36" s="48" t="s">
        <v>71</v>
      </c>
      <c r="J36" s="48" t="s">
        <v>71</v>
      </c>
      <c r="K36" s="78" t="s">
        <v>310</v>
      </c>
      <c r="L36" s="78" t="s">
        <v>310</v>
      </c>
      <c r="M36" s="78" t="s">
        <v>310</v>
      </c>
      <c r="N36" s="78" t="s">
        <v>71</v>
      </c>
      <c r="O36" s="78" t="s">
        <v>310</v>
      </c>
      <c r="P36" s="62" t="s">
        <v>71</v>
      </c>
      <c r="Q36" s="64">
        <v>45686</v>
      </c>
      <c r="R36" s="49"/>
      <c r="S36" s="66"/>
      <c r="T36" s="85"/>
      <c r="U36" s="100" t="s">
        <v>702</v>
      </c>
    </row>
    <row r="37" spans="2:22" ht="28.2" customHeight="1" x14ac:dyDescent="0.35">
      <c r="B37" s="122"/>
      <c r="C37" s="269" t="s">
        <v>626</v>
      </c>
      <c r="D37" s="331" t="s">
        <v>627</v>
      </c>
      <c r="E37" s="94">
        <f t="shared" si="0"/>
        <v>34</v>
      </c>
      <c r="F37" s="95" t="s">
        <v>576</v>
      </c>
      <c r="G37" s="96" t="s">
        <v>628</v>
      </c>
      <c r="H37" s="50" t="s">
        <v>71</v>
      </c>
      <c r="I37" s="50" t="s">
        <v>71</v>
      </c>
      <c r="J37" s="50" t="s">
        <v>71</v>
      </c>
      <c r="K37" s="50" t="s">
        <v>71</v>
      </c>
      <c r="L37" s="50" t="s">
        <v>71</v>
      </c>
      <c r="M37" s="50" t="s">
        <v>71</v>
      </c>
      <c r="N37" s="50" t="s">
        <v>71</v>
      </c>
      <c r="O37" s="50" t="s">
        <v>71</v>
      </c>
      <c r="P37" s="50" t="s">
        <v>71</v>
      </c>
      <c r="Q37" s="65"/>
      <c r="R37" s="51"/>
      <c r="S37" s="67"/>
      <c r="T37" s="322"/>
      <c r="U37" s="102"/>
    </row>
    <row r="38" spans="2:22" ht="28.2" customHeight="1" x14ac:dyDescent="0.35">
      <c r="B38" s="122"/>
      <c r="C38" s="267"/>
      <c r="D38" s="230" t="s">
        <v>629</v>
      </c>
      <c r="E38" s="231">
        <f t="shared" si="0"/>
        <v>35</v>
      </c>
      <c r="F38" s="97" t="s">
        <v>630</v>
      </c>
      <c r="G38" s="91" t="s">
        <v>628</v>
      </c>
      <c r="H38" s="78" t="s">
        <v>310</v>
      </c>
      <c r="I38" s="48" t="s">
        <v>71</v>
      </c>
      <c r="J38" s="48" t="s">
        <v>71</v>
      </c>
      <c r="K38" s="78" t="s">
        <v>71</v>
      </c>
      <c r="L38" s="78" t="s">
        <v>310</v>
      </c>
      <c r="M38" s="78" t="s">
        <v>310</v>
      </c>
      <c r="N38" s="78" t="s">
        <v>71</v>
      </c>
      <c r="O38" s="78" t="s">
        <v>310</v>
      </c>
      <c r="P38" s="343" t="s">
        <v>71</v>
      </c>
      <c r="Q38" s="64">
        <v>45686</v>
      </c>
      <c r="R38" s="49"/>
      <c r="S38" s="66"/>
      <c r="T38" s="85"/>
      <c r="U38" s="341" t="s">
        <v>703</v>
      </c>
    </row>
    <row r="39" spans="2:22" ht="28.2" customHeight="1" x14ac:dyDescent="0.35">
      <c r="B39" s="122"/>
      <c r="C39" s="123"/>
      <c r="D39" s="230" t="s">
        <v>631</v>
      </c>
      <c r="E39" s="231">
        <f t="shared" si="0"/>
        <v>36</v>
      </c>
      <c r="F39" s="97" t="s">
        <v>632</v>
      </c>
      <c r="G39" s="91" t="s">
        <v>628</v>
      </c>
      <c r="H39" s="78" t="s">
        <v>310</v>
      </c>
      <c r="I39" s="48" t="s">
        <v>71</v>
      </c>
      <c r="J39" s="48" t="s">
        <v>71</v>
      </c>
      <c r="K39" s="78" t="s">
        <v>71</v>
      </c>
      <c r="L39" s="78" t="s">
        <v>310</v>
      </c>
      <c r="M39" s="78" t="s">
        <v>310</v>
      </c>
      <c r="N39" s="78" t="s">
        <v>71</v>
      </c>
      <c r="O39" s="78" t="s">
        <v>310</v>
      </c>
      <c r="P39" s="343" t="s">
        <v>71</v>
      </c>
      <c r="Q39" s="64">
        <v>45686</v>
      </c>
      <c r="R39" s="49"/>
      <c r="S39" s="66"/>
      <c r="T39" s="85"/>
      <c r="U39" s="341" t="s">
        <v>704</v>
      </c>
    </row>
    <row r="40" spans="2:22" ht="28.2" customHeight="1" x14ac:dyDescent="0.35">
      <c r="B40" s="122"/>
      <c r="C40" s="270" t="s">
        <v>633</v>
      </c>
      <c r="D40" s="331" t="s">
        <v>627</v>
      </c>
      <c r="E40" s="94">
        <f t="shared" si="0"/>
        <v>37</v>
      </c>
      <c r="F40" s="95" t="s">
        <v>576</v>
      </c>
      <c r="G40" s="96" t="s">
        <v>634</v>
      </c>
      <c r="H40" s="50" t="s">
        <v>71</v>
      </c>
      <c r="I40" s="50" t="s">
        <v>71</v>
      </c>
      <c r="J40" s="50" t="s">
        <v>71</v>
      </c>
      <c r="K40" s="50" t="s">
        <v>71</v>
      </c>
      <c r="L40" s="50" t="s">
        <v>71</v>
      </c>
      <c r="M40" s="50" t="s">
        <v>71</v>
      </c>
      <c r="N40" s="50" t="s">
        <v>71</v>
      </c>
      <c r="O40" s="50" t="s">
        <v>71</v>
      </c>
      <c r="P40" s="50" t="s">
        <v>71</v>
      </c>
      <c r="Q40" s="65"/>
      <c r="R40" s="51"/>
      <c r="S40" s="67"/>
      <c r="T40" s="322"/>
      <c r="U40" s="102"/>
    </row>
    <row r="41" spans="2:22" ht="28.2" customHeight="1" x14ac:dyDescent="0.35">
      <c r="B41" s="122"/>
      <c r="C41" s="123"/>
      <c r="D41" s="230" t="s">
        <v>629</v>
      </c>
      <c r="E41" s="231">
        <f t="shared" si="0"/>
        <v>38</v>
      </c>
      <c r="F41" s="97" t="s">
        <v>630</v>
      </c>
      <c r="G41" s="91" t="s">
        <v>634</v>
      </c>
      <c r="H41" s="78" t="s">
        <v>310</v>
      </c>
      <c r="I41" s="48" t="s">
        <v>71</v>
      </c>
      <c r="J41" s="48" t="s">
        <v>71</v>
      </c>
      <c r="K41" s="78" t="s">
        <v>71</v>
      </c>
      <c r="L41" s="78" t="s">
        <v>310</v>
      </c>
      <c r="M41" s="78" t="s">
        <v>310</v>
      </c>
      <c r="N41" s="78" t="s">
        <v>71</v>
      </c>
      <c r="O41" s="78" t="s">
        <v>310</v>
      </c>
      <c r="P41" s="62" t="s">
        <v>71</v>
      </c>
      <c r="Q41" s="64">
        <v>45686</v>
      </c>
      <c r="R41" s="49"/>
      <c r="S41" s="66"/>
      <c r="T41" s="85"/>
      <c r="U41" s="100" t="s">
        <v>705</v>
      </c>
    </row>
    <row r="42" spans="2:22" ht="28.2" customHeight="1" x14ac:dyDescent="0.35">
      <c r="B42" s="122"/>
      <c r="C42" s="123"/>
      <c r="D42" s="230" t="s">
        <v>631</v>
      </c>
      <c r="E42" s="231">
        <f t="shared" si="0"/>
        <v>39</v>
      </c>
      <c r="F42" s="97" t="s">
        <v>632</v>
      </c>
      <c r="G42" s="91" t="s">
        <v>634</v>
      </c>
      <c r="H42" s="78" t="s">
        <v>310</v>
      </c>
      <c r="I42" s="48" t="s">
        <v>71</v>
      </c>
      <c r="J42" s="48" t="s">
        <v>71</v>
      </c>
      <c r="K42" s="78" t="s">
        <v>71</v>
      </c>
      <c r="L42" s="78" t="s">
        <v>310</v>
      </c>
      <c r="M42" s="78" t="s">
        <v>310</v>
      </c>
      <c r="N42" s="78" t="s">
        <v>71</v>
      </c>
      <c r="O42" s="78" t="s">
        <v>310</v>
      </c>
      <c r="P42" s="62" t="s">
        <v>71</v>
      </c>
      <c r="Q42" s="64">
        <v>45686</v>
      </c>
      <c r="R42" s="49"/>
      <c r="S42" s="66"/>
      <c r="T42" s="85"/>
      <c r="U42" s="100" t="s">
        <v>706</v>
      </c>
      <c r="V42" s="126"/>
    </row>
    <row r="43" spans="2:22" ht="28.2" customHeight="1" x14ac:dyDescent="0.35">
      <c r="B43" s="122"/>
      <c r="C43" s="270" t="s">
        <v>635</v>
      </c>
      <c r="D43" s="331" t="s">
        <v>627</v>
      </c>
      <c r="E43" s="94">
        <f t="shared" si="0"/>
        <v>40</v>
      </c>
      <c r="F43" s="95" t="s">
        <v>576</v>
      </c>
      <c r="G43" s="96" t="s">
        <v>636</v>
      </c>
      <c r="H43" s="50" t="s">
        <v>71</v>
      </c>
      <c r="I43" s="50" t="s">
        <v>71</v>
      </c>
      <c r="J43" s="50" t="s">
        <v>71</v>
      </c>
      <c r="K43" s="50" t="s">
        <v>71</v>
      </c>
      <c r="L43" s="50" t="s">
        <v>71</v>
      </c>
      <c r="M43" s="50" t="s">
        <v>71</v>
      </c>
      <c r="N43" s="50" t="s">
        <v>71</v>
      </c>
      <c r="O43" s="50" t="s">
        <v>71</v>
      </c>
      <c r="P43" s="63" t="s">
        <v>71</v>
      </c>
      <c r="Q43" s="65"/>
      <c r="R43" s="51"/>
      <c r="S43" s="67"/>
      <c r="T43" s="322"/>
      <c r="U43" s="326"/>
      <c r="V43" s="126"/>
    </row>
    <row r="44" spans="2:22" ht="28.2" customHeight="1" x14ac:dyDescent="0.35">
      <c r="B44" s="122"/>
      <c r="C44" s="123"/>
      <c r="D44" s="230" t="s">
        <v>629</v>
      </c>
      <c r="E44" s="231">
        <f t="shared" si="0"/>
        <v>41</v>
      </c>
      <c r="F44" s="97" t="s">
        <v>630</v>
      </c>
      <c r="G44" s="91" t="s">
        <v>636</v>
      </c>
      <c r="H44" s="78" t="s">
        <v>310</v>
      </c>
      <c r="I44" s="48" t="s">
        <v>71</v>
      </c>
      <c r="J44" s="48" t="s">
        <v>71</v>
      </c>
      <c r="K44" s="78" t="s">
        <v>71</v>
      </c>
      <c r="L44" s="78" t="s">
        <v>310</v>
      </c>
      <c r="M44" s="78" t="s">
        <v>310</v>
      </c>
      <c r="N44" s="78" t="s">
        <v>71</v>
      </c>
      <c r="O44" s="78" t="s">
        <v>310</v>
      </c>
      <c r="P44" s="62" t="s">
        <v>71</v>
      </c>
      <c r="Q44" s="64">
        <v>45686</v>
      </c>
      <c r="R44" s="49"/>
      <c r="S44" s="66"/>
      <c r="T44" s="85"/>
      <c r="U44" s="100" t="s">
        <v>707</v>
      </c>
      <c r="V44" s="126"/>
    </row>
    <row r="45" spans="2:22" ht="28.2" customHeight="1" x14ac:dyDescent="0.35">
      <c r="B45" s="122"/>
      <c r="C45" s="123"/>
      <c r="D45" s="230" t="s">
        <v>631</v>
      </c>
      <c r="E45" s="231">
        <f t="shared" si="0"/>
        <v>42</v>
      </c>
      <c r="F45" s="97" t="s">
        <v>632</v>
      </c>
      <c r="G45" s="91" t="s">
        <v>636</v>
      </c>
      <c r="H45" s="78" t="s">
        <v>310</v>
      </c>
      <c r="I45" s="48" t="s">
        <v>71</v>
      </c>
      <c r="J45" s="48" t="s">
        <v>71</v>
      </c>
      <c r="K45" s="78" t="s">
        <v>71</v>
      </c>
      <c r="L45" s="78" t="s">
        <v>310</v>
      </c>
      <c r="M45" s="78" t="s">
        <v>310</v>
      </c>
      <c r="N45" s="78" t="s">
        <v>71</v>
      </c>
      <c r="O45" s="78" t="s">
        <v>310</v>
      </c>
      <c r="P45" s="62" t="s">
        <v>71</v>
      </c>
      <c r="Q45" s="64">
        <v>45686</v>
      </c>
      <c r="R45" s="49"/>
      <c r="S45" s="66"/>
      <c r="T45" s="85"/>
      <c r="U45" s="100" t="s">
        <v>704</v>
      </c>
      <c r="V45" s="126"/>
    </row>
    <row r="46" spans="2:22" ht="28.2" customHeight="1" x14ac:dyDescent="0.35">
      <c r="B46" s="122"/>
      <c r="C46" s="320" t="s">
        <v>271</v>
      </c>
      <c r="D46" s="331" t="s">
        <v>627</v>
      </c>
      <c r="E46" s="94">
        <f t="shared" si="0"/>
        <v>43</v>
      </c>
      <c r="F46" s="95" t="s">
        <v>576</v>
      </c>
      <c r="G46" s="96" t="s">
        <v>636</v>
      </c>
      <c r="H46" s="50" t="s">
        <v>71</v>
      </c>
      <c r="I46" s="50" t="s">
        <v>71</v>
      </c>
      <c r="J46" s="50" t="s">
        <v>71</v>
      </c>
      <c r="K46" s="50" t="s">
        <v>71</v>
      </c>
      <c r="L46" s="50" t="s">
        <v>71</v>
      </c>
      <c r="M46" s="50" t="s">
        <v>71</v>
      </c>
      <c r="N46" s="50" t="s">
        <v>71</v>
      </c>
      <c r="O46" s="50" t="s">
        <v>71</v>
      </c>
      <c r="P46" s="63" t="s">
        <v>71</v>
      </c>
      <c r="Q46" s="65"/>
      <c r="R46" s="51"/>
      <c r="S46" s="67"/>
      <c r="T46" s="322"/>
      <c r="U46" s="326" t="s">
        <v>708</v>
      </c>
    </row>
    <row r="47" spans="2:22" ht="28.2" customHeight="1" x14ac:dyDescent="0.35">
      <c r="B47" s="122"/>
      <c r="C47" s="330"/>
      <c r="D47" s="93" t="s">
        <v>629</v>
      </c>
      <c r="E47" s="94">
        <f t="shared" si="0"/>
        <v>44</v>
      </c>
      <c r="F47" s="95" t="s">
        <v>630</v>
      </c>
      <c r="G47" s="96" t="s">
        <v>637</v>
      </c>
      <c r="H47" s="50" t="s">
        <v>71</v>
      </c>
      <c r="I47" s="50" t="s">
        <v>71</v>
      </c>
      <c r="J47" s="50" t="s">
        <v>71</v>
      </c>
      <c r="K47" s="50" t="s">
        <v>71</v>
      </c>
      <c r="L47" s="50" t="s">
        <v>71</v>
      </c>
      <c r="M47" s="50" t="s">
        <v>71</v>
      </c>
      <c r="N47" s="50" t="s">
        <v>71</v>
      </c>
      <c r="O47" s="50" t="s">
        <v>71</v>
      </c>
      <c r="P47" s="63" t="s">
        <v>71</v>
      </c>
      <c r="Q47" s="65"/>
      <c r="R47" s="51"/>
      <c r="S47" s="67"/>
      <c r="T47" s="322"/>
      <c r="U47" s="326" t="s">
        <v>327</v>
      </c>
      <c r="V47" s="126"/>
    </row>
    <row r="48" spans="2:22" ht="28.2" customHeight="1" x14ac:dyDescent="0.35">
      <c r="B48" s="122"/>
      <c r="C48" s="325"/>
      <c r="D48" s="93" t="s">
        <v>631</v>
      </c>
      <c r="E48" s="94">
        <f t="shared" si="0"/>
        <v>45</v>
      </c>
      <c r="F48" s="95" t="s">
        <v>632</v>
      </c>
      <c r="G48" s="96" t="s">
        <v>637</v>
      </c>
      <c r="H48" s="50" t="s">
        <v>71</v>
      </c>
      <c r="I48" s="50" t="s">
        <v>71</v>
      </c>
      <c r="J48" s="50" t="s">
        <v>71</v>
      </c>
      <c r="K48" s="50" t="s">
        <v>71</v>
      </c>
      <c r="L48" s="50" t="s">
        <v>71</v>
      </c>
      <c r="M48" s="50" t="s">
        <v>71</v>
      </c>
      <c r="N48" s="50" t="s">
        <v>71</v>
      </c>
      <c r="O48" s="50" t="s">
        <v>71</v>
      </c>
      <c r="P48" s="63" t="s">
        <v>71</v>
      </c>
      <c r="Q48" s="65"/>
      <c r="R48" s="51"/>
      <c r="S48" s="67"/>
      <c r="T48" s="322"/>
      <c r="U48" s="326" t="s">
        <v>327</v>
      </c>
      <c r="V48" s="126"/>
    </row>
    <row r="49" spans="2:22" ht="26.4" x14ac:dyDescent="0.35">
      <c r="B49" s="122"/>
      <c r="C49" s="124" t="s">
        <v>638</v>
      </c>
      <c r="D49" s="267" t="s">
        <v>639</v>
      </c>
      <c r="E49" s="231">
        <f t="shared" si="0"/>
        <v>46</v>
      </c>
      <c r="F49" s="97" t="s">
        <v>640</v>
      </c>
      <c r="G49" s="91" t="s">
        <v>709</v>
      </c>
      <c r="H49" s="78" t="s">
        <v>310</v>
      </c>
      <c r="I49" s="48" t="s">
        <v>71</v>
      </c>
      <c r="J49" s="48" t="s">
        <v>71</v>
      </c>
      <c r="K49" s="78" t="s">
        <v>310</v>
      </c>
      <c r="L49" s="78" t="s">
        <v>310</v>
      </c>
      <c r="M49" s="78" t="s">
        <v>310</v>
      </c>
      <c r="N49" s="48" t="s">
        <v>71</v>
      </c>
      <c r="O49" s="78" t="s">
        <v>310</v>
      </c>
      <c r="P49" s="62" t="s">
        <v>71</v>
      </c>
      <c r="Q49" s="64">
        <v>45686</v>
      </c>
      <c r="R49" s="49"/>
      <c r="S49" s="66"/>
      <c r="T49" s="85"/>
      <c r="U49" s="101" t="s">
        <v>710</v>
      </c>
      <c r="V49" s="126"/>
    </row>
    <row r="50" spans="2:22" ht="28.2" customHeight="1" x14ac:dyDescent="0.35">
      <c r="B50" s="122"/>
      <c r="C50" s="267"/>
      <c r="D50" s="232" t="s">
        <v>643</v>
      </c>
      <c r="E50" s="231">
        <f t="shared" si="0"/>
        <v>47</v>
      </c>
      <c r="F50" s="97" t="s">
        <v>644</v>
      </c>
      <c r="G50" s="91" t="s">
        <v>641</v>
      </c>
      <c r="H50" s="78" t="s">
        <v>310</v>
      </c>
      <c r="I50" s="48" t="s">
        <v>71</v>
      </c>
      <c r="J50" s="48" t="s">
        <v>71</v>
      </c>
      <c r="K50" s="78" t="s">
        <v>310</v>
      </c>
      <c r="L50" s="78" t="s">
        <v>310</v>
      </c>
      <c r="M50" s="78" t="s">
        <v>310</v>
      </c>
      <c r="N50" s="48" t="s">
        <v>71</v>
      </c>
      <c r="O50" s="78" t="s">
        <v>310</v>
      </c>
      <c r="P50" s="62" t="s">
        <v>71</v>
      </c>
      <c r="Q50" s="64">
        <v>45686</v>
      </c>
      <c r="R50" s="49"/>
      <c r="S50" s="66"/>
      <c r="T50" s="85"/>
      <c r="U50" s="100" t="s">
        <v>711</v>
      </c>
    </row>
    <row r="51" spans="2:22" ht="28.95" customHeight="1" x14ac:dyDescent="0.35">
      <c r="B51" s="122"/>
      <c r="C51" s="123"/>
      <c r="D51" s="328" t="s">
        <v>645</v>
      </c>
      <c r="E51" s="94">
        <f t="shared" si="0"/>
        <v>48</v>
      </c>
      <c r="F51" s="95" t="s">
        <v>646</v>
      </c>
      <c r="G51" s="96" t="s">
        <v>647</v>
      </c>
      <c r="H51" s="50" t="s">
        <v>71</v>
      </c>
      <c r="I51" s="50" t="s">
        <v>71</v>
      </c>
      <c r="J51" s="50" t="s">
        <v>71</v>
      </c>
      <c r="K51" s="50" t="s">
        <v>71</v>
      </c>
      <c r="L51" s="50" t="s">
        <v>71</v>
      </c>
      <c r="M51" s="50" t="s">
        <v>71</v>
      </c>
      <c r="N51" s="50" t="s">
        <v>71</v>
      </c>
      <c r="O51" s="50" t="s">
        <v>71</v>
      </c>
      <c r="P51" s="50" t="s">
        <v>71</v>
      </c>
      <c r="Q51" s="65"/>
      <c r="R51" s="51"/>
      <c r="S51" s="67"/>
      <c r="T51" s="322"/>
      <c r="U51" s="102"/>
    </row>
    <row r="52" spans="2:22" ht="28.2" customHeight="1" x14ac:dyDescent="0.35">
      <c r="B52" s="122"/>
      <c r="C52" s="124" t="s">
        <v>648</v>
      </c>
      <c r="D52" s="327" t="s">
        <v>570</v>
      </c>
      <c r="E52" s="94">
        <f t="shared" si="0"/>
        <v>49</v>
      </c>
      <c r="F52" s="95" t="s">
        <v>649</v>
      </c>
      <c r="G52" s="96" t="s">
        <v>650</v>
      </c>
      <c r="H52" s="79" t="s">
        <v>71</v>
      </c>
      <c r="I52" s="50" t="s">
        <v>71</v>
      </c>
      <c r="J52" s="50" t="s">
        <v>71</v>
      </c>
      <c r="K52" s="79" t="s">
        <v>71</v>
      </c>
      <c r="L52" s="79" t="s">
        <v>71</v>
      </c>
      <c r="M52" s="79" t="s">
        <v>71</v>
      </c>
      <c r="N52" s="50" t="s">
        <v>71</v>
      </c>
      <c r="O52" s="79" t="s">
        <v>71</v>
      </c>
      <c r="P52" s="63" t="s">
        <v>71</v>
      </c>
      <c r="Q52" s="65"/>
      <c r="R52" s="51"/>
      <c r="S52" s="67"/>
      <c r="T52" s="322"/>
      <c r="U52" s="326" t="s">
        <v>572</v>
      </c>
      <c r="V52" s="126"/>
    </row>
    <row r="53" spans="2:22" ht="28.2" customHeight="1" x14ac:dyDescent="0.35">
      <c r="B53" s="122"/>
      <c r="C53" s="267"/>
      <c r="D53" s="270" t="s">
        <v>651</v>
      </c>
      <c r="E53" s="231">
        <f t="shared" si="0"/>
        <v>50</v>
      </c>
      <c r="F53" s="97" t="s">
        <v>630</v>
      </c>
      <c r="G53" s="91" t="s">
        <v>652</v>
      </c>
      <c r="H53" s="78" t="s">
        <v>310</v>
      </c>
      <c r="I53" s="48" t="s">
        <v>71</v>
      </c>
      <c r="J53" s="48" t="s">
        <v>71</v>
      </c>
      <c r="K53" s="78" t="s">
        <v>310</v>
      </c>
      <c r="L53" s="78" t="s">
        <v>310</v>
      </c>
      <c r="M53" s="78" t="s">
        <v>310</v>
      </c>
      <c r="N53" s="48" t="s">
        <v>71</v>
      </c>
      <c r="O53" s="78" t="s">
        <v>71</v>
      </c>
      <c r="P53" s="62" t="s">
        <v>71</v>
      </c>
      <c r="Q53" s="64">
        <v>45687</v>
      </c>
      <c r="R53" s="49"/>
      <c r="S53" s="66"/>
      <c r="T53" s="85"/>
      <c r="U53" s="100" t="s">
        <v>712</v>
      </c>
    </row>
    <row r="54" spans="2:22" ht="28.95" customHeight="1" x14ac:dyDescent="0.35">
      <c r="B54" s="122"/>
      <c r="C54" s="123"/>
      <c r="D54" s="227"/>
      <c r="E54" s="231">
        <f t="shared" si="0"/>
        <v>51</v>
      </c>
      <c r="F54" s="97" t="s">
        <v>576</v>
      </c>
      <c r="G54" s="91" t="s">
        <v>653</v>
      </c>
      <c r="H54" s="78" t="s">
        <v>310</v>
      </c>
      <c r="I54" s="48" t="s">
        <v>71</v>
      </c>
      <c r="J54" s="48" t="s">
        <v>71</v>
      </c>
      <c r="K54" s="78" t="s">
        <v>310</v>
      </c>
      <c r="L54" s="78" t="s">
        <v>310</v>
      </c>
      <c r="M54" s="78" t="s">
        <v>310</v>
      </c>
      <c r="N54" s="48" t="s">
        <v>71</v>
      </c>
      <c r="O54" s="78" t="s">
        <v>71</v>
      </c>
      <c r="P54" s="62" t="s">
        <v>71</v>
      </c>
      <c r="Q54" s="64">
        <v>45687</v>
      </c>
      <c r="R54" s="49"/>
      <c r="S54" s="66"/>
      <c r="T54" s="85"/>
      <c r="U54" s="100" t="s">
        <v>713</v>
      </c>
    </row>
    <row r="55" spans="2:22" ht="28.2" customHeight="1" x14ac:dyDescent="0.35">
      <c r="B55" s="276" t="s">
        <v>654</v>
      </c>
      <c r="C55" s="294" t="s">
        <v>655</v>
      </c>
      <c r="D55" s="278" t="s">
        <v>656</v>
      </c>
      <c r="E55" s="279">
        <f t="shared" ref="E55:E72" si="1">ROW()-3</f>
        <v>52</v>
      </c>
      <c r="F55" s="280" t="s">
        <v>657</v>
      </c>
      <c r="G55" s="281" t="s">
        <v>658</v>
      </c>
      <c r="H55" s="50" t="s">
        <v>71</v>
      </c>
      <c r="I55" s="50" t="s">
        <v>71</v>
      </c>
      <c r="J55" s="50" t="s">
        <v>71</v>
      </c>
      <c r="K55" s="50" t="s">
        <v>71</v>
      </c>
      <c r="L55" s="50" t="s">
        <v>71</v>
      </c>
      <c r="M55" s="50" t="s">
        <v>71</v>
      </c>
      <c r="N55" s="50" t="s">
        <v>71</v>
      </c>
      <c r="O55" s="50" t="s">
        <v>71</v>
      </c>
      <c r="P55" s="50" t="s">
        <v>71</v>
      </c>
      <c r="Q55" s="284"/>
      <c r="R55" s="285"/>
      <c r="S55" s="286"/>
      <c r="T55" s="287"/>
      <c r="U55" s="288"/>
      <c r="V55" s="126"/>
    </row>
    <row r="56" spans="2:22" ht="28.2" customHeight="1" x14ac:dyDescent="0.35">
      <c r="B56" s="289" t="s">
        <v>659</v>
      </c>
      <c r="C56" s="319"/>
      <c r="D56" s="290" t="s">
        <v>664</v>
      </c>
      <c r="E56" s="279">
        <f t="shared" si="1"/>
        <v>53</v>
      </c>
      <c r="F56" s="280" t="s">
        <v>664</v>
      </c>
      <c r="G56" s="281" t="s">
        <v>662</v>
      </c>
      <c r="H56" s="50" t="s">
        <v>71</v>
      </c>
      <c r="I56" s="50" t="s">
        <v>71</v>
      </c>
      <c r="J56" s="50" t="s">
        <v>71</v>
      </c>
      <c r="K56" s="50" t="s">
        <v>71</v>
      </c>
      <c r="L56" s="50" t="s">
        <v>71</v>
      </c>
      <c r="M56" s="50" t="s">
        <v>71</v>
      </c>
      <c r="N56" s="50" t="s">
        <v>71</v>
      </c>
      <c r="O56" s="50" t="s">
        <v>71</v>
      </c>
      <c r="P56" s="50" t="s">
        <v>71</v>
      </c>
      <c r="Q56" s="284"/>
      <c r="R56" s="285"/>
      <c r="S56" s="286"/>
      <c r="T56" s="287"/>
      <c r="U56" s="288"/>
    </row>
    <row r="57" spans="2:22" ht="28.2" customHeight="1" x14ac:dyDescent="0.35">
      <c r="B57" s="291"/>
      <c r="C57" s="277"/>
      <c r="D57" s="290" t="s">
        <v>693</v>
      </c>
      <c r="E57" s="279">
        <f t="shared" si="1"/>
        <v>54</v>
      </c>
      <c r="F57" s="280" t="s">
        <v>694</v>
      </c>
      <c r="G57" s="281" t="s">
        <v>662</v>
      </c>
      <c r="H57" s="50" t="s">
        <v>71</v>
      </c>
      <c r="I57" s="50" t="s">
        <v>71</v>
      </c>
      <c r="J57" s="50" t="s">
        <v>71</v>
      </c>
      <c r="K57" s="50" t="s">
        <v>71</v>
      </c>
      <c r="L57" s="50" t="s">
        <v>71</v>
      </c>
      <c r="M57" s="50" t="s">
        <v>71</v>
      </c>
      <c r="N57" s="50" t="s">
        <v>71</v>
      </c>
      <c r="O57" s="50" t="s">
        <v>71</v>
      </c>
      <c r="P57" s="50" t="s">
        <v>71</v>
      </c>
      <c r="Q57" s="284"/>
      <c r="R57" s="285"/>
      <c r="S57" s="286"/>
      <c r="T57" s="287"/>
      <c r="U57" s="288"/>
    </row>
    <row r="58" spans="2:22" ht="28.2" customHeight="1" x14ac:dyDescent="0.35">
      <c r="B58" s="291"/>
      <c r="C58" s="277"/>
      <c r="D58" s="290" t="s">
        <v>675</v>
      </c>
      <c r="E58" s="279">
        <f t="shared" si="1"/>
        <v>55</v>
      </c>
      <c r="F58" s="290" t="s">
        <v>277</v>
      </c>
      <c r="G58" s="281" t="s">
        <v>662</v>
      </c>
      <c r="H58" s="50" t="s">
        <v>71</v>
      </c>
      <c r="I58" s="50" t="s">
        <v>71</v>
      </c>
      <c r="J58" s="50" t="s">
        <v>71</v>
      </c>
      <c r="K58" s="50" t="s">
        <v>71</v>
      </c>
      <c r="L58" s="50" t="s">
        <v>71</v>
      </c>
      <c r="M58" s="50" t="s">
        <v>71</v>
      </c>
      <c r="N58" s="50" t="s">
        <v>71</v>
      </c>
      <c r="O58" s="50" t="s">
        <v>71</v>
      </c>
      <c r="P58" s="50" t="s">
        <v>71</v>
      </c>
      <c r="Q58" s="284"/>
      <c r="R58" s="285"/>
      <c r="S58" s="286"/>
      <c r="T58" s="287"/>
      <c r="U58" s="288"/>
    </row>
    <row r="59" spans="2:22" ht="28.2" customHeight="1" x14ac:dyDescent="0.35">
      <c r="B59" s="291"/>
      <c r="C59" s="277"/>
      <c r="D59" s="290" t="s">
        <v>676</v>
      </c>
      <c r="E59" s="279">
        <f t="shared" si="1"/>
        <v>56</v>
      </c>
      <c r="F59" s="290" t="s">
        <v>280</v>
      </c>
      <c r="G59" s="281" t="s">
        <v>662</v>
      </c>
      <c r="H59" s="50" t="s">
        <v>71</v>
      </c>
      <c r="I59" s="50" t="s">
        <v>71</v>
      </c>
      <c r="J59" s="50" t="s">
        <v>71</v>
      </c>
      <c r="K59" s="50" t="s">
        <v>71</v>
      </c>
      <c r="L59" s="50" t="s">
        <v>71</v>
      </c>
      <c r="M59" s="50" t="s">
        <v>71</v>
      </c>
      <c r="N59" s="50" t="s">
        <v>71</v>
      </c>
      <c r="O59" s="50" t="s">
        <v>71</v>
      </c>
      <c r="P59" s="50" t="s">
        <v>71</v>
      </c>
      <c r="Q59" s="284"/>
      <c r="R59" s="285"/>
      <c r="S59" s="286"/>
      <c r="T59" s="287"/>
      <c r="U59" s="288"/>
    </row>
    <row r="60" spans="2:22" ht="28.2" customHeight="1" x14ac:dyDescent="0.35">
      <c r="B60" s="291"/>
      <c r="C60" s="277"/>
      <c r="D60" s="290" t="s">
        <v>677</v>
      </c>
      <c r="E60" s="279">
        <f t="shared" si="1"/>
        <v>57</v>
      </c>
      <c r="F60" s="290" t="s">
        <v>282</v>
      </c>
      <c r="G60" s="281" t="s">
        <v>662</v>
      </c>
      <c r="H60" s="50" t="s">
        <v>71</v>
      </c>
      <c r="I60" s="50" t="s">
        <v>71</v>
      </c>
      <c r="J60" s="50" t="s">
        <v>71</v>
      </c>
      <c r="K60" s="50" t="s">
        <v>71</v>
      </c>
      <c r="L60" s="50" t="s">
        <v>71</v>
      </c>
      <c r="M60" s="50" t="s">
        <v>71</v>
      </c>
      <c r="N60" s="50" t="s">
        <v>71</v>
      </c>
      <c r="O60" s="50" t="s">
        <v>71</v>
      </c>
      <c r="P60" s="50" t="s">
        <v>71</v>
      </c>
      <c r="Q60" s="284"/>
      <c r="R60" s="285"/>
      <c r="S60" s="286"/>
      <c r="T60" s="287"/>
      <c r="U60" s="288"/>
    </row>
    <row r="61" spans="2:22" ht="28.2" customHeight="1" x14ac:dyDescent="0.35">
      <c r="B61" s="291"/>
      <c r="C61" s="277"/>
      <c r="D61" s="290" t="s">
        <v>678</v>
      </c>
      <c r="E61" s="279">
        <f t="shared" si="1"/>
        <v>58</v>
      </c>
      <c r="F61" s="290" t="s">
        <v>284</v>
      </c>
      <c r="G61" s="281" t="s">
        <v>662</v>
      </c>
      <c r="H61" s="50" t="s">
        <v>71</v>
      </c>
      <c r="I61" s="50" t="s">
        <v>71</v>
      </c>
      <c r="J61" s="50" t="s">
        <v>71</v>
      </c>
      <c r="K61" s="50" t="s">
        <v>71</v>
      </c>
      <c r="L61" s="50" t="s">
        <v>71</v>
      </c>
      <c r="M61" s="50" t="s">
        <v>71</v>
      </c>
      <c r="N61" s="50" t="s">
        <v>71</v>
      </c>
      <c r="O61" s="50" t="s">
        <v>71</v>
      </c>
      <c r="P61" s="50" t="s">
        <v>71</v>
      </c>
      <c r="Q61" s="284"/>
      <c r="R61" s="285"/>
      <c r="S61" s="286"/>
      <c r="T61" s="287"/>
      <c r="U61" s="288"/>
    </row>
    <row r="62" spans="2:22" ht="28.2" customHeight="1" x14ac:dyDescent="0.35">
      <c r="B62" s="291"/>
      <c r="C62" s="277"/>
      <c r="D62" s="290" t="s">
        <v>695</v>
      </c>
      <c r="E62" s="279">
        <f t="shared" si="1"/>
        <v>59</v>
      </c>
      <c r="F62" s="290" t="s">
        <v>680</v>
      </c>
      <c r="G62" s="281" t="s">
        <v>662</v>
      </c>
      <c r="H62" s="50" t="s">
        <v>71</v>
      </c>
      <c r="I62" s="50" t="s">
        <v>71</v>
      </c>
      <c r="J62" s="50" t="s">
        <v>71</v>
      </c>
      <c r="K62" s="50" t="s">
        <v>71</v>
      </c>
      <c r="L62" s="50" t="s">
        <v>71</v>
      </c>
      <c r="M62" s="50" t="s">
        <v>71</v>
      </c>
      <c r="N62" s="50" t="s">
        <v>71</v>
      </c>
      <c r="O62" s="50" t="s">
        <v>71</v>
      </c>
      <c r="P62" s="50" t="s">
        <v>71</v>
      </c>
      <c r="Q62" s="284"/>
      <c r="R62" s="285"/>
      <c r="S62" s="286"/>
      <c r="T62" s="287"/>
      <c r="U62" s="288"/>
    </row>
    <row r="63" spans="2:22" ht="28.2" customHeight="1" x14ac:dyDescent="0.35">
      <c r="B63" s="291"/>
      <c r="C63" s="277"/>
      <c r="D63" s="290" t="s">
        <v>696</v>
      </c>
      <c r="E63" s="279">
        <f t="shared" si="1"/>
        <v>60</v>
      </c>
      <c r="F63" s="290" t="s">
        <v>682</v>
      </c>
      <c r="G63" s="281" t="s">
        <v>662</v>
      </c>
      <c r="H63" s="50" t="s">
        <v>71</v>
      </c>
      <c r="I63" s="50" t="s">
        <v>71</v>
      </c>
      <c r="J63" s="50" t="s">
        <v>71</v>
      </c>
      <c r="K63" s="50" t="s">
        <v>71</v>
      </c>
      <c r="L63" s="50" t="s">
        <v>71</v>
      </c>
      <c r="M63" s="50" t="s">
        <v>71</v>
      </c>
      <c r="N63" s="50" t="s">
        <v>71</v>
      </c>
      <c r="O63" s="50" t="s">
        <v>71</v>
      </c>
      <c r="P63" s="50" t="s">
        <v>71</v>
      </c>
      <c r="Q63" s="284"/>
      <c r="R63" s="285"/>
      <c r="S63" s="286"/>
      <c r="T63" s="287"/>
      <c r="U63" s="288"/>
    </row>
    <row r="64" spans="2:22" ht="28.2" customHeight="1" x14ac:dyDescent="0.35">
      <c r="B64" s="276" t="s">
        <v>654</v>
      </c>
      <c r="C64" s="292" t="s">
        <v>655</v>
      </c>
      <c r="D64" s="278" t="s">
        <v>656</v>
      </c>
      <c r="E64" s="279">
        <f t="shared" si="1"/>
        <v>61</v>
      </c>
      <c r="F64" s="280" t="s">
        <v>657</v>
      </c>
      <c r="G64" s="281" t="s">
        <v>658</v>
      </c>
      <c r="H64" s="50" t="s">
        <v>71</v>
      </c>
      <c r="I64" s="50" t="s">
        <v>71</v>
      </c>
      <c r="J64" s="50" t="s">
        <v>71</v>
      </c>
      <c r="K64" s="50" t="s">
        <v>71</v>
      </c>
      <c r="L64" s="50" t="s">
        <v>71</v>
      </c>
      <c r="M64" s="50" t="s">
        <v>71</v>
      </c>
      <c r="N64" s="50" t="s">
        <v>71</v>
      </c>
      <c r="O64" s="50" t="s">
        <v>71</v>
      </c>
      <c r="P64" s="50" t="s">
        <v>71</v>
      </c>
      <c r="Q64" s="284"/>
      <c r="R64" s="285"/>
      <c r="S64" s="286"/>
      <c r="T64" s="287"/>
      <c r="U64" s="288"/>
      <c r="V64" s="126"/>
    </row>
    <row r="65" spans="1:22" ht="48.6" customHeight="1" x14ac:dyDescent="0.35">
      <c r="B65" s="289" t="s">
        <v>692</v>
      </c>
      <c r="C65" s="277"/>
      <c r="D65" s="290" t="s">
        <v>664</v>
      </c>
      <c r="E65" s="279">
        <f t="shared" si="1"/>
        <v>62</v>
      </c>
      <c r="F65" s="280" t="s">
        <v>664</v>
      </c>
      <c r="G65" s="281" t="s">
        <v>662</v>
      </c>
      <c r="H65" s="50" t="s">
        <v>71</v>
      </c>
      <c r="I65" s="50" t="s">
        <v>71</v>
      </c>
      <c r="J65" s="50" t="s">
        <v>71</v>
      </c>
      <c r="K65" s="50" t="s">
        <v>71</v>
      </c>
      <c r="L65" s="50" t="s">
        <v>71</v>
      </c>
      <c r="M65" s="50" t="s">
        <v>71</v>
      </c>
      <c r="N65" s="50" t="s">
        <v>71</v>
      </c>
      <c r="O65" s="50" t="s">
        <v>71</v>
      </c>
      <c r="P65" s="50" t="s">
        <v>71</v>
      </c>
      <c r="Q65" s="284"/>
      <c r="R65" s="285"/>
      <c r="S65" s="286"/>
      <c r="T65" s="287"/>
      <c r="U65" s="288"/>
      <c r="V65" s="126"/>
    </row>
    <row r="66" spans="1:22" ht="28.2" customHeight="1" x14ac:dyDescent="0.35">
      <c r="B66" s="291"/>
      <c r="C66" s="277"/>
      <c r="D66" s="290" t="s">
        <v>693</v>
      </c>
      <c r="E66" s="279">
        <f t="shared" si="1"/>
        <v>63</v>
      </c>
      <c r="F66" s="280" t="s">
        <v>694</v>
      </c>
      <c r="G66" s="281" t="s">
        <v>662</v>
      </c>
      <c r="H66" s="50" t="s">
        <v>71</v>
      </c>
      <c r="I66" s="50" t="s">
        <v>71</v>
      </c>
      <c r="J66" s="50" t="s">
        <v>71</v>
      </c>
      <c r="K66" s="50" t="s">
        <v>71</v>
      </c>
      <c r="L66" s="50" t="s">
        <v>71</v>
      </c>
      <c r="M66" s="50" t="s">
        <v>71</v>
      </c>
      <c r="N66" s="50" t="s">
        <v>71</v>
      </c>
      <c r="O66" s="50" t="s">
        <v>71</v>
      </c>
      <c r="P66" s="50" t="s">
        <v>71</v>
      </c>
      <c r="Q66" s="284"/>
      <c r="R66" s="285"/>
      <c r="S66" s="286"/>
      <c r="T66" s="287"/>
      <c r="U66" s="288"/>
    </row>
    <row r="67" spans="1:22" ht="28.2" customHeight="1" x14ac:dyDescent="0.35">
      <c r="B67" s="291"/>
      <c r="C67" s="277"/>
      <c r="D67" s="290" t="s">
        <v>675</v>
      </c>
      <c r="E67" s="279">
        <f t="shared" si="1"/>
        <v>64</v>
      </c>
      <c r="F67" s="290" t="s">
        <v>277</v>
      </c>
      <c r="G67" s="281" t="s">
        <v>662</v>
      </c>
      <c r="H67" s="50" t="s">
        <v>71</v>
      </c>
      <c r="I67" s="50" t="s">
        <v>71</v>
      </c>
      <c r="J67" s="50" t="s">
        <v>71</v>
      </c>
      <c r="K67" s="50" t="s">
        <v>71</v>
      </c>
      <c r="L67" s="50" t="s">
        <v>71</v>
      </c>
      <c r="M67" s="50" t="s">
        <v>71</v>
      </c>
      <c r="N67" s="50" t="s">
        <v>71</v>
      </c>
      <c r="O67" s="50" t="s">
        <v>71</v>
      </c>
      <c r="P67" s="50" t="s">
        <v>71</v>
      </c>
      <c r="Q67" s="284"/>
      <c r="R67" s="285"/>
      <c r="S67" s="286"/>
      <c r="T67" s="287"/>
      <c r="U67" s="288"/>
    </row>
    <row r="68" spans="1:22" ht="28.2" customHeight="1" x14ac:dyDescent="0.35">
      <c r="B68" s="291"/>
      <c r="C68" s="277"/>
      <c r="D68" s="290" t="s">
        <v>676</v>
      </c>
      <c r="E68" s="279">
        <f t="shared" si="1"/>
        <v>65</v>
      </c>
      <c r="F68" s="290" t="s">
        <v>280</v>
      </c>
      <c r="G68" s="281" t="s">
        <v>662</v>
      </c>
      <c r="H68" s="50" t="s">
        <v>71</v>
      </c>
      <c r="I68" s="50" t="s">
        <v>71</v>
      </c>
      <c r="J68" s="50" t="s">
        <v>71</v>
      </c>
      <c r="K68" s="50" t="s">
        <v>71</v>
      </c>
      <c r="L68" s="50" t="s">
        <v>71</v>
      </c>
      <c r="M68" s="50" t="s">
        <v>71</v>
      </c>
      <c r="N68" s="50" t="s">
        <v>71</v>
      </c>
      <c r="O68" s="50" t="s">
        <v>71</v>
      </c>
      <c r="P68" s="50" t="s">
        <v>71</v>
      </c>
      <c r="Q68" s="284"/>
      <c r="R68" s="285"/>
      <c r="S68" s="286"/>
      <c r="T68" s="287"/>
      <c r="U68" s="288"/>
      <c r="V68" s="126"/>
    </row>
    <row r="69" spans="1:22" ht="28.2" customHeight="1" x14ac:dyDescent="0.35">
      <c r="B69" s="291"/>
      <c r="C69" s="277"/>
      <c r="D69" s="290" t="s">
        <v>677</v>
      </c>
      <c r="E69" s="279">
        <f t="shared" si="1"/>
        <v>66</v>
      </c>
      <c r="F69" s="290" t="s">
        <v>282</v>
      </c>
      <c r="G69" s="281" t="s">
        <v>662</v>
      </c>
      <c r="H69" s="50" t="s">
        <v>71</v>
      </c>
      <c r="I69" s="50" t="s">
        <v>71</v>
      </c>
      <c r="J69" s="50" t="s">
        <v>71</v>
      </c>
      <c r="K69" s="50" t="s">
        <v>71</v>
      </c>
      <c r="L69" s="50" t="s">
        <v>71</v>
      </c>
      <c r="M69" s="50" t="s">
        <v>71</v>
      </c>
      <c r="N69" s="50" t="s">
        <v>71</v>
      </c>
      <c r="O69" s="50" t="s">
        <v>71</v>
      </c>
      <c r="P69" s="50" t="s">
        <v>71</v>
      </c>
      <c r="Q69" s="284"/>
      <c r="R69" s="285"/>
      <c r="S69" s="286"/>
      <c r="T69" s="287"/>
      <c r="U69" s="288"/>
      <c r="V69" s="126"/>
    </row>
    <row r="70" spans="1:22" ht="37.950000000000003" customHeight="1" x14ac:dyDescent="0.35">
      <c r="B70" s="291"/>
      <c r="C70" s="277"/>
      <c r="D70" s="290" t="s">
        <v>678</v>
      </c>
      <c r="E70" s="279">
        <f t="shared" si="1"/>
        <v>67</v>
      </c>
      <c r="F70" s="290" t="s">
        <v>284</v>
      </c>
      <c r="G70" s="281" t="s">
        <v>662</v>
      </c>
      <c r="H70" s="50" t="s">
        <v>71</v>
      </c>
      <c r="I70" s="50" t="s">
        <v>71</v>
      </c>
      <c r="J70" s="50" t="s">
        <v>71</v>
      </c>
      <c r="K70" s="50" t="s">
        <v>71</v>
      </c>
      <c r="L70" s="50" t="s">
        <v>71</v>
      </c>
      <c r="M70" s="50" t="s">
        <v>71</v>
      </c>
      <c r="N70" s="50" t="s">
        <v>71</v>
      </c>
      <c r="O70" s="50" t="s">
        <v>71</v>
      </c>
      <c r="P70" s="50" t="s">
        <v>71</v>
      </c>
      <c r="Q70" s="284"/>
      <c r="R70" s="285"/>
      <c r="S70" s="286"/>
      <c r="T70" s="287"/>
      <c r="U70" s="293"/>
    </row>
    <row r="71" spans="1:22" ht="28.2" customHeight="1" x14ac:dyDescent="0.35">
      <c r="B71" s="291"/>
      <c r="C71" s="277"/>
      <c r="D71" s="290" t="s">
        <v>695</v>
      </c>
      <c r="E71" s="279">
        <f t="shared" si="1"/>
        <v>68</v>
      </c>
      <c r="F71" s="290" t="s">
        <v>680</v>
      </c>
      <c r="G71" s="281" t="s">
        <v>662</v>
      </c>
      <c r="H71" s="50" t="s">
        <v>71</v>
      </c>
      <c r="I71" s="50" t="s">
        <v>71</v>
      </c>
      <c r="J71" s="50" t="s">
        <v>71</v>
      </c>
      <c r="K71" s="50" t="s">
        <v>71</v>
      </c>
      <c r="L71" s="50" t="s">
        <v>71</v>
      </c>
      <c r="M71" s="50" t="s">
        <v>71</v>
      </c>
      <c r="N71" s="50" t="s">
        <v>71</v>
      </c>
      <c r="O71" s="50" t="s">
        <v>71</v>
      </c>
      <c r="P71" s="50" t="s">
        <v>71</v>
      </c>
      <c r="Q71" s="284"/>
      <c r="R71" s="285"/>
      <c r="S71" s="286"/>
      <c r="T71" s="287"/>
      <c r="U71" s="288"/>
    </row>
    <row r="72" spans="1:22" ht="36" customHeight="1" x14ac:dyDescent="0.35">
      <c r="B72" s="291"/>
      <c r="C72" s="277"/>
      <c r="D72" s="290" t="s">
        <v>696</v>
      </c>
      <c r="E72" s="279">
        <f t="shared" si="1"/>
        <v>69</v>
      </c>
      <c r="F72" s="290" t="s">
        <v>682</v>
      </c>
      <c r="G72" s="281" t="s">
        <v>662</v>
      </c>
      <c r="H72" s="50" t="s">
        <v>71</v>
      </c>
      <c r="I72" s="50" t="s">
        <v>71</v>
      </c>
      <c r="J72" s="50" t="s">
        <v>71</v>
      </c>
      <c r="K72" s="50" t="s">
        <v>71</v>
      </c>
      <c r="L72" s="50" t="s">
        <v>71</v>
      </c>
      <c r="M72" s="50" t="s">
        <v>71</v>
      </c>
      <c r="N72" s="50" t="s">
        <v>71</v>
      </c>
      <c r="O72" s="50" t="s">
        <v>71</v>
      </c>
      <c r="P72" s="50" t="s">
        <v>71</v>
      </c>
      <c r="Q72" s="284"/>
      <c r="R72" s="285"/>
      <c r="S72" s="286"/>
      <c r="T72" s="287"/>
      <c r="U72" s="288"/>
    </row>
    <row r="73" spans="1:22" ht="28.2" customHeight="1" thickBot="1" x14ac:dyDescent="0.4">
      <c r="B73" s="291"/>
      <c r="C73" s="294"/>
      <c r="D73" s="295"/>
      <c r="E73" s="296"/>
      <c r="F73" s="297"/>
      <c r="G73" s="298"/>
      <c r="H73" s="50" t="s">
        <v>71</v>
      </c>
      <c r="I73" s="50" t="s">
        <v>71</v>
      </c>
      <c r="J73" s="50" t="s">
        <v>71</v>
      </c>
      <c r="K73" s="50" t="s">
        <v>71</v>
      </c>
      <c r="L73" s="50" t="s">
        <v>71</v>
      </c>
      <c r="M73" s="50" t="s">
        <v>71</v>
      </c>
      <c r="N73" s="50" t="s">
        <v>71</v>
      </c>
      <c r="O73" s="50" t="s">
        <v>71</v>
      </c>
      <c r="P73" s="50" t="s">
        <v>71</v>
      </c>
      <c r="Q73" s="303"/>
      <c r="R73" s="304"/>
      <c r="S73" s="305"/>
      <c r="T73" s="306"/>
      <c r="U73" s="307"/>
    </row>
    <row r="74" spans="1:22" ht="18" customHeight="1" x14ac:dyDescent="0.35">
      <c r="B74" s="524" t="s">
        <v>300</v>
      </c>
      <c r="C74" s="509"/>
      <c r="D74" s="509">
        <f>SUM(H76:P76)</f>
        <v>47</v>
      </c>
      <c r="E74" s="157"/>
      <c r="F74" s="158"/>
      <c r="G74" s="248" t="s">
        <v>301</v>
      </c>
      <c r="H74" s="160">
        <f t="shared" ref="H74:P74" si="2">COUNTIF(H4:H73,"●")+COUNTIF(H4:H73,"■")+COUNTIF(H4:H73,"OK")</f>
        <v>11</v>
      </c>
      <c r="I74" s="160">
        <f t="shared" si="2"/>
        <v>0</v>
      </c>
      <c r="J74" s="160">
        <f t="shared" si="2"/>
        <v>0</v>
      </c>
      <c r="K74" s="160">
        <f t="shared" si="2"/>
        <v>5</v>
      </c>
      <c r="L74" s="160">
        <f t="shared" si="2"/>
        <v>11</v>
      </c>
      <c r="M74" s="160">
        <f t="shared" si="2"/>
        <v>11</v>
      </c>
      <c r="N74" s="160">
        <f t="shared" si="2"/>
        <v>0</v>
      </c>
      <c r="O74" s="160">
        <f t="shared" si="2"/>
        <v>9</v>
      </c>
      <c r="P74" s="160">
        <f t="shared" si="2"/>
        <v>0</v>
      </c>
      <c r="Q74" s="511" t="s">
        <v>302</v>
      </c>
      <c r="R74" s="511"/>
      <c r="S74" s="511"/>
      <c r="T74" s="161"/>
      <c r="U74" s="162"/>
    </row>
    <row r="75" spans="1:22" ht="18" customHeight="1" x14ac:dyDescent="0.35">
      <c r="B75" s="525"/>
      <c r="C75" s="510"/>
      <c r="D75" s="510"/>
      <c r="E75" s="55"/>
      <c r="F75" s="56"/>
      <c r="G75" s="249" t="s">
        <v>303</v>
      </c>
      <c r="H75" s="75">
        <f t="shared" ref="H75:P75" si="3">COUNTIF(H4:H73,"×")+COUNTIF(H4:H73,"NG")</f>
        <v>0</v>
      </c>
      <c r="I75" s="76">
        <f t="shared" si="3"/>
        <v>0</v>
      </c>
      <c r="J75" s="75">
        <f t="shared" si="3"/>
        <v>0</v>
      </c>
      <c r="K75" s="76">
        <f t="shared" si="3"/>
        <v>0</v>
      </c>
      <c r="L75" s="75">
        <f t="shared" si="3"/>
        <v>0</v>
      </c>
      <c r="M75" s="76">
        <f t="shared" si="3"/>
        <v>0</v>
      </c>
      <c r="N75" s="75">
        <f t="shared" si="3"/>
        <v>0</v>
      </c>
      <c r="O75" s="76">
        <f t="shared" si="3"/>
        <v>0</v>
      </c>
      <c r="P75" s="75">
        <f t="shared" si="3"/>
        <v>0</v>
      </c>
      <c r="Q75" s="512"/>
      <c r="R75" s="512"/>
      <c r="S75" s="512"/>
      <c r="T75" s="71"/>
      <c r="U75" s="105"/>
    </row>
    <row r="76" spans="1:22" ht="18" customHeight="1" x14ac:dyDescent="0.35">
      <c r="B76" s="526" t="s">
        <v>304</v>
      </c>
      <c r="C76" s="507"/>
      <c r="D76" s="507">
        <f>SUM(H77:P77)</f>
        <v>47</v>
      </c>
      <c r="E76" s="45"/>
      <c r="F76" s="46"/>
      <c r="G76" s="249" t="s">
        <v>305</v>
      </c>
      <c r="H76" s="75">
        <f t="shared" ref="H76:P76" si="4">H74+H75</f>
        <v>11</v>
      </c>
      <c r="I76" s="76">
        <f t="shared" si="4"/>
        <v>0</v>
      </c>
      <c r="J76" s="76">
        <f t="shared" si="4"/>
        <v>0</v>
      </c>
      <c r="K76" s="76">
        <f t="shared" si="4"/>
        <v>5</v>
      </c>
      <c r="L76" s="76">
        <f t="shared" si="4"/>
        <v>11</v>
      </c>
      <c r="M76" s="76">
        <f t="shared" si="4"/>
        <v>11</v>
      </c>
      <c r="N76" s="76">
        <f t="shared" si="4"/>
        <v>0</v>
      </c>
      <c r="O76" s="76">
        <f t="shared" si="4"/>
        <v>9</v>
      </c>
      <c r="P76" s="77">
        <f t="shared" si="4"/>
        <v>0</v>
      </c>
      <c r="Q76" s="513">
        <f>COUNTA(Q4:Q73)</f>
        <v>11</v>
      </c>
      <c r="R76" s="515">
        <f>COUNTA(R4:R73)</f>
        <v>0</v>
      </c>
      <c r="S76" s="517">
        <f>COUNTA(S55:S73)</f>
        <v>0</v>
      </c>
      <c r="T76" s="71"/>
      <c r="U76" s="105"/>
    </row>
    <row r="77" spans="1:22" ht="18" customHeight="1" thickBot="1" x14ac:dyDescent="0.4">
      <c r="A77" s="118"/>
      <c r="B77" s="527"/>
      <c r="C77" s="508"/>
      <c r="D77" s="508"/>
      <c r="E77" s="106"/>
      <c r="F77" s="107"/>
      <c r="G77" s="250" t="s">
        <v>306</v>
      </c>
      <c r="H77" s="109">
        <f t="shared" ref="H77:P77" si="5">COUNTBLANK(H4:H73)+H76+COUNTIF(H4:H73,"□")</f>
        <v>11</v>
      </c>
      <c r="I77" s="110">
        <f t="shared" si="5"/>
        <v>0</v>
      </c>
      <c r="J77" s="109">
        <f t="shared" si="5"/>
        <v>0</v>
      </c>
      <c r="K77" s="110">
        <f t="shared" si="5"/>
        <v>5</v>
      </c>
      <c r="L77" s="109">
        <f t="shared" si="5"/>
        <v>11</v>
      </c>
      <c r="M77" s="110">
        <f t="shared" si="5"/>
        <v>11</v>
      </c>
      <c r="N77" s="109">
        <f t="shared" si="5"/>
        <v>0</v>
      </c>
      <c r="O77" s="110">
        <f t="shared" si="5"/>
        <v>9</v>
      </c>
      <c r="P77" s="109">
        <f t="shared" si="5"/>
        <v>0</v>
      </c>
      <c r="Q77" s="514"/>
      <c r="R77" s="516"/>
      <c r="S77" s="518"/>
      <c r="T77" s="112"/>
      <c r="U77" s="113"/>
    </row>
    <row r="78" spans="1:22" ht="24" customHeight="1" x14ac:dyDescent="0.35"/>
  </sheetData>
  <mergeCells count="16">
    <mergeCell ref="B76:C77"/>
    <mergeCell ref="D76:D77"/>
    <mergeCell ref="Q76:Q77"/>
    <mergeCell ref="R76:R77"/>
    <mergeCell ref="S76:S77"/>
    <mergeCell ref="T2:T3"/>
    <mergeCell ref="U2:U3"/>
    <mergeCell ref="B74:C75"/>
    <mergeCell ref="D74:D75"/>
    <mergeCell ref="Q74:S75"/>
    <mergeCell ref="B2:B3"/>
    <mergeCell ref="C2:C3"/>
    <mergeCell ref="D2:D3"/>
    <mergeCell ref="E2:G2"/>
    <mergeCell ref="H2:P2"/>
    <mergeCell ref="Q2:S2"/>
  </mergeCells>
  <phoneticPr fontId="23"/>
  <pageMargins left="0.25" right="0.25" top="0.75" bottom="0.75" header="0.3" footer="0.3"/>
  <pageSetup paperSize="8" scale="80"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AFFD7-6D48-4FB2-B0B6-F6B45827D16C}">
  <sheetPr codeName="Sheet9">
    <pageSetUpPr fitToPage="1"/>
  </sheetPr>
  <dimension ref="A1:V78"/>
  <sheetViews>
    <sheetView view="pageBreakPreview" zoomScale="80" zoomScaleNormal="70" zoomScaleSheetLayoutView="80" workbookViewId="0">
      <pane ySplit="3" topLeftCell="A61" activePane="bottomLeft" state="frozen"/>
      <selection activeCell="D17" sqref="D17"/>
      <selection pane="bottomLeft" activeCell="Q31" sqref="Q31"/>
    </sheetView>
  </sheetViews>
  <sheetFormatPr defaultColWidth="8.6640625" defaultRowHeight="13.2" x14ac:dyDescent="0.35"/>
  <cols>
    <col min="1" max="1" width="3.109375" style="60" customWidth="1"/>
    <col min="2" max="2" width="14.886718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42.109375" style="120" bestFit="1" customWidth="1"/>
    <col min="22" max="22" width="5" style="120" customWidth="1"/>
    <col min="23" max="16384" width="8.6640625" style="120"/>
  </cols>
  <sheetData>
    <row r="1" spans="1:22" ht="20.399999999999999" thickBot="1" x14ac:dyDescent="0.4">
      <c r="B1" s="121" t="s">
        <v>568</v>
      </c>
      <c r="E1" s="121"/>
    </row>
    <row r="2" spans="1:22" ht="24" customHeight="1" x14ac:dyDescent="0.35">
      <c r="A2" s="118"/>
      <c r="B2" s="522" t="s">
        <v>43</v>
      </c>
      <c r="C2" s="505" t="s">
        <v>44</v>
      </c>
      <c r="D2" s="505" t="s">
        <v>45</v>
      </c>
      <c r="E2" s="498" t="s">
        <v>46</v>
      </c>
      <c r="F2" s="499"/>
      <c r="G2" s="500"/>
      <c r="H2" s="519" t="s">
        <v>348</v>
      </c>
      <c r="I2" s="520"/>
      <c r="J2" s="520"/>
      <c r="K2" s="520"/>
      <c r="L2" s="520"/>
      <c r="M2" s="520"/>
      <c r="N2" s="520"/>
      <c r="O2" s="520"/>
      <c r="P2" s="521"/>
      <c r="Q2" s="501" t="s">
        <v>48</v>
      </c>
      <c r="R2" s="502"/>
      <c r="S2" s="502"/>
      <c r="T2" s="505" t="s">
        <v>49</v>
      </c>
      <c r="U2" s="503" t="s">
        <v>50</v>
      </c>
    </row>
    <row r="3" spans="1:22" ht="27" thickBot="1" x14ac:dyDescent="0.4">
      <c r="A3" s="118"/>
      <c r="B3" s="523"/>
      <c r="C3" s="506"/>
      <c r="D3" s="506"/>
      <c r="E3" s="114" t="s">
        <v>51</v>
      </c>
      <c r="F3" s="247"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506"/>
      <c r="U3" s="504"/>
    </row>
    <row r="4" spans="1:22" ht="28.2" customHeight="1" x14ac:dyDescent="0.35">
      <c r="B4" s="122" t="s">
        <v>569</v>
      </c>
      <c r="C4" s="123" t="s">
        <v>570</v>
      </c>
      <c r="D4" s="227"/>
      <c r="E4" s="384">
        <f>ROW()-3</f>
        <v>1</v>
      </c>
      <c r="F4" s="385" t="s">
        <v>571</v>
      </c>
      <c r="G4" s="386" t="s">
        <v>84</v>
      </c>
      <c r="H4" s="411" t="s">
        <v>71</v>
      </c>
      <c r="I4" s="411" t="s">
        <v>71</v>
      </c>
      <c r="J4" s="411" t="s">
        <v>71</v>
      </c>
      <c r="K4" s="411" t="s">
        <v>71</v>
      </c>
      <c r="L4" s="411" t="s">
        <v>71</v>
      </c>
      <c r="M4" s="411" t="s">
        <v>71</v>
      </c>
      <c r="N4" s="411" t="s">
        <v>71</v>
      </c>
      <c r="O4" s="411" t="s">
        <v>71</v>
      </c>
      <c r="P4" s="411" t="s">
        <v>71</v>
      </c>
      <c r="Q4" s="65"/>
      <c r="R4" s="51"/>
      <c r="S4" s="67"/>
      <c r="T4" s="322"/>
      <c r="U4" s="413" t="s">
        <v>714</v>
      </c>
    </row>
    <row r="5" spans="1:22" ht="28.2" customHeight="1" x14ac:dyDescent="0.35">
      <c r="B5" s="122" t="s">
        <v>573</v>
      </c>
      <c r="C5" s="232" t="s">
        <v>574</v>
      </c>
      <c r="D5" s="227" t="s">
        <v>575</v>
      </c>
      <c r="E5" s="231">
        <f t="shared" ref="E5:E54" si="0">ROW()-3</f>
        <v>2</v>
      </c>
      <c r="F5" s="97" t="s">
        <v>576</v>
      </c>
      <c r="G5" s="91" t="s">
        <v>577</v>
      </c>
      <c r="H5" s="48" t="s">
        <v>310</v>
      </c>
      <c r="I5" s="48" t="s">
        <v>71</v>
      </c>
      <c r="J5" s="48" t="s">
        <v>71</v>
      </c>
      <c r="K5" s="48" t="s">
        <v>310</v>
      </c>
      <c r="L5" s="48" t="s">
        <v>310</v>
      </c>
      <c r="M5" s="48" t="s">
        <v>310</v>
      </c>
      <c r="N5" s="48" t="s">
        <v>71</v>
      </c>
      <c r="O5" s="48" t="s">
        <v>71</v>
      </c>
      <c r="P5" s="48" t="s">
        <v>71</v>
      </c>
      <c r="Q5" s="64">
        <v>45686</v>
      </c>
      <c r="R5" s="49"/>
      <c r="S5" s="66"/>
      <c r="T5" s="85"/>
      <c r="U5" s="100" t="s">
        <v>715</v>
      </c>
    </row>
    <row r="6" spans="1:22" ht="28.2" customHeight="1" x14ac:dyDescent="0.35">
      <c r="B6" s="122"/>
      <c r="C6" s="267" t="s">
        <v>578</v>
      </c>
      <c r="D6" s="325" t="s">
        <v>579</v>
      </c>
      <c r="E6" s="94">
        <f t="shared" si="0"/>
        <v>3</v>
      </c>
      <c r="F6" s="95" t="s">
        <v>580</v>
      </c>
      <c r="G6" s="96" t="s">
        <v>581</v>
      </c>
      <c r="H6" s="50" t="s">
        <v>71</v>
      </c>
      <c r="I6" s="50" t="s">
        <v>71</v>
      </c>
      <c r="J6" s="50" t="s">
        <v>71</v>
      </c>
      <c r="K6" s="50" t="s">
        <v>71</v>
      </c>
      <c r="L6" s="50" t="s">
        <v>71</v>
      </c>
      <c r="M6" s="50" t="s">
        <v>71</v>
      </c>
      <c r="N6" s="50" t="s">
        <v>71</v>
      </c>
      <c r="O6" s="50" t="s">
        <v>71</v>
      </c>
      <c r="P6" s="50" t="s">
        <v>71</v>
      </c>
      <c r="Q6" s="329"/>
      <c r="R6" s="51"/>
      <c r="S6" s="67"/>
      <c r="T6" s="322"/>
      <c r="U6" s="326" t="s">
        <v>698</v>
      </c>
    </row>
    <row r="7" spans="1:22" ht="28.2" customHeight="1" x14ac:dyDescent="0.35">
      <c r="B7" s="122"/>
      <c r="C7" s="310"/>
      <c r="D7" s="227" t="s">
        <v>583</v>
      </c>
      <c r="E7" s="231">
        <f t="shared" si="0"/>
        <v>4</v>
      </c>
      <c r="F7" s="97" t="s">
        <v>584</v>
      </c>
      <c r="G7" s="91" t="s">
        <v>581</v>
      </c>
      <c r="H7" s="48" t="s">
        <v>310</v>
      </c>
      <c r="I7" s="48" t="s">
        <v>71</v>
      </c>
      <c r="J7" s="48" t="s">
        <v>71</v>
      </c>
      <c r="K7" s="48" t="s">
        <v>71</v>
      </c>
      <c r="L7" s="48" t="s">
        <v>310</v>
      </c>
      <c r="M7" s="48" t="s">
        <v>310</v>
      </c>
      <c r="N7" s="48" t="s">
        <v>71</v>
      </c>
      <c r="O7" s="48" t="s">
        <v>71</v>
      </c>
      <c r="P7" s="48" t="s">
        <v>71</v>
      </c>
      <c r="Q7" s="64">
        <v>45686</v>
      </c>
      <c r="R7" s="49"/>
      <c r="S7" s="66"/>
      <c r="T7" s="85"/>
      <c r="U7" s="100" t="s">
        <v>716</v>
      </c>
    </row>
    <row r="8" spans="1:22" ht="39.6" x14ac:dyDescent="0.35">
      <c r="B8" s="122"/>
      <c r="C8" s="311"/>
      <c r="D8" s="227" t="s">
        <v>717</v>
      </c>
      <c r="E8" s="231">
        <f t="shared" si="0"/>
        <v>5</v>
      </c>
      <c r="F8" s="97" t="s">
        <v>586</v>
      </c>
      <c r="G8" s="91" t="s">
        <v>581</v>
      </c>
      <c r="H8" s="48" t="s">
        <v>310</v>
      </c>
      <c r="I8" s="48" t="s">
        <v>71</v>
      </c>
      <c r="J8" s="48" t="s">
        <v>71</v>
      </c>
      <c r="K8" s="48" t="s">
        <v>71</v>
      </c>
      <c r="L8" s="48" t="s">
        <v>310</v>
      </c>
      <c r="M8" s="48" t="s">
        <v>310</v>
      </c>
      <c r="N8" s="48" t="s">
        <v>71</v>
      </c>
      <c r="O8" s="48" t="s">
        <v>71</v>
      </c>
      <c r="P8" s="48" t="s">
        <v>71</v>
      </c>
      <c r="Q8" s="64">
        <v>45691</v>
      </c>
      <c r="R8" s="49"/>
      <c r="S8" s="66"/>
      <c r="T8" s="85"/>
      <c r="U8" s="101" t="s">
        <v>935</v>
      </c>
    </row>
    <row r="9" spans="1:22" ht="28.2" customHeight="1" x14ac:dyDescent="0.35">
      <c r="B9" s="122"/>
      <c r="C9" s="310"/>
      <c r="D9" s="227" t="s">
        <v>619</v>
      </c>
      <c r="E9" s="231">
        <f t="shared" si="0"/>
        <v>6</v>
      </c>
      <c r="F9" s="97" t="s">
        <v>580</v>
      </c>
      <c r="G9" s="91" t="s">
        <v>581</v>
      </c>
      <c r="H9" s="48" t="s">
        <v>310</v>
      </c>
      <c r="I9" s="48" t="s">
        <v>71</v>
      </c>
      <c r="J9" s="48" t="s">
        <v>71</v>
      </c>
      <c r="K9" s="48" t="s">
        <v>71</v>
      </c>
      <c r="L9" s="48" t="s">
        <v>310</v>
      </c>
      <c r="M9" s="48" t="s">
        <v>310</v>
      </c>
      <c r="N9" s="48" t="s">
        <v>71</v>
      </c>
      <c r="O9" s="48" t="s">
        <v>71</v>
      </c>
      <c r="P9" s="48" t="s">
        <v>71</v>
      </c>
      <c r="Q9" s="64">
        <v>45686</v>
      </c>
      <c r="R9" s="49"/>
      <c r="S9" s="66"/>
      <c r="T9" s="85"/>
      <c r="U9" s="103" t="s">
        <v>718</v>
      </c>
    </row>
    <row r="10" spans="1:22" ht="28.2" customHeight="1" x14ac:dyDescent="0.35">
      <c r="B10" s="122"/>
      <c r="C10" s="123"/>
      <c r="D10" s="227" t="s">
        <v>592</v>
      </c>
      <c r="E10" s="231">
        <f t="shared" si="0"/>
        <v>7</v>
      </c>
      <c r="F10" s="97" t="s">
        <v>586</v>
      </c>
      <c r="G10" s="91" t="s">
        <v>581</v>
      </c>
      <c r="H10" s="48" t="s">
        <v>310</v>
      </c>
      <c r="I10" s="48" t="s">
        <v>71</v>
      </c>
      <c r="J10" s="48" t="s">
        <v>71</v>
      </c>
      <c r="K10" s="48" t="s">
        <v>71</v>
      </c>
      <c r="L10" s="48" t="s">
        <v>310</v>
      </c>
      <c r="M10" s="48" t="s">
        <v>310</v>
      </c>
      <c r="N10" s="48" t="s">
        <v>71</v>
      </c>
      <c r="O10" s="48" t="s">
        <v>71</v>
      </c>
      <c r="P10" s="48" t="s">
        <v>71</v>
      </c>
      <c r="Q10" s="64">
        <v>45691</v>
      </c>
      <c r="R10" s="49"/>
      <c r="S10" s="66"/>
      <c r="T10" s="85"/>
      <c r="U10" s="101" t="s">
        <v>936</v>
      </c>
    </row>
    <row r="11" spans="1:22" ht="28.2" customHeight="1" x14ac:dyDescent="0.35">
      <c r="B11" s="122"/>
      <c r="C11" s="124" t="s">
        <v>593</v>
      </c>
      <c r="D11" s="325" t="s">
        <v>579</v>
      </c>
      <c r="E11" s="94">
        <f t="shared" si="0"/>
        <v>8</v>
      </c>
      <c r="F11" s="95" t="s">
        <v>595</v>
      </c>
      <c r="G11" s="96" t="s">
        <v>596</v>
      </c>
      <c r="H11" s="50" t="s">
        <v>71</v>
      </c>
      <c r="I11" s="50" t="s">
        <v>71</v>
      </c>
      <c r="J11" s="50" t="s">
        <v>71</v>
      </c>
      <c r="K11" s="50" t="s">
        <v>71</v>
      </c>
      <c r="L11" s="50" t="s">
        <v>71</v>
      </c>
      <c r="M11" s="50" t="s">
        <v>71</v>
      </c>
      <c r="N11" s="50" t="s">
        <v>71</v>
      </c>
      <c r="O11" s="50" t="s">
        <v>71</v>
      </c>
      <c r="P11" s="63" t="s">
        <v>71</v>
      </c>
      <c r="Q11" s="329"/>
      <c r="R11" s="51"/>
      <c r="S11" s="67"/>
      <c r="T11" s="322"/>
      <c r="U11" s="326" t="s">
        <v>698</v>
      </c>
      <c r="V11" s="126"/>
    </row>
    <row r="12" spans="1:22" ht="28.2" customHeight="1" x14ac:dyDescent="0.35">
      <c r="B12" s="122"/>
      <c r="C12" s="267"/>
      <c r="D12" s="227" t="s">
        <v>583</v>
      </c>
      <c r="E12" s="231">
        <f t="shared" si="0"/>
        <v>9</v>
      </c>
      <c r="F12" s="97" t="s">
        <v>604</v>
      </c>
      <c r="G12" s="91" t="s">
        <v>596</v>
      </c>
      <c r="H12" s="48" t="s">
        <v>310</v>
      </c>
      <c r="I12" s="48" t="s">
        <v>71</v>
      </c>
      <c r="J12" s="48" t="s">
        <v>71</v>
      </c>
      <c r="K12" s="48" t="s">
        <v>71</v>
      </c>
      <c r="L12" s="48" t="s">
        <v>310</v>
      </c>
      <c r="M12" s="48" t="s">
        <v>310</v>
      </c>
      <c r="N12" s="48" t="s">
        <v>71</v>
      </c>
      <c r="O12" s="48" t="s">
        <v>71</v>
      </c>
      <c r="P12" s="48" t="s">
        <v>71</v>
      </c>
      <c r="Q12" s="64">
        <v>45686</v>
      </c>
      <c r="R12" s="49"/>
      <c r="S12" s="66"/>
      <c r="T12" s="85"/>
      <c r="U12" s="100" t="s">
        <v>719</v>
      </c>
    </row>
    <row r="13" spans="1:22" ht="39.6" x14ac:dyDescent="0.35">
      <c r="B13" s="122"/>
      <c r="C13" s="123"/>
      <c r="D13" s="227" t="s">
        <v>717</v>
      </c>
      <c r="E13" s="231">
        <f t="shared" si="0"/>
        <v>10</v>
      </c>
      <c r="F13" s="97" t="s">
        <v>602</v>
      </c>
      <c r="G13" s="91" t="s">
        <v>596</v>
      </c>
      <c r="H13" s="48" t="s">
        <v>310</v>
      </c>
      <c r="I13" s="48" t="s">
        <v>71</v>
      </c>
      <c r="J13" s="48" t="s">
        <v>71</v>
      </c>
      <c r="K13" s="48" t="s">
        <v>71</v>
      </c>
      <c r="L13" s="48" t="s">
        <v>310</v>
      </c>
      <c r="M13" s="48" t="s">
        <v>310</v>
      </c>
      <c r="N13" s="48" t="s">
        <v>71</v>
      </c>
      <c r="O13" s="48" t="s">
        <v>71</v>
      </c>
      <c r="P13" s="48" t="s">
        <v>71</v>
      </c>
      <c r="Q13" s="64">
        <v>45691</v>
      </c>
      <c r="R13" s="49"/>
      <c r="S13" s="66"/>
      <c r="T13" s="85"/>
      <c r="U13" s="101" t="s">
        <v>937</v>
      </c>
    </row>
    <row r="14" spans="1:22" ht="28.2" customHeight="1" x14ac:dyDescent="0.35">
      <c r="B14" s="122"/>
      <c r="C14" s="267"/>
      <c r="D14" s="227" t="s">
        <v>619</v>
      </c>
      <c r="E14" s="231">
        <f t="shared" si="0"/>
        <v>11</v>
      </c>
      <c r="F14" s="97" t="s">
        <v>595</v>
      </c>
      <c r="G14" s="91" t="s">
        <v>596</v>
      </c>
      <c r="H14" s="48" t="s">
        <v>310</v>
      </c>
      <c r="I14" s="48" t="s">
        <v>71</v>
      </c>
      <c r="J14" s="48" t="s">
        <v>71</v>
      </c>
      <c r="K14" s="48" t="s">
        <v>71</v>
      </c>
      <c r="L14" s="48" t="s">
        <v>310</v>
      </c>
      <c r="M14" s="48" t="s">
        <v>310</v>
      </c>
      <c r="N14" s="48" t="s">
        <v>71</v>
      </c>
      <c r="O14" s="48" t="s">
        <v>71</v>
      </c>
      <c r="P14" s="48" t="s">
        <v>71</v>
      </c>
      <c r="Q14" s="64">
        <v>45686</v>
      </c>
      <c r="R14" s="49"/>
      <c r="S14" s="66"/>
      <c r="T14" s="85"/>
      <c r="U14" s="103" t="s">
        <v>720</v>
      </c>
      <c r="V14" s="126"/>
    </row>
    <row r="15" spans="1:22" ht="28.2" customHeight="1" x14ac:dyDescent="0.35">
      <c r="B15" s="122"/>
      <c r="C15" s="267"/>
      <c r="D15" s="227" t="s">
        <v>592</v>
      </c>
      <c r="E15" s="231">
        <f t="shared" si="0"/>
        <v>12</v>
      </c>
      <c r="F15" s="97" t="s">
        <v>602</v>
      </c>
      <c r="G15" s="91" t="s">
        <v>596</v>
      </c>
      <c r="H15" s="48" t="s">
        <v>310</v>
      </c>
      <c r="I15" s="48" t="s">
        <v>71</v>
      </c>
      <c r="J15" s="48" t="s">
        <v>71</v>
      </c>
      <c r="K15" s="48" t="s">
        <v>71</v>
      </c>
      <c r="L15" s="48" t="s">
        <v>310</v>
      </c>
      <c r="M15" s="48" t="s">
        <v>310</v>
      </c>
      <c r="N15" s="48" t="s">
        <v>71</v>
      </c>
      <c r="O15" s="48" t="s">
        <v>71</v>
      </c>
      <c r="P15" s="48" t="s">
        <v>71</v>
      </c>
      <c r="Q15" s="64">
        <v>45691</v>
      </c>
      <c r="R15" s="49"/>
      <c r="S15" s="66"/>
      <c r="T15" s="85"/>
      <c r="U15" s="101" t="s">
        <v>938</v>
      </c>
    </row>
    <row r="16" spans="1:22" ht="28.2" customHeight="1" x14ac:dyDescent="0.35">
      <c r="B16" s="122"/>
      <c r="C16" s="124" t="s">
        <v>606</v>
      </c>
      <c r="D16" s="267" t="s">
        <v>607</v>
      </c>
      <c r="E16" s="231">
        <f t="shared" si="0"/>
        <v>13</v>
      </c>
      <c r="F16" s="97" t="s">
        <v>608</v>
      </c>
      <c r="G16" s="91" t="s">
        <v>609</v>
      </c>
      <c r="H16" s="48" t="s">
        <v>310</v>
      </c>
      <c r="I16" s="48" t="s">
        <v>71</v>
      </c>
      <c r="J16" s="48" t="s">
        <v>71</v>
      </c>
      <c r="K16" s="48" t="s">
        <v>71</v>
      </c>
      <c r="L16" s="48" t="s">
        <v>310</v>
      </c>
      <c r="M16" s="48" t="s">
        <v>310</v>
      </c>
      <c r="N16" s="48" t="s">
        <v>71</v>
      </c>
      <c r="O16" s="48" t="s">
        <v>71</v>
      </c>
      <c r="P16" s="48" t="s">
        <v>71</v>
      </c>
      <c r="Q16" s="64">
        <v>45686</v>
      </c>
      <c r="R16" s="49"/>
      <c r="S16" s="66"/>
      <c r="T16" s="85"/>
      <c r="U16" s="100" t="s">
        <v>721</v>
      </c>
    </row>
    <row r="17" spans="2:22" ht="28.2" customHeight="1" x14ac:dyDescent="0.35">
      <c r="B17" s="122"/>
      <c r="C17" s="267"/>
      <c r="D17" s="267"/>
      <c r="E17" s="231">
        <f t="shared" si="0"/>
        <v>14</v>
      </c>
      <c r="F17" s="97" t="s">
        <v>610</v>
      </c>
      <c r="G17" s="91" t="s">
        <v>609</v>
      </c>
      <c r="H17" s="48" t="s">
        <v>310</v>
      </c>
      <c r="I17" s="48" t="s">
        <v>71</v>
      </c>
      <c r="J17" s="48" t="s">
        <v>71</v>
      </c>
      <c r="K17" s="48" t="s">
        <v>71</v>
      </c>
      <c r="L17" s="48" t="s">
        <v>310</v>
      </c>
      <c r="M17" s="48" t="s">
        <v>310</v>
      </c>
      <c r="N17" s="48" t="s">
        <v>71</v>
      </c>
      <c r="O17" s="48" t="s">
        <v>71</v>
      </c>
      <c r="P17" s="48" t="s">
        <v>71</v>
      </c>
      <c r="Q17" s="64">
        <v>45686</v>
      </c>
      <c r="R17" s="49"/>
      <c r="S17" s="66"/>
      <c r="T17" s="85"/>
      <c r="U17" s="100" t="s">
        <v>722</v>
      </c>
    </row>
    <row r="18" spans="2:22" ht="28.2" customHeight="1" x14ac:dyDescent="0.35">
      <c r="B18" s="122"/>
      <c r="C18" s="267"/>
      <c r="D18" s="227"/>
      <c r="E18" s="231">
        <f t="shared" si="0"/>
        <v>15</v>
      </c>
      <c r="F18" s="97" t="s">
        <v>611</v>
      </c>
      <c r="G18" s="91" t="s">
        <v>609</v>
      </c>
      <c r="H18" s="48" t="s">
        <v>310</v>
      </c>
      <c r="I18" s="48" t="s">
        <v>71</v>
      </c>
      <c r="J18" s="48" t="s">
        <v>71</v>
      </c>
      <c r="K18" s="48" t="s">
        <v>71</v>
      </c>
      <c r="L18" s="48" t="s">
        <v>310</v>
      </c>
      <c r="M18" s="48" t="s">
        <v>310</v>
      </c>
      <c r="N18" s="48" t="s">
        <v>71</v>
      </c>
      <c r="O18" s="48" t="s">
        <v>71</v>
      </c>
      <c r="P18" s="48" t="s">
        <v>71</v>
      </c>
      <c r="Q18" s="64">
        <v>45686</v>
      </c>
      <c r="R18" s="49"/>
      <c r="S18" s="66"/>
      <c r="T18" s="85"/>
      <c r="U18" s="100" t="s">
        <v>723</v>
      </c>
    </row>
    <row r="19" spans="2:22" ht="28.2" customHeight="1" x14ac:dyDescent="0.35">
      <c r="B19" s="122"/>
      <c r="C19" s="123"/>
      <c r="D19" s="267" t="s">
        <v>612</v>
      </c>
      <c r="E19" s="231">
        <f t="shared" si="0"/>
        <v>16</v>
      </c>
      <c r="F19" s="97" t="s">
        <v>613</v>
      </c>
      <c r="G19" s="91" t="s">
        <v>609</v>
      </c>
      <c r="H19" s="48" t="s">
        <v>310</v>
      </c>
      <c r="I19" s="48" t="s">
        <v>71</v>
      </c>
      <c r="J19" s="48" t="s">
        <v>71</v>
      </c>
      <c r="K19" s="48" t="s">
        <v>71</v>
      </c>
      <c r="L19" s="48" t="s">
        <v>310</v>
      </c>
      <c r="M19" s="48" t="s">
        <v>310</v>
      </c>
      <c r="N19" s="48" t="s">
        <v>71</v>
      </c>
      <c r="O19" s="48" t="s">
        <v>71</v>
      </c>
      <c r="P19" s="48" t="s">
        <v>71</v>
      </c>
      <c r="Q19" s="64">
        <v>45686</v>
      </c>
      <c r="R19" s="49"/>
      <c r="S19" s="66"/>
      <c r="T19" s="85"/>
      <c r="U19" s="100" t="s">
        <v>724</v>
      </c>
    </row>
    <row r="20" spans="2:22" ht="28.2" customHeight="1" x14ac:dyDescent="0.35">
      <c r="B20" s="122"/>
      <c r="C20" s="267"/>
      <c r="D20" s="267"/>
      <c r="E20" s="231">
        <f t="shared" si="0"/>
        <v>17</v>
      </c>
      <c r="F20" s="97" t="s">
        <v>614</v>
      </c>
      <c r="G20" s="91" t="s">
        <v>609</v>
      </c>
      <c r="H20" s="48" t="s">
        <v>310</v>
      </c>
      <c r="I20" s="48" t="s">
        <v>71</v>
      </c>
      <c r="J20" s="48" t="s">
        <v>71</v>
      </c>
      <c r="K20" s="48" t="s">
        <v>71</v>
      </c>
      <c r="L20" s="48" t="s">
        <v>310</v>
      </c>
      <c r="M20" s="48" t="s">
        <v>310</v>
      </c>
      <c r="N20" s="48" t="s">
        <v>71</v>
      </c>
      <c r="O20" s="48" t="s">
        <v>71</v>
      </c>
      <c r="P20" s="48" t="s">
        <v>71</v>
      </c>
      <c r="Q20" s="64">
        <v>45686</v>
      </c>
      <c r="R20" s="49"/>
      <c r="S20" s="66"/>
      <c r="T20" s="85"/>
      <c r="U20" s="100" t="s">
        <v>725</v>
      </c>
    </row>
    <row r="21" spans="2:22" ht="28.2" customHeight="1" x14ac:dyDescent="0.35">
      <c r="B21" s="122"/>
      <c r="C21" s="267"/>
      <c r="D21" s="267"/>
      <c r="E21" s="231">
        <f t="shared" si="0"/>
        <v>18</v>
      </c>
      <c r="F21" s="97" t="s">
        <v>615</v>
      </c>
      <c r="G21" s="91" t="s">
        <v>609</v>
      </c>
      <c r="H21" s="48" t="s">
        <v>310</v>
      </c>
      <c r="I21" s="48" t="s">
        <v>71</v>
      </c>
      <c r="J21" s="48" t="s">
        <v>71</v>
      </c>
      <c r="K21" s="48" t="s">
        <v>71</v>
      </c>
      <c r="L21" s="48" t="s">
        <v>310</v>
      </c>
      <c r="M21" s="48" t="s">
        <v>310</v>
      </c>
      <c r="N21" s="48" t="s">
        <v>71</v>
      </c>
      <c r="O21" s="48" t="s">
        <v>71</v>
      </c>
      <c r="P21" s="48" t="s">
        <v>71</v>
      </c>
      <c r="Q21" s="64">
        <v>45686</v>
      </c>
      <c r="R21" s="49"/>
      <c r="S21" s="66"/>
      <c r="T21" s="85"/>
      <c r="U21" s="100" t="s">
        <v>726</v>
      </c>
    </row>
    <row r="22" spans="2:22" ht="28.2" customHeight="1" x14ac:dyDescent="0.35">
      <c r="B22" s="125" t="s">
        <v>616</v>
      </c>
      <c r="C22" s="232" t="s">
        <v>574</v>
      </c>
      <c r="D22" s="232" t="s">
        <v>575</v>
      </c>
      <c r="E22" s="231">
        <f t="shared" si="0"/>
        <v>19</v>
      </c>
      <c r="F22" s="97" t="s">
        <v>576</v>
      </c>
      <c r="G22" s="91" t="s">
        <v>577</v>
      </c>
      <c r="H22" s="48" t="s">
        <v>310</v>
      </c>
      <c r="I22" s="48" t="s">
        <v>71</v>
      </c>
      <c r="J22" s="48" t="s">
        <v>71</v>
      </c>
      <c r="K22" s="48" t="s">
        <v>71</v>
      </c>
      <c r="L22" s="48" t="s">
        <v>310</v>
      </c>
      <c r="M22" s="48" t="s">
        <v>310</v>
      </c>
      <c r="N22" s="48" t="s">
        <v>71</v>
      </c>
      <c r="O22" s="48" t="s">
        <v>71</v>
      </c>
      <c r="P22" s="48" t="s">
        <v>71</v>
      </c>
      <c r="Q22" s="64">
        <v>45686</v>
      </c>
      <c r="R22" s="49"/>
      <c r="S22" s="66"/>
      <c r="T22" s="85"/>
      <c r="U22" s="341" t="s">
        <v>727</v>
      </c>
    </row>
    <row r="23" spans="2:22" ht="28.2" customHeight="1" x14ac:dyDescent="0.35">
      <c r="B23" s="122"/>
      <c r="C23" s="267" t="s">
        <v>578</v>
      </c>
      <c r="D23" s="325" t="s">
        <v>579</v>
      </c>
      <c r="E23" s="94">
        <f t="shared" si="0"/>
        <v>20</v>
      </c>
      <c r="F23" s="95" t="s">
        <v>580</v>
      </c>
      <c r="G23" s="96" t="s">
        <v>617</v>
      </c>
      <c r="H23" s="50" t="s">
        <v>71</v>
      </c>
      <c r="I23" s="50" t="s">
        <v>71</v>
      </c>
      <c r="J23" s="50" t="s">
        <v>71</v>
      </c>
      <c r="K23" s="50" t="s">
        <v>71</v>
      </c>
      <c r="L23" s="50" t="s">
        <v>71</v>
      </c>
      <c r="M23" s="50" t="s">
        <v>71</v>
      </c>
      <c r="N23" s="50" t="s">
        <v>71</v>
      </c>
      <c r="O23" s="50" t="s">
        <v>71</v>
      </c>
      <c r="P23" s="50" t="s">
        <v>71</v>
      </c>
      <c r="Q23" s="65"/>
      <c r="R23" s="51"/>
      <c r="S23" s="67"/>
      <c r="T23" s="322"/>
      <c r="U23" s="326" t="s">
        <v>698</v>
      </c>
    </row>
    <row r="24" spans="2:22" ht="26.4" x14ac:dyDescent="0.35">
      <c r="B24" s="122"/>
      <c r="C24" s="123"/>
      <c r="D24" s="325" t="s">
        <v>587</v>
      </c>
      <c r="E24" s="94">
        <f t="shared" si="0"/>
        <v>21</v>
      </c>
      <c r="F24" s="95" t="s">
        <v>580</v>
      </c>
      <c r="G24" s="96" t="s">
        <v>617</v>
      </c>
      <c r="H24" s="50" t="s">
        <v>71</v>
      </c>
      <c r="I24" s="50" t="s">
        <v>71</v>
      </c>
      <c r="J24" s="50" t="s">
        <v>71</v>
      </c>
      <c r="K24" s="50" t="s">
        <v>71</v>
      </c>
      <c r="L24" s="50" t="s">
        <v>71</v>
      </c>
      <c r="M24" s="50" t="s">
        <v>71</v>
      </c>
      <c r="N24" s="50" t="s">
        <v>71</v>
      </c>
      <c r="O24" s="50" t="s">
        <v>71</v>
      </c>
      <c r="P24" s="50" t="s">
        <v>71</v>
      </c>
      <c r="Q24" s="65"/>
      <c r="R24" s="51"/>
      <c r="S24" s="67"/>
      <c r="T24" s="322"/>
      <c r="U24" s="326" t="s">
        <v>728</v>
      </c>
    </row>
    <row r="25" spans="2:22" ht="26.4" x14ac:dyDescent="0.35">
      <c r="B25" s="122"/>
      <c r="C25" s="311"/>
      <c r="D25" s="227" t="s">
        <v>589</v>
      </c>
      <c r="E25" s="231">
        <f t="shared" si="0"/>
        <v>22</v>
      </c>
      <c r="F25" s="97" t="s">
        <v>586</v>
      </c>
      <c r="G25" s="91" t="s">
        <v>617</v>
      </c>
      <c r="H25" s="48" t="s">
        <v>310</v>
      </c>
      <c r="I25" s="48" t="s">
        <v>71</v>
      </c>
      <c r="J25" s="48" t="s">
        <v>71</v>
      </c>
      <c r="K25" s="48" t="s">
        <v>71</v>
      </c>
      <c r="L25" s="48" t="s">
        <v>310</v>
      </c>
      <c r="M25" s="48" t="s">
        <v>310</v>
      </c>
      <c r="N25" s="48" t="s">
        <v>71</v>
      </c>
      <c r="O25" s="48" t="s">
        <v>71</v>
      </c>
      <c r="P25" s="48" t="s">
        <v>71</v>
      </c>
      <c r="Q25" s="64">
        <v>45691</v>
      </c>
      <c r="R25" s="49"/>
      <c r="S25" s="66"/>
      <c r="T25" s="85"/>
      <c r="U25" s="101" t="s">
        <v>940</v>
      </c>
    </row>
    <row r="26" spans="2:22" ht="28.2" customHeight="1" x14ac:dyDescent="0.35">
      <c r="B26" s="122"/>
      <c r="C26" s="310"/>
      <c r="D26" s="227" t="s">
        <v>619</v>
      </c>
      <c r="E26" s="231">
        <f t="shared" si="0"/>
        <v>23</v>
      </c>
      <c r="F26" s="97" t="s">
        <v>580</v>
      </c>
      <c r="G26" s="91" t="s">
        <v>617</v>
      </c>
      <c r="H26" s="48" t="s">
        <v>310</v>
      </c>
      <c r="I26" s="48" t="s">
        <v>71</v>
      </c>
      <c r="J26" s="48" t="s">
        <v>71</v>
      </c>
      <c r="K26" s="48" t="s">
        <v>71</v>
      </c>
      <c r="L26" s="48" t="s">
        <v>310</v>
      </c>
      <c r="M26" s="48" t="s">
        <v>310</v>
      </c>
      <c r="N26" s="48" t="s">
        <v>71</v>
      </c>
      <c r="O26" s="48" t="s">
        <v>71</v>
      </c>
      <c r="P26" s="48" t="s">
        <v>71</v>
      </c>
      <c r="Q26" s="64">
        <v>45686</v>
      </c>
      <c r="R26" s="49"/>
      <c r="S26" s="66"/>
      <c r="T26" s="85"/>
      <c r="U26" s="103" t="s">
        <v>727</v>
      </c>
    </row>
    <row r="27" spans="2:22" ht="28.2" customHeight="1" x14ac:dyDescent="0.35">
      <c r="B27" s="122"/>
      <c r="C27" s="123"/>
      <c r="D27" s="227" t="s">
        <v>592</v>
      </c>
      <c r="E27" s="231">
        <f t="shared" si="0"/>
        <v>24</v>
      </c>
      <c r="F27" s="97" t="s">
        <v>586</v>
      </c>
      <c r="G27" s="91" t="s">
        <v>617</v>
      </c>
      <c r="H27" s="48" t="s">
        <v>310</v>
      </c>
      <c r="I27" s="48" t="s">
        <v>71</v>
      </c>
      <c r="J27" s="48" t="s">
        <v>71</v>
      </c>
      <c r="K27" s="48" t="s">
        <v>71</v>
      </c>
      <c r="L27" s="48" t="s">
        <v>310</v>
      </c>
      <c r="M27" s="48" t="s">
        <v>310</v>
      </c>
      <c r="N27" s="48" t="s">
        <v>71</v>
      </c>
      <c r="O27" s="48" t="s">
        <v>71</v>
      </c>
      <c r="P27" s="48" t="s">
        <v>71</v>
      </c>
      <c r="Q27" s="64">
        <v>45691</v>
      </c>
      <c r="R27" s="49"/>
      <c r="S27" s="66"/>
      <c r="T27" s="85"/>
      <c r="U27" s="101" t="s">
        <v>939</v>
      </c>
    </row>
    <row r="28" spans="2:22" ht="28.2" customHeight="1" x14ac:dyDescent="0.35">
      <c r="B28" s="122"/>
      <c r="C28" s="124" t="s">
        <v>593</v>
      </c>
      <c r="D28" s="327" t="s">
        <v>594</v>
      </c>
      <c r="E28" s="94">
        <f t="shared" si="0"/>
        <v>25</v>
      </c>
      <c r="F28" s="95" t="s">
        <v>595</v>
      </c>
      <c r="G28" s="96" t="s">
        <v>620</v>
      </c>
      <c r="H28" s="50" t="s">
        <v>71</v>
      </c>
      <c r="I28" s="50" t="s">
        <v>71</v>
      </c>
      <c r="J28" s="50" t="s">
        <v>71</v>
      </c>
      <c r="K28" s="50" t="s">
        <v>71</v>
      </c>
      <c r="L28" s="50" t="s">
        <v>71</v>
      </c>
      <c r="M28" s="50" t="s">
        <v>71</v>
      </c>
      <c r="N28" s="50" t="s">
        <v>71</v>
      </c>
      <c r="O28" s="50" t="s">
        <v>71</v>
      </c>
      <c r="P28" s="50" t="s">
        <v>71</v>
      </c>
      <c r="Q28" s="65"/>
      <c r="R28" s="51"/>
      <c r="S28" s="67"/>
      <c r="T28" s="322"/>
      <c r="U28" s="326" t="s">
        <v>698</v>
      </c>
      <c r="V28" s="126"/>
    </row>
    <row r="29" spans="2:22" ht="26.4" x14ac:dyDescent="0.35">
      <c r="B29" s="122"/>
      <c r="C29" s="267"/>
      <c r="D29" s="328" t="s">
        <v>598</v>
      </c>
      <c r="E29" s="94">
        <f t="shared" si="0"/>
        <v>26</v>
      </c>
      <c r="F29" s="95" t="s">
        <v>599</v>
      </c>
      <c r="G29" s="96" t="s">
        <v>620</v>
      </c>
      <c r="H29" s="50" t="s">
        <v>71</v>
      </c>
      <c r="I29" s="50" t="s">
        <v>71</v>
      </c>
      <c r="J29" s="50" t="s">
        <v>71</v>
      </c>
      <c r="K29" s="50" t="s">
        <v>71</v>
      </c>
      <c r="L29" s="50" t="s">
        <v>71</v>
      </c>
      <c r="M29" s="50" t="s">
        <v>71</v>
      </c>
      <c r="N29" s="50" t="s">
        <v>71</v>
      </c>
      <c r="O29" s="50" t="s">
        <v>71</v>
      </c>
      <c r="P29" s="50" t="s">
        <v>71</v>
      </c>
      <c r="Q29" s="329"/>
      <c r="R29" s="51"/>
      <c r="S29" s="67"/>
      <c r="T29" s="322"/>
      <c r="U29" s="326"/>
    </row>
    <row r="30" spans="2:22" ht="28.2" customHeight="1" x14ac:dyDescent="0.35">
      <c r="B30" s="122"/>
      <c r="C30" s="267"/>
      <c r="D30" s="267" t="s">
        <v>601</v>
      </c>
      <c r="E30" s="231">
        <f t="shared" si="0"/>
        <v>27</v>
      </c>
      <c r="F30" s="97" t="s">
        <v>602</v>
      </c>
      <c r="G30" s="91" t="s">
        <v>620</v>
      </c>
      <c r="H30" s="48" t="s">
        <v>310</v>
      </c>
      <c r="I30" s="48" t="s">
        <v>71</v>
      </c>
      <c r="J30" s="48" t="s">
        <v>71</v>
      </c>
      <c r="K30" s="48" t="s">
        <v>71</v>
      </c>
      <c r="L30" s="48" t="s">
        <v>310</v>
      </c>
      <c r="M30" s="48" t="s">
        <v>310</v>
      </c>
      <c r="N30" s="48" t="s">
        <v>71</v>
      </c>
      <c r="O30" s="48" t="s">
        <v>71</v>
      </c>
      <c r="P30" s="48" t="s">
        <v>71</v>
      </c>
      <c r="Q30" s="64">
        <v>45691</v>
      </c>
      <c r="R30" s="49"/>
      <c r="S30" s="66"/>
      <c r="T30" s="85"/>
      <c r="U30" s="101" t="s">
        <v>942</v>
      </c>
      <c r="V30" s="126"/>
    </row>
    <row r="31" spans="2:22" ht="28.95" customHeight="1" x14ac:dyDescent="0.35">
      <c r="B31" s="122"/>
      <c r="C31" s="123"/>
      <c r="D31" s="232" t="s">
        <v>941</v>
      </c>
      <c r="E31" s="231">
        <f t="shared" si="0"/>
        <v>28</v>
      </c>
      <c r="F31" s="97" t="s">
        <v>602</v>
      </c>
      <c r="G31" s="91" t="s">
        <v>620</v>
      </c>
      <c r="H31" s="48" t="s">
        <v>310</v>
      </c>
      <c r="I31" s="48" t="s">
        <v>71</v>
      </c>
      <c r="J31" s="48" t="s">
        <v>71</v>
      </c>
      <c r="K31" s="48" t="s">
        <v>71</v>
      </c>
      <c r="L31" s="48" t="s">
        <v>310</v>
      </c>
      <c r="M31" s="48" t="s">
        <v>310</v>
      </c>
      <c r="N31" s="48" t="s">
        <v>71</v>
      </c>
      <c r="O31" s="48" t="s">
        <v>71</v>
      </c>
      <c r="P31" s="48" t="s">
        <v>71</v>
      </c>
      <c r="Q31" s="64">
        <v>45691</v>
      </c>
      <c r="R31" s="49"/>
      <c r="S31" s="66"/>
      <c r="T31" s="85"/>
      <c r="U31" s="101" t="s">
        <v>943</v>
      </c>
    </row>
    <row r="32" spans="2:22" ht="28.2" customHeight="1" x14ac:dyDescent="0.35">
      <c r="B32" s="122"/>
      <c r="C32" s="124" t="s">
        <v>606</v>
      </c>
      <c r="D32" s="267" t="s">
        <v>607</v>
      </c>
      <c r="E32" s="231">
        <f t="shared" si="0"/>
        <v>29</v>
      </c>
      <c r="F32" s="97" t="s">
        <v>608</v>
      </c>
      <c r="G32" s="91" t="s">
        <v>621</v>
      </c>
      <c r="H32" s="48" t="s">
        <v>310</v>
      </c>
      <c r="I32" s="48" t="s">
        <v>71</v>
      </c>
      <c r="J32" s="48" t="s">
        <v>71</v>
      </c>
      <c r="K32" s="48" t="s">
        <v>71</v>
      </c>
      <c r="L32" s="48" t="s">
        <v>310</v>
      </c>
      <c r="M32" s="48" t="s">
        <v>310</v>
      </c>
      <c r="N32" s="48" t="s">
        <v>71</v>
      </c>
      <c r="O32" s="48" t="s">
        <v>71</v>
      </c>
      <c r="P32" s="48" t="s">
        <v>71</v>
      </c>
      <c r="Q32" s="64">
        <v>45686</v>
      </c>
      <c r="R32" s="49"/>
      <c r="S32" s="66"/>
      <c r="T32" s="85"/>
      <c r="U32" s="100" t="s">
        <v>729</v>
      </c>
    </row>
    <row r="33" spans="2:22" ht="28.2" customHeight="1" x14ac:dyDescent="0.35">
      <c r="B33" s="122"/>
      <c r="C33" s="267"/>
      <c r="D33" s="267"/>
      <c r="E33" s="231">
        <f t="shared" si="0"/>
        <v>30</v>
      </c>
      <c r="F33" s="97" t="s">
        <v>610</v>
      </c>
      <c r="G33" s="91" t="s">
        <v>621</v>
      </c>
      <c r="H33" s="48" t="s">
        <v>310</v>
      </c>
      <c r="I33" s="48" t="s">
        <v>71</v>
      </c>
      <c r="J33" s="48" t="s">
        <v>71</v>
      </c>
      <c r="K33" s="48" t="s">
        <v>71</v>
      </c>
      <c r="L33" s="48" t="s">
        <v>310</v>
      </c>
      <c r="M33" s="48" t="s">
        <v>310</v>
      </c>
      <c r="N33" s="48" t="s">
        <v>71</v>
      </c>
      <c r="O33" s="48" t="s">
        <v>71</v>
      </c>
      <c r="P33" s="48" t="s">
        <v>71</v>
      </c>
      <c r="Q33" s="64">
        <v>45686</v>
      </c>
      <c r="R33" s="49"/>
      <c r="S33" s="66"/>
      <c r="T33" s="85"/>
      <c r="U33" s="100" t="s">
        <v>730</v>
      </c>
    </row>
    <row r="34" spans="2:22" ht="28.2" customHeight="1" x14ac:dyDescent="0.35">
      <c r="B34" s="122"/>
      <c r="C34" s="123"/>
      <c r="D34" s="270" t="s">
        <v>612</v>
      </c>
      <c r="E34" s="231">
        <f t="shared" si="0"/>
        <v>31</v>
      </c>
      <c r="F34" s="97" t="s">
        <v>614</v>
      </c>
      <c r="G34" s="91" t="s">
        <v>621</v>
      </c>
      <c r="H34" s="48" t="s">
        <v>310</v>
      </c>
      <c r="I34" s="48" t="s">
        <v>71</v>
      </c>
      <c r="J34" s="48" t="s">
        <v>71</v>
      </c>
      <c r="K34" s="48" t="s">
        <v>71</v>
      </c>
      <c r="L34" s="48" t="s">
        <v>310</v>
      </c>
      <c r="M34" s="48" t="s">
        <v>310</v>
      </c>
      <c r="N34" s="48" t="s">
        <v>71</v>
      </c>
      <c r="O34" s="48" t="s">
        <v>71</v>
      </c>
      <c r="P34" s="48" t="s">
        <v>71</v>
      </c>
      <c r="Q34" s="64">
        <v>45686</v>
      </c>
      <c r="R34" s="49"/>
      <c r="S34" s="66"/>
      <c r="T34" s="85"/>
      <c r="U34" s="100" t="s">
        <v>731</v>
      </c>
    </row>
    <row r="35" spans="2:22" ht="28.2" customHeight="1" x14ac:dyDescent="0.35">
      <c r="B35" s="122"/>
      <c r="C35" s="267"/>
      <c r="D35" s="267"/>
      <c r="E35" s="231">
        <f t="shared" si="0"/>
        <v>32</v>
      </c>
      <c r="F35" s="97" t="s">
        <v>615</v>
      </c>
      <c r="G35" s="91" t="s">
        <v>621</v>
      </c>
      <c r="H35" s="48" t="s">
        <v>310</v>
      </c>
      <c r="I35" s="48" t="s">
        <v>71</v>
      </c>
      <c r="J35" s="48" t="s">
        <v>71</v>
      </c>
      <c r="K35" s="48" t="s">
        <v>71</v>
      </c>
      <c r="L35" s="48" t="s">
        <v>310</v>
      </c>
      <c r="M35" s="48" t="s">
        <v>310</v>
      </c>
      <c r="N35" s="48" t="s">
        <v>71</v>
      </c>
      <c r="O35" s="48" t="s">
        <v>71</v>
      </c>
      <c r="P35" s="48" t="s">
        <v>71</v>
      </c>
      <c r="Q35" s="64">
        <v>45686</v>
      </c>
      <c r="R35" s="49"/>
      <c r="S35" s="66"/>
      <c r="T35" s="85"/>
      <c r="U35" s="100" t="s">
        <v>732</v>
      </c>
    </row>
    <row r="36" spans="2:22" ht="28.2" customHeight="1" x14ac:dyDescent="0.35">
      <c r="B36" s="125" t="s">
        <v>623</v>
      </c>
      <c r="C36" s="268" t="s">
        <v>570</v>
      </c>
      <c r="D36" s="233"/>
      <c r="E36" s="231">
        <f t="shared" si="0"/>
        <v>33</v>
      </c>
      <c r="F36" s="97" t="s">
        <v>624</v>
      </c>
      <c r="G36" s="91" t="s">
        <v>625</v>
      </c>
      <c r="H36" s="48" t="s">
        <v>310</v>
      </c>
      <c r="I36" s="48" t="s">
        <v>71</v>
      </c>
      <c r="J36" s="48" t="s">
        <v>71</v>
      </c>
      <c r="K36" s="48" t="s">
        <v>71</v>
      </c>
      <c r="L36" s="48" t="s">
        <v>71</v>
      </c>
      <c r="M36" s="48" t="s">
        <v>71</v>
      </c>
      <c r="N36" s="48" t="s">
        <v>71</v>
      </c>
      <c r="O36" s="48" t="s">
        <v>310</v>
      </c>
      <c r="P36" s="48" t="s">
        <v>71</v>
      </c>
      <c r="Q36" s="64">
        <v>45686</v>
      </c>
      <c r="R36" s="49"/>
      <c r="S36" s="66"/>
      <c r="T36" s="85"/>
      <c r="U36" s="100"/>
    </row>
    <row r="37" spans="2:22" ht="28.2" customHeight="1" x14ac:dyDescent="0.35">
      <c r="B37" s="122"/>
      <c r="C37" s="269" t="s">
        <v>626</v>
      </c>
      <c r="D37" s="233" t="s">
        <v>627</v>
      </c>
      <c r="E37" s="231">
        <f t="shared" si="0"/>
        <v>34</v>
      </c>
      <c r="F37" s="97" t="s">
        <v>576</v>
      </c>
      <c r="G37" s="91" t="s">
        <v>628</v>
      </c>
      <c r="H37" s="48" t="s">
        <v>310</v>
      </c>
      <c r="I37" s="48" t="s">
        <v>71</v>
      </c>
      <c r="J37" s="48" t="s">
        <v>71</v>
      </c>
      <c r="K37" s="48" t="s">
        <v>71</v>
      </c>
      <c r="L37" s="48" t="s">
        <v>310</v>
      </c>
      <c r="M37" s="48" t="s">
        <v>310</v>
      </c>
      <c r="N37" s="48" t="s">
        <v>71</v>
      </c>
      <c r="O37" s="48" t="s">
        <v>310</v>
      </c>
      <c r="P37" s="48" t="s">
        <v>71</v>
      </c>
      <c r="Q37" s="64">
        <v>45686</v>
      </c>
      <c r="R37" s="49"/>
      <c r="S37" s="66"/>
      <c r="T37" s="85"/>
      <c r="U37" s="103" t="s">
        <v>733</v>
      </c>
    </row>
    <row r="38" spans="2:22" ht="28.2" customHeight="1" x14ac:dyDescent="0.35">
      <c r="B38" s="122"/>
      <c r="C38" s="267"/>
      <c r="D38" s="230" t="s">
        <v>629</v>
      </c>
      <c r="E38" s="231">
        <f t="shared" si="0"/>
        <v>35</v>
      </c>
      <c r="F38" s="97" t="s">
        <v>630</v>
      </c>
      <c r="G38" s="91" t="s">
        <v>628</v>
      </c>
      <c r="H38" s="48" t="s">
        <v>310</v>
      </c>
      <c r="I38" s="48" t="s">
        <v>71</v>
      </c>
      <c r="J38" s="48" t="s">
        <v>71</v>
      </c>
      <c r="K38" s="48" t="s">
        <v>71</v>
      </c>
      <c r="L38" s="48" t="s">
        <v>310</v>
      </c>
      <c r="M38" s="48" t="s">
        <v>310</v>
      </c>
      <c r="N38" s="48" t="s">
        <v>71</v>
      </c>
      <c r="O38" s="48" t="s">
        <v>310</v>
      </c>
      <c r="P38" s="48" t="s">
        <v>71</v>
      </c>
      <c r="Q38" s="64">
        <v>45686</v>
      </c>
      <c r="R38" s="49"/>
      <c r="S38" s="66"/>
      <c r="T38" s="85"/>
      <c r="U38" s="100" t="s">
        <v>734</v>
      </c>
    </row>
    <row r="39" spans="2:22" ht="28.2" customHeight="1" x14ac:dyDescent="0.35">
      <c r="B39" s="122"/>
      <c r="C39" s="123"/>
      <c r="D39" s="230" t="s">
        <v>631</v>
      </c>
      <c r="E39" s="231">
        <f t="shared" si="0"/>
        <v>36</v>
      </c>
      <c r="F39" s="97" t="s">
        <v>632</v>
      </c>
      <c r="G39" s="91" t="s">
        <v>628</v>
      </c>
      <c r="H39" s="48" t="s">
        <v>310</v>
      </c>
      <c r="I39" s="48" t="s">
        <v>71</v>
      </c>
      <c r="J39" s="48" t="s">
        <v>71</v>
      </c>
      <c r="K39" s="48" t="s">
        <v>71</v>
      </c>
      <c r="L39" s="48" t="s">
        <v>310</v>
      </c>
      <c r="M39" s="48" t="s">
        <v>310</v>
      </c>
      <c r="N39" s="48" t="s">
        <v>71</v>
      </c>
      <c r="O39" s="48" t="s">
        <v>310</v>
      </c>
      <c r="P39" s="48" t="s">
        <v>71</v>
      </c>
      <c r="Q39" s="64">
        <v>45686</v>
      </c>
      <c r="R39" s="49"/>
      <c r="S39" s="66"/>
      <c r="T39" s="85"/>
      <c r="U39" s="100" t="s">
        <v>735</v>
      </c>
    </row>
    <row r="40" spans="2:22" ht="28.2" customHeight="1" x14ac:dyDescent="0.35">
      <c r="B40" s="122"/>
      <c r="C40" s="270" t="s">
        <v>633</v>
      </c>
      <c r="D40" s="233" t="s">
        <v>627</v>
      </c>
      <c r="E40" s="231">
        <f t="shared" si="0"/>
        <v>37</v>
      </c>
      <c r="F40" s="97" t="s">
        <v>576</v>
      </c>
      <c r="G40" s="91" t="s">
        <v>634</v>
      </c>
      <c r="H40" s="48" t="s">
        <v>310</v>
      </c>
      <c r="I40" s="48" t="s">
        <v>71</v>
      </c>
      <c r="J40" s="48" t="s">
        <v>71</v>
      </c>
      <c r="K40" s="48" t="s">
        <v>71</v>
      </c>
      <c r="L40" s="48" t="s">
        <v>310</v>
      </c>
      <c r="M40" s="48" t="s">
        <v>310</v>
      </c>
      <c r="N40" s="48" t="s">
        <v>71</v>
      </c>
      <c r="O40" s="48" t="s">
        <v>310</v>
      </c>
      <c r="P40" s="48" t="s">
        <v>71</v>
      </c>
      <c r="Q40" s="64">
        <v>45686</v>
      </c>
      <c r="R40" s="49"/>
      <c r="S40" s="66"/>
      <c r="T40" s="85"/>
      <c r="U40" s="103" t="s">
        <v>733</v>
      </c>
    </row>
    <row r="41" spans="2:22" ht="28.2" customHeight="1" x14ac:dyDescent="0.35">
      <c r="B41" s="122"/>
      <c r="C41" s="123"/>
      <c r="D41" s="230" t="s">
        <v>629</v>
      </c>
      <c r="E41" s="231">
        <f t="shared" si="0"/>
        <v>38</v>
      </c>
      <c r="F41" s="97" t="s">
        <v>630</v>
      </c>
      <c r="G41" s="91" t="s">
        <v>634</v>
      </c>
      <c r="H41" s="48" t="s">
        <v>310</v>
      </c>
      <c r="I41" s="48" t="s">
        <v>71</v>
      </c>
      <c r="J41" s="48" t="s">
        <v>71</v>
      </c>
      <c r="K41" s="48" t="s">
        <v>71</v>
      </c>
      <c r="L41" s="48" t="s">
        <v>310</v>
      </c>
      <c r="M41" s="48" t="s">
        <v>310</v>
      </c>
      <c r="N41" s="48" t="s">
        <v>71</v>
      </c>
      <c r="O41" s="48" t="s">
        <v>310</v>
      </c>
      <c r="P41" s="48" t="s">
        <v>71</v>
      </c>
      <c r="Q41" s="64">
        <v>45686</v>
      </c>
      <c r="R41" s="49"/>
      <c r="S41" s="66"/>
      <c r="T41" s="85"/>
      <c r="U41" s="100" t="s">
        <v>734</v>
      </c>
    </row>
    <row r="42" spans="2:22" ht="28.2" customHeight="1" x14ac:dyDescent="0.35">
      <c r="B42" s="122"/>
      <c r="C42" s="123"/>
      <c r="D42" s="230" t="s">
        <v>631</v>
      </c>
      <c r="E42" s="231">
        <f t="shared" si="0"/>
        <v>39</v>
      </c>
      <c r="F42" s="97" t="s">
        <v>632</v>
      </c>
      <c r="G42" s="91" t="s">
        <v>634</v>
      </c>
      <c r="H42" s="48" t="s">
        <v>310</v>
      </c>
      <c r="I42" s="48" t="s">
        <v>71</v>
      </c>
      <c r="J42" s="48" t="s">
        <v>71</v>
      </c>
      <c r="K42" s="48" t="s">
        <v>71</v>
      </c>
      <c r="L42" s="48" t="s">
        <v>310</v>
      </c>
      <c r="M42" s="48" t="s">
        <v>310</v>
      </c>
      <c r="N42" s="48" t="s">
        <v>71</v>
      </c>
      <c r="O42" s="48" t="s">
        <v>310</v>
      </c>
      <c r="P42" s="48" t="s">
        <v>71</v>
      </c>
      <c r="Q42" s="64">
        <v>45686</v>
      </c>
      <c r="R42" s="49"/>
      <c r="S42" s="66"/>
      <c r="T42" s="85"/>
      <c r="U42" s="100" t="s">
        <v>736</v>
      </c>
      <c r="V42" s="126"/>
    </row>
    <row r="43" spans="2:22" ht="28.2" customHeight="1" x14ac:dyDescent="0.35">
      <c r="B43" s="122"/>
      <c r="C43" s="270" t="s">
        <v>635</v>
      </c>
      <c r="D43" s="233" t="s">
        <v>627</v>
      </c>
      <c r="E43" s="231">
        <f t="shared" si="0"/>
        <v>40</v>
      </c>
      <c r="F43" s="97" t="s">
        <v>576</v>
      </c>
      <c r="G43" s="91" t="s">
        <v>636</v>
      </c>
      <c r="H43" s="48" t="s">
        <v>310</v>
      </c>
      <c r="I43" s="48" t="s">
        <v>71</v>
      </c>
      <c r="J43" s="48" t="s">
        <v>71</v>
      </c>
      <c r="K43" s="48" t="s">
        <v>71</v>
      </c>
      <c r="L43" s="48" t="s">
        <v>310</v>
      </c>
      <c r="M43" s="48" t="s">
        <v>310</v>
      </c>
      <c r="N43" s="48" t="s">
        <v>71</v>
      </c>
      <c r="O43" s="48" t="s">
        <v>310</v>
      </c>
      <c r="P43" s="48" t="s">
        <v>71</v>
      </c>
      <c r="Q43" s="64">
        <v>45686</v>
      </c>
      <c r="R43" s="49"/>
      <c r="S43" s="66"/>
      <c r="T43" s="85"/>
      <c r="U43" s="103" t="s">
        <v>733</v>
      </c>
      <c r="V43" s="126"/>
    </row>
    <row r="44" spans="2:22" ht="28.2" customHeight="1" x14ac:dyDescent="0.35">
      <c r="B44" s="122"/>
      <c r="C44" s="123"/>
      <c r="D44" s="230" t="s">
        <v>629</v>
      </c>
      <c r="E44" s="231">
        <f t="shared" si="0"/>
        <v>41</v>
      </c>
      <c r="F44" s="97" t="s">
        <v>630</v>
      </c>
      <c r="G44" s="91" t="s">
        <v>636</v>
      </c>
      <c r="H44" s="48" t="s">
        <v>310</v>
      </c>
      <c r="I44" s="48" t="s">
        <v>71</v>
      </c>
      <c r="J44" s="48" t="s">
        <v>71</v>
      </c>
      <c r="K44" s="48" t="s">
        <v>71</v>
      </c>
      <c r="L44" s="48" t="s">
        <v>310</v>
      </c>
      <c r="M44" s="48" t="s">
        <v>310</v>
      </c>
      <c r="N44" s="48" t="s">
        <v>71</v>
      </c>
      <c r="O44" s="48" t="s">
        <v>310</v>
      </c>
      <c r="P44" s="48" t="s">
        <v>71</v>
      </c>
      <c r="Q44" s="64">
        <v>45686</v>
      </c>
      <c r="R44" s="49"/>
      <c r="S44" s="66"/>
      <c r="T44" s="85"/>
      <c r="U44" s="103" t="s">
        <v>737</v>
      </c>
      <c r="V44" s="126"/>
    </row>
    <row r="45" spans="2:22" ht="28.2" customHeight="1" x14ac:dyDescent="0.35">
      <c r="B45" s="122"/>
      <c r="C45" s="123"/>
      <c r="D45" s="230" t="s">
        <v>631</v>
      </c>
      <c r="E45" s="231">
        <f t="shared" si="0"/>
        <v>42</v>
      </c>
      <c r="F45" s="97" t="s">
        <v>632</v>
      </c>
      <c r="G45" s="91" t="s">
        <v>636</v>
      </c>
      <c r="H45" s="48" t="s">
        <v>310</v>
      </c>
      <c r="I45" s="48" t="s">
        <v>71</v>
      </c>
      <c r="J45" s="48" t="s">
        <v>71</v>
      </c>
      <c r="K45" s="48" t="s">
        <v>71</v>
      </c>
      <c r="L45" s="48" t="s">
        <v>310</v>
      </c>
      <c r="M45" s="48" t="s">
        <v>310</v>
      </c>
      <c r="N45" s="48" t="s">
        <v>71</v>
      </c>
      <c r="O45" s="48" t="s">
        <v>310</v>
      </c>
      <c r="P45" s="48" t="s">
        <v>71</v>
      </c>
      <c r="Q45" s="64">
        <v>45686</v>
      </c>
      <c r="R45" s="49"/>
      <c r="S45" s="66"/>
      <c r="T45" s="85"/>
      <c r="U45" s="100" t="s">
        <v>738</v>
      </c>
      <c r="V45" s="126"/>
    </row>
    <row r="46" spans="2:22" ht="28.2" customHeight="1" x14ac:dyDescent="0.35">
      <c r="B46" s="122"/>
      <c r="C46" s="124" t="s">
        <v>271</v>
      </c>
      <c r="D46" s="233" t="s">
        <v>627</v>
      </c>
      <c r="E46" s="231">
        <f t="shared" si="0"/>
        <v>43</v>
      </c>
      <c r="F46" s="97" t="s">
        <v>576</v>
      </c>
      <c r="G46" s="91" t="s">
        <v>637</v>
      </c>
      <c r="H46" s="48" t="s">
        <v>310</v>
      </c>
      <c r="I46" s="48" t="s">
        <v>71</v>
      </c>
      <c r="J46" s="48" t="s">
        <v>71</v>
      </c>
      <c r="K46" s="48" t="s">
        <v>71</v>
      </c>
      <c r="L46" s="48" t="s">
        <v>310</v>
      </c>
      <c r="M46" s="48" t="s">
        <v>310</v>
      </c>
      <c r="N46" s="48" t="s">
        <v>71</v>
      </c>
      <c r="O46" s="48" t="s">
        <v>310</v>
      </c>
      <c r="P46" s="48" t="s">
        <v>71</v>
      </c>
      <c r="Q46" s="64">
        <v>45686</v>
      </c>
      <c r="R46" s="49"/>
      <c r="S46" s="66"/>
      <c r="T46" s="85"/>
      <c r="U46" s="100" t="s">
        <v>739</v>
      </c>
    </row>
    <row r="47" spans="2:22" ht="28.2" customHeight="1" x14ac:dyDescent="0.35">
      <c r="B47" s="122"/>
      <c r="C47" s="123"/>
      <c r="D47" s="230" t="s">
        <v>629</v>
      </c>
      <c r="E47" s="231">
        <f t="shared" si="0"/>
        <v>44</v>
      </c>
      <c r="F47" s="97" t="s">
        <v>630</v>
      </c>
      <c r="G47" s="91" t="s">
        <v>637</v>
      </c>
      <c r="H47" s="48" t="s">
        <v>310</v>
      </c>
      <c r="I47" s="48" t="s">
        <v>71</v>
      </c>
      <c r="J47" s="48" t="s">
        <v>71</v>
      </c>
      <c r="K47" s="48" t="s">
        <v>71</v>
      </c>
      <c r="L47" s="48" t="s">
        <v>310</v>
      </c>
      <c r="M47" s="48" t="s">
        <v>310</v>
      </c>
      <c r="N47" s="48" t="s">
        <v>71</v>
      </c>
      <c r="O47" s="48" t="s">
        <v>310</v>
      </c>
      <c r="P47" s="48" t="s">
        <v>71</v>
      </c>
      <c r="Q47" s="64">
        <v>45686</v>
      </c>
      <c r="R47" s="49"/>
      <c r="S47" s="66"/>
      <c r="T47" s="85"/>
      <c r="U47" s="100" t="s">
        <v>740</v>
      </c>
      <c r="V47" s="126"/>
    </row>
    <row r="48" spans="2:22" ht="28.2" customHeight="1" x14ac:dyDescent="0.35">
      <c r="B48" s="122"/>
      <c r="C48" s="227"/>
      <c r="D48" s="230" t="s">
        <v>631</v>
      </c>
      <c r="E48" s="231">
        <f t="shared" si="0"/>
        <v>45</v>
      </c>
      <c r="F48" s="97" t="s">
        <v>632</v>
      </c>
      <c r="G48" s="91" t="s">
        <v>637</v>
      </c>
      <c r="H48" s="48" t="s">
        <v>310</v>
      </c>
      <c r="I48" s="48" t="s">
        <v>71</v>
      </c>
      <c r="J48" s="48" t="s">
        <v>71</v>
      </c>
      <c r="K48" s="48" t="s">
        <v>71</v>
      </c>
      <c r="L48" s="48" t="s">
        <v>310</v>
      </c>
      <c r="M48" s="48" t="s">
        <v>310</v>
      </c>
      <c r="N48" s="48" t="s">
        <v>71</v>
      </c>
      <c r="O48" s="48" t="s">
        <v>310</v>
      </c>
      <c r="P48" s="48" t="s">
        <v>71</v>
      </c>
      <c r="Q48" s="64">
        <v>45686</v>
      </c>
      <c r="R48" s="49"/>
      <c r="S48" s="66"/>
      <c r="T48" s="85"/>
      <c r="U48" s="100" t="s">
        <v>741</v>
      </c>
      <c r="V48" s="126"/>
    </row>
    <row r="49" spans="2:22" ht="28.2" customHeight="1" x14ac:dyDescent="0.35">
      <c r="B49" s="122"/>
      <c r="C49" s="124" t="s">
        <v>638</v>
      </c>
      <c r="D49" s="327" t="s">
        <v>742</v>
      </c>
      <c r="E49" s="94">
        <f t="shared" si="0"/>
        <v>46</v>
      </c>
      <c r="F49" s="95" t="s">
        <v>640</v>
      </c>
      <c r="G49" s="96" t="s">
        <v>709</v>
      </c>
      <c r="H49" s="50" t="s">
        <v>71</v>
      </c>
      <c r="I49" s="50" t="s">
        <v>71</v>
      </c>
      <c r="J49" s="50" t="s">
        <v>71</v>
      </c>
      <c r="K49" s="50" t="s">
        <v>71</v>
      </c>
      <c r="L49" s="50" t="s">
        <v>71</v>
      </c>
      <c r="M49" s="50" t="s">
        <v>71</v>
      </c>
      <c r="N49" s="50" t="s">
        <v>71</v>
      </c>
      <c r="O49" s="50" t="s">
        <v>71</v>
      </c>
      <c r="P49" s="50" t="s">
        <v>71</v>
      </c>
      <c r="Q49" s="65"/>
      <c r="R49" s="51"/>
      <c r="S49" s="67"/>
      <c r="T49" s="322"/>
      <c r="U49" s="326" t="s">
        <v>714</v>
      </c>
      <c r="V49" s="126"/>
    </row>
    <row r="50" spans="2:22" ht="28.2" customHeight="1" x14ac:dyDescent="0.35">
      <c r="B50" s="122"/>
      <c r="C50" s="267"/>
      <c r="D50" s="232" t="s">
        <v>743</v>
      </c>
      <c r="E50" s="231">
        <f t="shared" si="0"/>
        <v>47</v>
      </c>
      <c r="F50" s="97" t="s">
        <v>644</v>
      </c>
      <c r="G50" s="91" t="s">
        <v>641</v>
      </c>
      <c r="H50" s="48" t="s">
        <v>310</v>
      </c>
      <c r="I50" s="48" t="s">
        <v>71</v>
      </c>
      <c r="J50" s="48" t="s">
        <v>71</v>
      </c>
      <c r="K50" s="48" t="s">
        <v>310</v>
      </c>
      <c r="L50" s="48" t="s">
        <v>310</v>
      </c>
      <c r="M50" s="48" t="s">
        <v>310</v>
      </c>
      <c r="N50" s="48" t="s">
        <v>71</v>
      </c>
      <c r="O50" s="48" t="s">
        <v>310</v>
      </c>
      <c r="P50" s="48" t="s">
        <v>71</v>
      </c>
      <c r="Q50" s="64">
        <v>45686</v>
      </c>
      <c r="R50" s="49"/>
      <c r="S50" s="66"/>
      <c r="T50" s="85"/>
      <c r="U50" s="100" t="s">
        <v>744</v>
      </c>
    </row>
    <row r="51" spans="2:22" ht="28.95" customHeight="1" x14ac:dyDescent="0.35">
      <c r="B51" s="122"/>
      <c r="C51" s="123"/>
      <c r="D51" s="232" t="s">
        <v>745</v>
      </c>
      <c r="E51" s="231">
        <f t="shared" si="0"/>
        <v>48</v>
      </c>
      <c r="F51" s="97" t="s">
        <v>646</v>
      </c>
      <c r="G51" s="91" t="s">
        <v>647</v>
      </c>
      <c r="H51" s="48" t="s">
        <v>310</v>
      </c>
      <c r="I51" s="48" t="s">
        <v>71</v>
      </c>
      <c r="J51" s="48" t="s">
        <v>71</v>
      </c>
      <c r="K51" s="48" t="s">
        <v>310</v>
      </c>
      <c r="L51" s="48" t="s">
        <v>310</v>
      </c>
      <c r="M51" s="48" t="s">
        <v>310</v>
      </c>
      <c r="N51" s="48" t="s">
        <v>71</v>
      </c>
      <c r="O51" s="48" t="s">
        <v>310</v>
      </c>
      <c r="P51" s="48" t="s">
        <v>71</v>
      </c>
      <c r="Q51" s="64">
        <v>45686</v>
      </c>
      <c r="R51" s="49"/>
      <c r="S51" s="66"/>
      <c r="T51" s="85"/>
      <c r="U51" s="100" t="s">
        <v>746</v>
      </c>
    </row>
    <row r="52" spans="2:22" ht="28.2" customHeight="1" x14ac:dyDescent="0.35">
      <c r="B52" s="122"/>
      <c r="C52" s="124" t="s">
        <v>648</v>
      </c>
      <c r="D52" s="327" t="s">
        <v>570</v>
      </c>
      <c r="E52" s="94">
        <f t="shared" si="0"/>
        <v>49</v>
      </c>
      <c r="F52" s="95" t="s">
        <v>649</v>
      </c>
      <c r="G52" s="96" t="s">
        <v>650</v>
      </c>
      <c r="H52" s="50" t="s">
        <v>71</v>
      </c>
      <c r="I52" s="50" t="s">
        <v>71</v>
      </c>
      <c r="J52" s="50" t="s">
        <v>71</v>
      </c>
      <c r="K52" s="50" t="s">
        <v>71</v>
      </c>
      <c r="L52" s="50" t="s">
        <v>71</v>
      </c>
      <c r="M52" s="50" t="s">
        <v>71</v>
      </c>
      <c r="N52" s="50" t="s">
        <v>71</v>
      </c>
      <c r="O52" s="50" t="s">
        <v>71</v>
      </c>
      <c r="P52" s="50" t="s">
        <v>71</v>
      </c>
      <c r="Q52" s="65"/>
      <c r="R52" s="51"/>
      <c r="S52" s="67"/>
      <c r="T52" s="322"/>
      <c r="U52" s="326" t="s">
        <v>714</v>
      </c>
      <c r="V52" s="126"/>
    </row>
    <row r="53" spans="2:22" ht="28.2" customHeight="1" x14ac:dyDescent="0.35">
      <c r="B53" s="122"/>
      <c r="C53" s="267"/>
      <c r="D53" s="270" t="s">
        <v>651</v>
      </c>
      <c r="E53" s="231">
        <f t="shared" si="0"/>
        <v>50</v>
      </c>
      <c r="F53" s="97" t="s">
        <v>630</v>
      </c>
      <c r="G53" s="91" t="s">
        <v>652</v>
      </c>
      <c r="H53" s="48" t="s">
        <v>310</v>
      </c>
      <c r="I53" s="48" t="s">
        <v>71</v>
      </c>
      <c r="J53" s="48" t="s">
        <v>71</v>
      </c>
      <c r="K53" s="48" t="s">
        <v>310</v>
      </c>
      <c r="L53" s="48" t="s">
        <v>310</v>
      </c>
      <c r="M53" s="48" t="s">
        <v>310</v>
      </c>
      <c r="N53" s="48" t="s">
        <v>71</v>
      </c>
      <c r="O53" s="48" t="s">
        <v>310</v>
      </c>
      <c r="P53" s="48" t="s">
        <v>71</v>
      </c>
      <c r="Q53" s="64">
        <v>45687</v>
      </c>
      <c r="R53" s="49"/>
      <c r="S53" s="66"/>
      <c r="T53" s="85"/>
      <c r="U53" s="100" t="s">
        <v>747</v>
      </c>
    </row>
    <row r="54" spans="2:22" ht="28.95" customHeight="1" x14ac:dyDescent="0.35">
      <c r="B54" s="122"/>
      <c r="C54" s="123"/>
      <c r="D54" s="227"/>
      <c r="E54" s="231">
        <f t="shared" si="0"/>
        <v>51</v>
      </c>
      <c r="F54" s="97" t="s">
        <v>576</v>
      </c>
      <c r="G54" s="91" t="s">
        <v>653</v>
      </c>
      <c r="H54" s="48" t="s">
        <v>310</v>
      </c>
      <c r="I54" s="48" t="s">
        <v>71</v>
      </c>
      <c r="J54" s="48" t="s">
        <v>71</v>
      </c>
      <c r="K54" s="48" t="s">
        <v>310</v>
      </c>
      <c r="L54" s="48" t="s">
        <v>310</v>
      </c>
      <c r="M54" s="48" t="s">
        <v>310</v>
      </c>
      <c r="N54" s="48" t="s">
        <v>71</v>
      </c>
      <c r="O54" s="48" t="s">
        <v>310</v>
      </c>
      <c r="P54" s="48" t="s">
        <v>71</v>
      </c>
      <c r="Q54" s="64">
        <v>45687</v>
      </c>
      <c r="R54" s="49"/>
      <c r="S54" s="66"/>
      <c r="T54" s="85"/>
      <c r="U54" s="100" t="s">
        <v>748</v>
      </c>
    </row>
    <row r="55" spans="2:22" ht="28.2" customHeight="1" x14ac:dyDescent="0.35">
      <c r="B55" s="276" t="s">
        <v>654</v>
      </c>
      <c r="C55" s="292" t="s">
        <v>655</v>
      </c>
      <c r="D55" s="278" t="s">
        <v>656</v>
      </c>
      <c r="E55" s="279">
        <f t="shared" ref="E55:E72" si="1">ROW()-3</f>
        <v>52</v>
      </c>
      <c r="F55" s="280" t="s">
        <v>657</v>
      </c>
      <c r="G55" s="281" t="s">
        <v>658</v>
      </c>
      <c r="H55" s="282" t="s">
        <v>71</v>
      </c>
      <c r="I55" s="282" t="s">
        <v>71</v>
      </c>
      <c r="J55" s="282" t="s">
        <v>71</v>
      </c>
      <c r="K55" s="282" t="s">
        <v>71</v>
      </c>
      <c r="L55" s="282" t="s">
        <v>71</v>
      </c>
      <c r="M55" s="282" t="s">
        <v>71</v>
      </c>
      <c r="N55" s="282" t="s">
        <v>71</v>
      </c>
      <c r="O55" s="282" t="s">
        <v>71</v>
      </c>
      <c r="P55" s="283" t="s">
        <v>71</v>
      </c>
      <c r="Q55" s="284"/>
      <c r="R55" s="285"/>
      <c r="S55" s="286"/>
      <c r="T55" s="287"/>
      <c r="U55" s="288"/>
      <c r="V55" s="126"/>
    </row>
    <row r="56" spans="2:22" ht="28.2" customHeight="1" x14ac:dyDescent="0.35">
      <c r="B56" s="289" t="s">
        <v>659</v>
      </c>
      <c r="C56" s="277"/>
      <c r="D56" s="290" t="s">
        <v>664</v>
      </c>
      <c r="E56" s="279">
        <f t="shared" si="1"/>
        <v>53</v>
      </c>
      <c r="F56" s="280" t="s">
        <v>664</v>
      </c>
      <c r="G56" s="281" t="s">
        <v>662</v>
      </c>
      <c r="H56" s="282" t="s">
        <v>71</v>
      </c>
      <c r="I56" s="282" t="s">
        <v>71</v>
      </c>
      <c r="J56" s="282" t="s">
        <v>71</v>
      </c>
      <c r="K56" s="282" t="s">
        <v>71</v>
      </c>
      <c r="L56" s="282" t="s">
        <v>71</v>
      </c>
      <c r="M56" s="282" t="s">
        <v>71</v>
      </c>
      <c r="N56" s="282" t="s">
        <v>71</v>
      </c>
      <c r="O56" s="282" t="s">
        <v>71</v>
      </c>
      <c r="P56" s="283" t="s">
        <v>71</v>
      </c>
      <c r="Q56" s="284"/>
      <c r="R56" s="285"/>
      <c r="S56" s="286"/>
      <c r="T56" s="287"/>
      <c r="U56" s="288"/>
    </row>
    <row r="57" spans="2:22" ht="28.2" customHeight="1" x14ac:dyDescent="0.35">
      <c r="B57" s="291"/>
      <c r="C57" s="277"/>
      <c r="D57" s="290" t="s">
        <v>693</v>
      </c>
      <c r="E57" s="279">
        <f t="shared" si="1"/>
        <v>54</v>
      </c>
      <c r="F57" s="280" t="s">
        <v>694</v>
      </c>
      <c r="G57" s="281" t="s">
        <v>662</v>
      </c>
      <c r="H57" s="282" t="s">
        <v>71</v>
      </c>
      <c r="I57" s="282" t="s">
        <v>71</v>
      </c>
      <c r="J57" s="282" t="s">
        <v>71</v>
      </c>
      <c r="K57" s="282" t="s">
        <v>71</v>
      </c>
      <c r="L57" s="282" t="s">
        <v>71</v>
      </c>
      <c r="M57" s="282" t="s">
        <v>71</v>
      </c>
      <c r="N57" s="282" t="s">
        <v>71</v>
      </c>
      <c r="O57" s="282" t="s">
        <v>71</v>
      </c>
      <c r="P57" s="283" t="s">
        <v>71</v>
      </c>
      <c r="Q57" s="284"/>
      <c r="R57" s="285"/>
      <c r="S57" s="286"/>
      <c r="T57" s="287"/>
      <c r="U57" s="288"/>
    </row>
    <row r="58" spans="2:22" ht="28.2" customHeight="1" x14ac:dyDescent="0.35">
      <c r="B58" s="291"/>
      <c r="C58" s="277"/>
      <c r="D58" s="290" t="s">
        <v>675</v>
      </c>
      <c r="E58" s="279">
        <f t="shared" si="1"/>
        <v>55</v>
      </c>
      <c r="F58" s="290" t="s">
        <v>277</v>
      </c>
      <c r="G58" s="281" t="s">
        <v>662</v>
      </c>
      <c r="H58" s="282" t="s">
        <v>71</v>
      </c>
      <c r="I58" s="282" t="s">
        <v>71</v>
      </c>
      <c r="J58" s="282" t="s">
        <v>71</v>
      </c>
      <c r="K58" s="282" t="s">
        <v>71</v>
      </c>
      <c r="L58" s="282" t="s">
        <v>71</v>
      </c>
      <c r="M58" s="282" t="s">
        <v>71</v>
      </c>
      <c r="N58" s="282" t="s">
        <v>71</v>
      </c>
      <c r="O58" s="282" t="s">
        <v>71</v>
      </c>
      <c r="P58" s="283" t="s">
        <v>71</v>
      </c>
      <c r="Q58" s="284"/>
      <c r="R58" s="285"/>
      <c r="S58" s="286"/>
      <c r="T58" s="287"/>
      <c r="U58" s="288"/>
    </row>
    <row r="59" spans="2:22" ht="28.2" customHeight="1" x14ac:dyDescent="0.35">
      <c r="B59" s="291"/>
      <c r="C59" s="277"/>
      <c r="D59" s="290" t="s">
        <v>676</v>
      </c>
      <c r="E59" s="279">
        <f t="shared" si="1"/>
        <v>56</v>
      </c>
      <c r="F59" s="290" t="s">
        <v>280</v>
      </c>
      <c r="G59" s="281" t="s">
        <v>662</v>
      </c>
      <c r="H59" s="282" t="s">
        <v>71</v>
      </c>
      <c r="I59" s="282" t="s">
        <v>71</v>
      </c>
      <c r="J59" s="282" t="s">
        <v>71</v>
      </c>
      <c r="K59" s="282" t="s">
        <v>71</v>
      </c>
      <c r="L59" s="282" t="s">
        <v>71</v>
      </c>
      <c r="M59" s="282" t="s">
        <v>71</v>
      </c>
      <c r="N59" s="282" t="s">
        <v>71</v>
      </c>
      <c r="O59" s="282" t="s">
        <v>71</v>
      </c>
      <c r="P59" s="283" t="s">
        <v>71</v>
      </c>
      <c r="Q59" s="284"/>
      <c r="R59" s="285"/>
      <c r="S59" s="286"/>
      <c r="T59" s="287"/>
      <c r="U59" s="288"/>
    </row>
    <row r="60" spans="2:22" ht="28.2" customHeight="1" x14ac:dyDescent="0.35">
      <c r="B60" s="291"/>
      <c r="C60" s="277"/>
      <c r="D60" s="290" t="s">
        <v>677</v>
      </c>
      <c r="E60" s="279">
        <f t="shared" si="1"/>
        <v>57</v>
      </c>
      <c r="F60" s="290" t="s">
        <v>282</v>
      </c>
      <c r="G60" s="281" t="s">
        <v>662</v>
      </c>
      <c r="H60" s="282" t="s">
        <v>71</v>
      </c>
      <c r="I60" s="282" t="s">
        <v>71</v>
      </c>
      <c r="J60" s="282" t="s">
        <v>71</v>
      </c>
      <c r="K60" s="282" t="s">
        <v>71</v>
      </c>
      <c r="L60" s="282" t="s">
        <v>71</v>
      </c>
      <c r="M60" s="282" t="s">
        <v>71</v>
      </c>
      <c r="N60" s="282" t="s">
        <v>71</v>
      </c>
      <c r="O60" s="282" t="s">
        <v>71</v>
      </c>
      <c r="P60" s="283" t="s">
        <v>71</v>
      </c>
      <c r="Q60" s="284"/>
      <c r="R60" s="285"/>
      <c r="S60" s="286"/>
      <c r="T60" s="287"/>
      <c r="U60" s="288"/>
    </row>
    <row r="61" spans="2:22" ht="28.2" customHeight="1" x14ac:dyDescent="0.35">
      <c r="B61" s="291"/>
      <c r="C61" s="277"/>
      <c r="D61" s="290" t="s">
        <v>678</v>
      </c>
      <c r="E61" s="279">
        <f t="shared" si="1"/>
        <v>58</v>
      </c>
      <c r="F61" s="290" t="s">
        <v>284</v>
      </c>
      <c r="G61" s="281" t="s">
        <v>662</v>
      </c>
      <c r="H61" s="282" t="s">
        <v>71</v>
      </c>
      <c r="I61" s="282" t="s">
        <v>71</v>
      </c>
      <c r="J61" s="282" t="s">
        <v>71</v>
      </c>
      <c r="K61" s="282" t="s">
        <v>71</v>
      </c>
      <c r="L61" s="282" t="s">
        <v>71</v>
      </c>
      <c r="M61" s="282" t="s">
        <v>71</v>
      </c>
      <c r="N61" s="282" t="s">
        <v>71</v>
      </c>
      <c r="O61" s="282" t="s">
        <v>71</v>
      </c>
      <c r="P61" s="283" t="s">
        <v>71</v>
      </c>
      <c r="Q61" s="284"/>
      <c r="R61" s="285"/>
      <c r="S61" s="286"/>
      <c r="T61" s="287"/>
      <c r="U61" s="288"/>
    </row>
    <row r="62" spans="2:22" ht="28.2" customHeight="1" x14ac:dyDescent="0.35">
      <c r="B62" s="291"/>
      <c r="C62" s="277"/>
      <c r="D62" s="290" t="s">
        <v>695</v>
      </c>
      <c r="E62" s="279">
        <f t="shared" si="1"/>
        <v>59</v>
      </c>
      <c r="F62" s="290" t="s">
        <v>680</v>
      </c>
      <c r="G62" s="281" t="s">
        <v>662</v>
      </c>
      <c r="H62" s="282" t="s">
        <v>71</v>
      </c>
      <c r="I62" s="282" t="s">
        <v>71</v>
      </c>
      <c r="J62" s="282" t="s">
        <v>71</v>
      </c>
      <c r="K62" s="282" t="s">
        <v>71</v>
      </c>
      <c r="L62" s="282" t="s">
        <v>71</v>
      </c>
      <c r="M62" s="282" t="s">
        <v>71</v>
      </c>
      <c r="N62" s="282" t="s">
        <v>71</v>
      </c>
      <c r="O62" s="282" t="s">
        <v>71</v>
      </c>
      <c r="P62" s="283" t="s">
        <v>71</v>
      </c>
      <c r="Q62" s="284"/>
      <c r="R62" s="285"/>
      <c r="S62" s="286"/>
      <c r="T62" s="287"/>
      <c r="U62" s="288"/>
    </row>
    <row r="63" spans="2:22" ht="28.2" customHeight="1" x14ac:dyDescent="0.35">
      <c r="B63" s="291"/>
      <c r="C63" s="277"/>
      <c r="D63" s="290" t="s">
        <v>696</v>
      </c>
      <c r="E63" s="279">
        <f t="shared" si="1"/>
        <v>60</v>
      </c>
      <c r="F63" s="290" t="s">
        <v>682</v>
      </c>
      <c r="G63" s="281" t="s">
        <v>683</v>
      </c>
      <c r="H63" s="282" t="s">
        <v>71</v>
      </c>
      <c r="I63" s="282" t="s">
        <v>71</v>
      </c>
      <c r="J63" s="282" t="s">
        <v>71</v>
      </c>
      <c r="K63" s="282" t="s">
        <v>71</v>
      </c>
      <c r="L63" s="282" t="s">
        <v>71</v>
      </c>
      <c r="M63" s="282" t="s">
        <v>71</v>
      </c>
      <c r="N63" s="282" t="s">
        <v>71</v>
      </c>
      <c r="O63" s="282" t="s">
        <v>71</v>
      </c>
      <c r="P63" s="283" t="s">
        <v>71</v>
      </c>
      <c r="Q63" s="284"/>
      <c r="R63" s="285"/>
      <c r="S63" s="286"/>
      <c r="T63" s="287"/>
      <c r="U63" s="288"/>
    </row>
    <row r="64" spans="2:22" ht="28.2" customHeight="1" x14ac:dyDescent="0.35">
      <c r="B64" s="125" t="s">
        <v>654</v>
      </c>
      <c r="C64" s="270" t="s">
        <v>655</v>
      </c>
      <c r="D64" s="234" t="s">
        <v>656</v>
      </c>
      <c r="E64" s="89">
        <f t="shared" si="1"/>
        <v>61</v>
      </c>
      <c r="F64" s="90" t="s">
        <v>657</v>
      </c>
      <c r="G64" s="91" t="s">
        <v>658</v>
      </c>
      <c r="H64" s="48" t="s">
        <v>310</v>
      </c>
      <c r="I64" s="48" t="s">
        <v>71</v>
      </c>
      <c r="J64" s="48" t="s">
        <v>71</v>
      </c>
      <c r="K64" s="48" t="s">
        <v>71</v>
      </c>
      <c r="L64" s="48" t="s">
        <v>310</v>
      </c>
      <c r="M64" s="48" t="s">
        <v>310</v>
      </c>
      <c r="N64" s="48" t="s">
        <v>71</v>
      </c>
      <c r="O64" s="48" t="s">
        <v>71</v>
      </c>
      <c r="P64" s="62" t="s">
        <v>71</v>
      </c>
      <c r="Q64" s="64">
        <v>45687</v>
      </c>
      <c r="R64" s="49"/>
      <c r="S64" s="66"/>
      <c r="T64" s="85"/>
      <c r="U64" s="100" t="s">
        <v>749</v>
      </c>
      <c r="V64" s="126"/>
    </row>
    <row r="65" spans="1:22" ht="48.6" customHeight="1" x14ac:dyDescent="0.35">
      <c r="B65" s="271" t="s">
        <v>692</v>
      </c>
      <c r="C65" s="123"/>
      <c r="D65" s="88" t="s">
        <v>664</v>
      </c>
      <c r="E65" s="89">
        <f t="shared" si="1"/>
        <v>62</v>
      </c>
      <c r="F65" s="90" t="s">
        <v>664</v>
      </c>
      <c r="G65" s="91" t="s">
        <v>662</v>
      </c>
      <c r="H65" s="48" t="s">
        <v>310</v>
      </c>
      <c r="I65" s="48" t="s">
        <v>71</v>
      </c>
      <c r="J65" s="48" t="s">
        <v>71</v>
      </c>
      <c r="K65" s="48" t="s">
        <v>71</v>
      </c>
      <c r="L65" s="48" t="s">
        <v>71</v>
      </c>
      <c r="M65" s="48" t="s">
        <v>71</v>
      </c>
      <c r="N65" s="48" t="s">
        <v>71</v>
      </c>
      <c r="O65" s="48" t="s">
        <v>71</v>
      </c>
      <c r="P65" s="62" t="s">
        <v>71</v>
      </c>
      <c r="Q65" s="64">
        <v>45687</v>
      </c>
      <c r="R65" s="49"/>
      <c r="S65" s="66"/>
      <c r="T65" s="85"/>
      <c r="U65" s="100" t="s">
        <v>750</v>
      </c>
      <c r="V65" s="126"/>
    </row>
    <row r="66" spans="1:22" ht="28.2" customHeight="1" x14ac:dyDescent="0.35">
      <c r="B66" s="122"/>
      <c r="C66" s="123"/>
      <c r="D66" s="88" t="s">
        <v>693</v>
      </c>
      <c r="E66" s="89">
        <f t="shared" si="1"/>
        <v>63</v>
      </c>
      <c r="F66" s="90" t="s">
        <v>694</v>
      </c>
      <c r="G66" s="91" t="s">
        <v>662</v>
      </c>
      <c r="H66" s="48" t="s">
        <v>310</v>
      </c>
      <c r="I66" s="48" t="s">
        <v>71</v>
      </c>
      <c r="J66" s="48" t="s">
        <v>71</v>
      </c>
      <c r="K66" s="48" t="s">
        <v>71</v>
      </c>
      <c r="L66" s="48" t="s">
        <v>310</v>
      </c>
      <c r="M66" s="48" t="s">
        <v>310</v>
      </c>
      <c r="N66" s="48" t="s">
        <v>71</v>
      </c>
      <c r="O66" s="48" t="s">
        <v>71</v>
      </c>
      <c r="P66" s="62" t="s">
        <v>71</v>
      </c>
      <c r="Q66" s="64">
        <v>45687</v>
      </c>
      <c r="R66" s="49"/>
      <c r="S66" s="66"/>
      <c r="T66" s="85"/>
      <c r="U66" s="100" t="s">
        <v>751</v>
      </c>
    </row>
    <row r="67" spans="1:22" ht="28.2" customHeight="1" x14ac:dyDescent="0.35">
      <c r="B67" s="122"/>
      <c r="C67" s="123"/>
      <c r="D67" s="88" t="s">
        <v>675</v>
      </c>
      <c r="E67" s="89">
        <f t="shared" si="1"/>
        <v>64</v>
      </c>
      <c r="F67" s="88" t="s">
        <v>277</v>
      </c>
      <c r="G67" s="91" t="s">
        <v>662</v>
      </c>
      <c r="H67" s="48" t="s">
        <v>310</v>
      </c>
      <c r="I67" s="48" t="s">
        <v>71</v>
      </c>
      <c r="J67" s="48" t="s">
        <v>71</v>
      </c>
      <c r="K67" s="48" t="s">
        <v>71</v>
      </c>
      <c r="L67" s="48" t="s">
        <v>71</v>
      </c>
      <c r="M67" s="48" t="s">
        <v>71</v>
      </c>
      <c r="N67" s="48" t="s">
        <v>71</v>
      </c>
      <c r="O67" s="48" t="s">
        <v>71</v>
      </c>
      <c r="P67" s="62" t="s">
        <v>71</v>
      </c>
      <c r="Q67" s="64">
        <v>45687</v>
      </c>
      <c r="R67" s="49"/>
      <c r="S67" s="66"/>
      <c r="T67" s="85"/>
      <c r="U67" s="100" t="s">
        <v>752</v>
      </c>
    </row>
    <row r="68" spans="1:22" ht="28.2" customHeight="1" x14ac:dyDescent="0.35">
      <c r="B68" s="122"/>
      <c r="C68" s="123"/>
      <c r="D68" s="88" t="s">
        <v>676</v>
      </c>
      <c r="E68" s="89">
        <f t="shared" si="1"/>
        <v>65</v>
      </c>
      <c r="F68" s="88" t="s">
        <v>280</v>
      </c>
      <c r="G68" s="91" t="s">
        <v>662</v>
      </c>
      <c r="H68" s="48" t="s">
        <v>310</v>
      </c>
      <c r="I68" s="48" t="s">
        <v>71</v>
      </c>
      <c r="J68" s="48" t="s">
        <v>71</v>
      </c>
      <c r="K68" s="48" t="s">
        <v>71</v>
      </c>
      <c r="L68" s="48" t="s">
        <v>71</v>
      </c>
      <c r="M68" s="48" t="s">
        <v>71</v>
      </c>
      <c r="N68" s="48" t="s">
        <v>71</v>
      </c>
      <c r="O68" s="48" t="s">
        <v>71</v>
      </c>
      <c r="P68" s="62" t="s">
        <v>71</v>
      </c>
      <c r="Q68" s="64">
        <v>45687</v>
      </c>
      <c r="R68" s="49"/>
      <c r="S68" s="66"/>
      <c r="T68" s="85"/>
      <c r="U68" s="100"/>
      <c r="V68" s="126"/>
    </row>
    <row r="69" spans="1:22" ht="28.2" customHeight="1" x14ac:dyDescent="0.35">
      <c r="B69" s="122"/>
      <c r="C69" s="123"/>
      <c r="D69" s="88" t="s">
        <v>677</v>
      </c>
      <c r="E69" s="89">
        <f t="shared" si="1"/>
        <v>66</v>
      </c>
      <c r="F69" s="88" t="s">
        <v>282</v>
      </c>
      <c r="G69" s="91" t="s">
        <v>662</v>
      </c>
      <c r="H69" s="48" t="s">
        <v>310</v>
      </c>
      <c r="I69" s="48" t="s">
        <v>71</v>
      </c>
      <c r="J69" s="48" t="s">
        <v>71</v>
      </c>
      <c r="K69" s="48" t="s">
        <v>71</v>
      </c>
      <c r="L69" s="48" t="s">
        <v>71</v>
      </c>
      <c r="M69" s="48" t="s">
        <v>71</v>
      </c>
      <c r="N69" s="48" t="s">
        <v>71</v>
      </c>
      <c r="O69" s="48" t="s">
        <v>71</v>
      </c>
      <c r="P69" s="62" t="s">
        <v>71</v>
      </c>
      <c r="Q69" s="64">
        <v>45687</v>
      </c>
      <c r="R69" s="49"/>
      <c r="S69" s="66"/>
      <c r="T69" s="85"/>
      <c r="U69" s="100" t="s">
        <v>753</v>
      </c>
      <c r="V69" s="126"/>
    </row>
    <row r="70" spans="1:22" ht="37.950000000000003" customHeight="1" x14ac:dyDescent="0.35">
      <c r="B70" s="122"/>
      <c r="C70" s="123"/>
      <c r="D70" s="93" t="s">
        <v>678</v>
      </c>
      <c r="E70" s="94">
        <f t="shared" si="1"/>
        <v>67</v>
      </c>
      <c r="F70" s="93" t="s">
        <v>284</v>
      </c>
      <c r="G70" s="96" t="s">
        <v>662</v>
      </c>
      <c r="H70" s="50" t="s">
        <v>310</v>
      </c>
      <c r="I70" s="50" t="s">
        <v>71</v>
      </c>
      <c r="J70" s="50" t="s">
        <v>71</v>
      </c>
      <c r="K70" s="50" t="s">
        <v>71</v>
      </c>
      <c r="L70" s="50" t="s">
        <v>71</v>
      </c>
      <c r="M70" s="50" t="s">
        <v>71</v>
      </c>
      <c r="N70" s="50" t="s">
        <v>71</v>
      </c>
      <c r="O70" s="50" t="s">
        <v>71</v>
      </c>
      <c r="P70" s="63" t="s">
        <v>71</v>
      </c>
      <c r="Q70" s="65">
        <v>45687</v>
      </c>
      <c r="R70" s="51"/>
      <c r="S70" s="67"/>
      <c r="T70" s="322"/>
      <c r="U70" s="102" t="s">
        <v>265</v>
      </c>
    </row>
    <row r="71" spans="1:22" ht="28.2" customHeight="1" x14ac:dyDescent="0.35">
      <c r="B71" s="122"/>
      <c r="C71" s="123"/>
      <c r="D71" s="88" t="s">
        <v>695</v>
      </c>
      <c r="E71" s="89">
        <f t="shared" si="1"/>
        <v>68</v>
      </c>
      <c r="F71" s="88" t="s">
        <v>680</v>
      </c>
      <c r="G71" s="91" t="s">
        <v>662</v>
      </c>
      <c r="H71" s="48" t="s">
        <v>310</v>
      </c>
      <c r="I71" s="48" t="s">
        <v>71</v>
      </c>
      <c r="J71" s="48" t="s">
        <v>71</v>
      </c>
      <c r="K71" s="48" t="s">
        <v>71</v>
      </c>
      <c r="L71" s="48" t="s">
        <v>71</v>
      </c>
      <c r="M71" s="48" t="s">
        <v>71</v>
      </c>
      <c r="N71" s="48" t="s">
        <v>71</v>
      </c>
      <c r="O71" s="48" t="s">
        <v>71</v>
      </c>
      <c r="P71" s="62" t="s">
        <v>71</v>
      </c>
      <c r="Q71" s="64">
        <v>45687</v>
      </c>
      <c r="R71" s="49"/>
      <c r="S71" s="66"/>
      <c r="T71" s="85"/>
      <c r="U71" s="100" t="s">
        <v>754</v>
      </c>
    </row>
    <row r="72" spans="1:22" ht="36" customHeight="1" x14ac:dyDescent="0.35">
      <c r="B72" s="122"/>
      <c r="C72" s="123"/>
      <c r="D72" s="88" t="s">
        <v>696</v>
      </c>
      <c r="E72" s="89">
        <f t="shared" si="1"/>
        <v>69</v>
      </c>
      <c r="F72" s="88" t="s">
        <v>682</v>
      </c>
      <c r="G72" s="91" t="s">
        <v>683</v>
      </c>
      <c r="H72" s="48" t="s">
        <v>71</v>
      </c>
      <c r="I72" s="48" t="s">
        <v>71</v>
      </c>
      <c r="J72" s="48" t="s">
        <v>71</v>
      </c>
      <c r="K72" s="48" t="s">
        <v>310</v>
      </c>
      <c r="L72" s="48" t="s">
        <v>71</v>
      </c>
      <c r="M72" s="48" t="s">
        <v>71</v>
      </c>
      <c r="N72" s="48" t="s">
        <v>71</v>
      </c>
      <c r="O72" s="48" t="s">
        <v>71</v>
      </c>
      <c r="P72" s="62" t="s">
        <v>71</v>
      </c>
      <c r="Q72" s="64">
        <v>45687</v>
      </c>
      <c r="R72" s="49"/>
      <c r="S72" s="66"/>
      <c r="T72" s="85"/>
      <c r="U72" s="100"/>
    </row>
    <row r="73" spans="1:22" ht="28.2" customHeight="1" thickBot="1" x14ac:dyDescent="0.4">
      <c r="B73" s="308"/>
      <c r="C73" s="124"/>
      <c r="D73" s="153"/>
      <c r="E73" s="154"/>
      <c r="F73" s="155"/>
      <c r="G73" s="156"/>
      <c r="H73" s="80" t="s">
        <v>71</v>
      </c>
      <c r="I73" s="53" t="s">
        <v>71</v>
      </c>
      <c r="J73" s="53" t="s">
        <v>71</v>
      </c>
      <c r="K73" s="52" t="s">
        <v>71</v>
      </c>
      <c r="L73" s="53" t="s">
        <v>71</v>
      </c>
      <c r="M73" s="53" t="s">
        <v>71</v>
      </c>
      <c r="N73" s="52" t="s">
        <v>71</v>
      </c>
      <c r="O73" s="52" t="s">
        <v>71</v>
      </c>
      <c r="P73" s="72" t="s">
        <v>71</v>
      </c>
      <c r="Q73" s="73"/>
      <c r="R73" s="54"/>
      <c r="S73" s="74"/>
      <c r="T73" s="70"/>
      <c r="U73" s="104"/>
    </row>
    <row r="74" spans="1:22" ht="18" customHeight="1" x14ac:dyDescent="0.35">
      <c r="B74" s="524" t="s">
        <v>300</v>
      </c>
      <c r="C74" s="509"/>
      <c r="D74" s="509">
        <f>SUM(H76:P76)</f>
        <v>159</v>
      </c>
      <c r="E74" s="157"/>
      <c r="F74" s="415"/>
      <c r="G74" s="248" t="s">
        <v>301</v>
      </c>
      <c r="H74" s="160">
        <f t="shared" ref="H74:P74" si="2">COUNTIF(H4:H73,"●")+COUNTIF(H4:H73,"■")+COUNTIF(H4:H73,"OK")</f>
        <v>50</v>
      </c>
      <c r="I74" s="160">
        <f t="shared" si="2"/>
        <v>0</v>
      </c>
      <c r="J74" s="160">
        <f t="shared" si="2"/>
        <v>0</v>
      </c>
      <c r="K74" s="160">
        <f t="shared" si="2"/>
        <v>6</v>
      </c>
      <c r="L74" s="160">
        <f t="shared" si="2"/>
        <v>43</v>
      </c>
      <c r="M74" s="160">
        <f t="shared" si="2"/>
        <v>43</v>
      </c>
      <c r="N74" s="160">
        <f t="shared" si="2"/>
        <v>0</v>
      </c>
      <c r="O74" s="160">
        <f t="shared" si="2"/>
        <v>17</v>
      </c>
      <c r="P74" s="160">
        <f t="shared" si="2"/>
        <v>0</v>
      </c>
      <c r="Q74" s="511" t="s">
        <v>302</v>
      </c>
      <c r="R74" s="511"/>
      <c r="S74" s="511"/>
      <c r="T74" s="161"/>
      <c r="U74" s="162"/>
    </row>
    <row r="75" spans="1:22" ht="18" customHeight="1" x14ac:dyDescent="0.35">
      <c r="B75" s="525"/>
      <c r="C75" s="510"/>
      <c r="D75" s="510"/>
      <c r="E75" s="55"/>
      <c r="F75" s="416"/>
      <c r="G75" s="249" t="s">
        <v>303</v>
      </c>
      <c r="H75" s="75">
        <f>COUNTIF(H4:H73,"×")+COUNTIF(H4:H73,"NG")</f>
        <v>0</v>
      </c>
      <c r="I75" s="76">
        <f t="shared" ref="I75:P75" si="3">COUNTIF(I55:I73,"×")+COUNTIF(I55:I73,"NG")</f>
        <v>0</v>
      </c>
      <c r="J75" s="76">
        <f t="shared" si="3"/>
        <v>0</v>
      </c>
      <c r="K75" s="76">
        <f t="shared" si="3"/>
        <v>0</v>
      </c>
      <c r="L75" s="76">
        <f t="shared" si="3"/>
        <v>0</v>
      </c>
      <c r="M75" s="76">
        <f t="shared" si="3"/>
        <v>0</v>
      </c>
      <c r="N75" s="76">
        <f t="shared" si="3"/>
        <v>0</v>
      </c>
      <c r="O75" s="76">
        <f t="shared" si="3"/>
        <v>0</v>
      </c>
      <c r="P75" s="77">
        <f t="shared" si="3"/>
        <v>0</v>
      </c>
      <c r="Q75" s="512"/>
      <c r="R75" s="512"/>
      <c r="S75" s="512"/>
      <c r="T75" s="71"/>
      <c r="U75" s="105"/>
    </row>
    <row r="76" spans="1:22" ht="18" customHeight="1" x14ac:dyDescent="0.35">
      <c r="B76" s="526" t="s">
        <v>304</v>
      </c>
      <c r="C76" s="507"/>
      <c r="D76" s="507">
        <f>SUM(H77:P77)</f>
        <v>159</v>
      </c>
      <c r="E76" s="45"/>
      <c r="F76" s="46"/>
      <c r="G76" s="249" t="s">
        <v>305</v>
      </c>
      <c r="H76" s="75">
        <f t="shared" ref="H76:P76" si="4">H74+H75</f>
        <v>50</v>
      </c>
      <c r="I76" s="76">
        <f t="shared" si="4"/>
        <v>0</v>
      </c>
      <c r="J76" s="76">
        <f t="shared" si="4"/>
        <v>0</v>
      </c>
      <c r="K76" s="76">
        <f t="shared" si="4"/>
        <v>6</v>
      </c>
      <c r="L76" s="76">
        <f t="shared" si="4"/>
        <v>43</v>
      </c>
      <c r="M76" s="76">
        <f t="shared" si="4"/>
        <v>43</v>
      </c>
      <c r="N76" s="76">
        <f t="shared" si="4"/>
        <v>0</v>
      </c>
      <c r="O76" s="76">
        <f t="shared" si="4"/>
        <v>17</v>
      </c>
      <c r="P76" s="77">
        <f t="shared" si="4"/>
        <v>0</v>
      </c>
      <c r="Q76" s="513">
        <f>COUNTA(Q4:Q73)</f>
        <v>51</v>
      </c>
      <c r="R76" s="513">
        <f>COUNTA(R4:R73)</f>
        <v>0</v>
      </c>
      <c r="S76" s="513">
        <f>COUNTA(S4:S73)</f>
        <v>0</v>
      </c>
      <c r="T76" s="71"/>
      <c r="U76" s="105"/>
    </row>
    <row r="77" spans="1:22" ht="18" customHeight="1" thickBot="1" x14ac:dyDescent="0.4">
      <c r="A77" s="118"/>
      <c r="B77" s="527"/>
      <c r="C77" s="508"/>
      <c r="D77" s="508"/>
      <c r="E77" s="106"/>
      <c r="F77" s="107"/>
      <c r="G77" s="250" t="s">
        <v>306</v>
      </c>
      <c r="H77" s="109">
        <f t="shared" ref="H77:P77" si="5">COUNTBLANK(H4:H73)+H76+COUNTIF(H4:H73,"□")</f>
        <v>50</v>
      </c>
      <c r="I77" s="110">
        <f t="shared" si="5"/>
        <v>0</v>
      </c>
      <c r="J77" s="109">
        <f t="shared" si="5"/>
        <v>0</v>
      </c>
      <c r="K77" s="110">
        <f t="shared" si="5"/>
        <v>6</v>
      </c>
      <c r="L77" s="109">
        <f t="shared" si="5"/>
        <v>43</v>
      </c>
      <c r="M77" s="110">
        <f t="shared" si="5"/>
        <v>43</v>
      </c>
      <c r="N77" s="109">
        <f t="shared" si="5"/>
        <v>0</v>
      </c>
      <c r="O77" s="110">
        <f t="shared" si="5"/>
        <v>17</v>
      </c>
      <c r="P77" s="109">
        <f t="shared" si="5"/>
        <v>0</v>
      </c>
      <c r="Q77" s="514"/>
      <c r="R77" s="514"/>
      <c r="S77" s="514"/>
      <c r="T77" s="112"/>
      <c r="U77" s="113"/>
    </row>
    <row r="78" spans="1:22" ht="24" customHeight="1" x14ac:dyDescent="0.35"/>
  </sheetData>
  <mergeCells count="16">
    <mergeCell ref="B76:C77"/>
    <mergeCell ref="D76:D77"/>
    <mergeCell ref="Q76:Q77"/>
    <mergeCell ref="R76:R77"/>
    <mergeCell ref="S76:S77"/>
    <mergeCell ref="T2:T3"/>
    <mergeCell ref="U2:U3"/>
    <mergeCell ref="B74:C75"/>
    <mergeCell ref="D74:D75"/>
    <mergeCell ref="Q74:S75"/>
    <mergeCell ref="B2:B3"/>
    <mergeCell ref="C2:C3"/>
    <mergeCell ref="D2:D3"/>
    <mergeCell ref="E2:G2"/>
    <mergeCell ref="H2:P2"/>
    <mergeCell ref="Q2:S2"/>
  </mergeCells>
  <phoneticPr fontId="23"/>
  <pageMargins left="0.25" right="0.25" top="0.75" bottom="0.75" header="0.3" footer="0.3"/>
  <pageSetup paperSize="8" scale="73" fitToHeight="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3CB9B-123A-4330-A320-F9FDDAE3CA85}">
  <sheetPr codeName="Sheet10">
    <pageSetUpPr fitToPage="1"/>
  </sheetPr>
  <dimension ref="A1:V79"/>
  <sheetViews>
    <sheetView view="pageBreakPreview" zoomScale="80" zoomScaleNormal="70" zoomScaleSheetLayoutView="80" workbookViewId="0">
      <pane ySplit="3" topLeftCell="A66" activePane="bottomLeft" state="frozen"/>
      <selection activeCell="D17" sqref="D17"/>
      <selection pane="bottomLeft" activeCell="R52" sqref="R52"/>
    </sheetView>
  </sheetViews>
  <sheetFormatPr defaultColWidth="8.6640625" defaultRowHeight="13.2" x14ac:dyDescent="0.35"/>
  <cols>
    <col min="1" max="1" width="3.109375" style="60" customWidth="1"/>
    <col min="2" max="2" width="14.886718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53.33203125" style="120" bestFit="1" customWidth="1"/>
    <col min="22" max="22" width="5" style="120" customWidth="1"/>
    <col min="23" max="16384" width="8.6640625" style="120"/>
  </cols>
  <sheetData>
    <row r="1" spans="1:22" ht="20.399999999999999" thickBot="1" x14ac:dyDescent="0.4">
      <c r="B1" s="121" t="s">
        <v>568</v>
      </c>
      <c r="E1" s="121"/>
    </row>
    <row r="2" spans="1:22" ht="24" customHeight="1" x14ac:dyDescent="0.35">
      <c r="A2" s="118"/>
      <c r="B2" s="522" t="s">
        <v>43</v>
      </c>
      <c r="C2" s="505" t="s">
        <v>44</v>
      </c>
      <c r="D2" s="505" t="s">
        <v>45</v>
      </c>
      <c r="E2" s="498" t="s">
        <v>46</v>
      </c>
      <c r="F2" s="499"/>
      <c r="G2" s="500"/>
      <c r="H2" s="519" t="s">
        <v>755</v>
      </c>
      <c r="I2" s="520"/>
      <c r="J2" s="520"/>
      <c r="K2" s="520"/>
      <c r="L2" s="520"/>
      <c r="M2" s="520"/>
      <c r="N2" s="520"/>
      <c r="O2" s="520"/>
      <c r="P2" s="521"/>
      <c r="Q2" s="501" t="s">
        <v>48</v>
      </c>
      <c r="R2" s="502"/>
      <c r="S2" s="502"/>
      <c r="T2" s="505" t="s">
        <v>49</v>
      </c>
      <c r="U2" s="503" t="s">
        <v>50</v>
      </c>
    </row>
    <row r="3" spans="1:22" ht="27" thickBot="1" x14ac:dyDescent="0.4">
      <c r="A3" s="118"/>
      <c r="B3" s="523"/>
      <c r="C3" s="506"/>
      <c r="D3" s="506"/>
      <c r="E3" s="114" t="s">
        <v>51</v>
      </c>
      <c r="F3" s="247"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506"/>
      <c r="U3" s="504"/>
    </row>
    <row r="4" spans="1:22" ht="28.2" customHeight="1" x14ac:dyDescent="0.35">
      <c r="B4" s="122" t="s">
        <v>756</v>
      </c>
      <c r="C4" s="123" t="s">
        <v>570</v>
      </c>
      <c r="D4" s="227"/>
      <c r="E4" s="228">
        <f>ROW()-3</f>
        <v>1</v>
      </c>
      <c r="F4" s="229" t="s">
        <v>571</v>
      </c>
      <c r="G4" s="87" t="s">
        <v>84</v>
      </c>
      <c r="H4" s="78" t="s">
        <v>310</v>
      </c>
      <c r="I4" s="58" t="s">
        <v>71</v>
      </c>
      <c r="J4" s="78" t="s">
        <v>71</v>
      </c>
      <c r="K4" s="78" t="s">
        <v>310</v>
      </c>
      <c r="L4" s="78" t="s">
        <v>310</v>
      </c>
      <c r="M4" s="78" t="s">
        <v>310</v>
      </c>
      <c r="N4" s="58" t="s">
        <v>71</v>
      </c>
      <c r="O4" s="58" t="s">
        <v>71</v>
      </c>
      <c r="P4" s="82" t="s">
        <v>71</v>
      </c>
      <c r="Q4" s="83">
        <v>45691</v>
      </c>
      <c r="R4" s="59"/>
      <c r="S4" s="84"/>
      <c r="T4" s="85" t="s">
        <v>969</v>
      </c>
      <c r="U4" s="99" t="s">
        <v>869</v>
      </c>
    </row>
    <row r="5" spans="1:22" ht="28.2" customHeight="1" x14ac:dyDescent="0.35">
      <c r="B5" s="122" t="s">
        <v>573</v>
      </c>
      <c r="C5" s="232" t="s">
        <v>574</v>
      </c>
      <c r="D5" s="227" t="s">
        <v>575</v>
      </c>
      <c r="E5" s="231">
        <f t="shared" ref="E5:E68" si="0">ROW()-3</f>
        <v>2</v>
      </c>
      <c r="F5" s="97" t="s">
        <v>576</v>
      </c>
      <c r="G5" s="91" t="s">
        <v>577</v>
      </c>
      <c r="H5" s="78" t="s">
        <v>310</v>
      </c>
      <c r="I5" s="48" t="s">
        <v>71</v>
      </c>
      <c r="J5" s="48" t="s">
        <v>71</v>
      </c>
      <c r="K5" s="78" t="s">
        <v>310</v>
      </c>
      <c r="L5" s="78" t="s">
        <v>310</v>
      </c>
      <c r="M5" s="78" t="s">
        <v>310</v>
      </c>
      <c r="N5" s="78" t="s">
        <v>71</v>
      </c>
      <c r="O5" s="48" t="s">
        <v>71</v>
      </c>
      <c r="P5" s="62" t="s">
        <v>71</v>
      </c>
      <c r="Q5" s="83">
        <v>45691</v>
      </c>
      <c r="R5" s="59"/>
      <c r="S5" s="84"/>
      <c r="T5" s="85" t="s">
        <v>969</v>
      </c>
      <c r="U5" s="100" t="s">
        <v>870</v>
      </c>
    </row>
    <row r="6" spans="1:22" ht="28.2" customHeight="1" x14ac:dyDescent="0.35">
      <c r="B6" s="122"/>
      <c r="C6" s="267" t="s">
        <v>578</v>
      </c>
      <c r="D6" s="325" t="s">
        <v>579</v>
      </c>
      <c r="E6" s="94">
        <f t="shared" si="0"/>
        <v>3</v>
      </c>
      <c r="F6" s="95" t="s">
        <v>580</v>
      </c>
      <c r="G6" s="96" t="s">
        <v>581</v>
      </c>
      <c r="H6" s="63" t="s">
        <v>71</v>
      </c>
      <c r="I6" s="50" t="s">
        <v>71</v>
      </c>
      <c r="J6" s="50" t="s">
        <v>71</v>
      </c>
      <c r="K6" s="50" t="s">
        <v>71</v>
      </c>
      <c r="L6" s="50" t="s">
        <v>71</v>
      </c>
      <c r="M6" s="50" t="s">
        <v>71</v>
      </c>
      <c r="N6" s="50" t="s">
        <v>71</v>
      </c>
      <c r="O6" s="50" t="s">
        <v>71</v>
      </c>
      <c r="P6" s="63" t="s">
        <v>71</v>
      </c>
      <c r="Q6" s="65"/>
      <c r="R6" s="51"/>
      <c r="S6" s="67"/>
      <c r="T6" s="322"/>
      <c r="U6" s="326" t="s">
        <v>698</v>
      </c>
    </row>
    <row r="7" spans="1:22" ht="28.2" customHeight="1" x14ac:dyDescent="0.35">
      <c r="B7" s="122"/>
      <c r="C7" s="310"/>
      <c r="D7" s="227" t="s">
        <v>583</v>
      </c>
      <c r="E7" s="231">
        <f t="shared" si="0"/>
        <v>4</v>
      </c>
      <c r="F7" s="97" t="s">
        <v>584</v>
      </c>
      <c r="G7" s="91" t="s">
        <v>581</v>
      </c>
      <c r="H7" s="78" t="s">
        <v>310</v>
      </c>
      <c r="I7" s="48" t="s">
        <v>71</v>
      </c>
      <c r="J7" s="48" t="s">
        <v>71</v>
      </c>
      <c r="K7" s="48" t="s">
        <v>71</v>
      </c>
      <c r="L7" s="78" t="s">
        <v>310</v>
      </c>
      <c r="M7" s="78" t="s">
        <v>310</v>
      </c>
      <c r="N7" s="48" t="s">
        <v>71</v>
      </c>
      <c r="O7" s="48" t="s">
        <v>71</v>
      </c>
      <c r="P7" s="62" t="s">
        <v>71</v>
      </c>
      <c r="Q7" s="83">
        <v>45691</v>
      </c>
      <c r="R7" s="59"/>
      <c r="S7" s="84"/>
      <c r="T7" s="85" t="s">
        <v>969</v>
      </c>
      <c r="U7" s="101" t="s">
        <v>871</v>
      </c>
    </row>
    <row r="8" spans="1:22" ht="26.4" x14ac:dyDescent="0.35">
      <c r="B8" s="122"/>
      <c r="C8" s="311"/>
      <c r="D8" s="227" t="s">
        <v>589</v>
      </c>
      <c r="E8" s="231">
        <f t="shared" si="0"/>
        <v>5</v>
      </c>
      <c r="F8" s="97" t="s">
        <v>586</v>
      </c>
      <c r="G8" s="91" t="s">
        <v>581</v>
      </c>
      <c r="H8" s="78" t="s">
        <v>310</v>
      </c>
      <c r="I8" s="48" t="s">
        <v>71</v>
      </c>
      <c r="J8" s="48" t="s">
        <v>71</v>
      </c>
      <c r="K8" s="48" t="s">
        <v>71</v>
      </c>
      <c r="L8" s="78" t="s">
        <v>310</v>
      </c>
      <c r="M8" s="78" t="s">
        <v>310</v>
      </c>
      <c r="N8" s="48" t="s">
        <v>71</v>
      </c>
      <c r="O8" s="48" t="s">
        <v>71</v>
      </c>
      <c r="P8" s="62" t="s">
        <v>71</v>
      </c>
      <c r="Q8" s="83">
        <v>45691</v>
      </c>
      <c r="R8" s="59"/>
      <c r="S8" s="84"/>
      <c r="T8" s="85" t="s">
        <v>969</v>
      </c>
      <c r="U8" s="100" t="s">
        <v>879</v>
      </c>
    </row>
    <row r="9" spans="1:22" ht="28.2" customHeight="1" x14ac:dyDescent="0.35">
      <c r="B9" s="122"/>
      <c r="C9" s="310"/>
      <c r="D9" s="227" t="s">
        <v>619</v>
      </c>
      <c r="E9" s="231">
        <f t="shared" si="0"/>
        <v>6</v>
      </c>
      <c r="F9" s="97" t="s">
        <v>580</v>
      </c>
      <c r="G9" s="91" t="s">
        <v>581</v>
      </c>
      <c r="H9" s="78" t="s">
        <v>310</v>
      </c>
      <c r="I9" s="48" t="s">
        <v>71</v>
      </c>
      <c r="J9" s="48" t="s">
        <v>71</v>
      </c>
      <c r="K9" s="48" t="s">
        <v>71</v>
      </c>
      <c r="L9" s="78" t="s">
        <v>310</v>
      </c>
      <c r="M9" s="78" t="s">
        <v>310</v>
      </c>
      <c r="N9" s="48" t="s">
        <v>71</v>
      </c>
      <c r="O9" s="48" t="s">
        <v>71</v>
      </c>
      <c r="P9" s="62" t="s">
        <v>71</v>
      </c>
      <c r="Q9" s="83">
        <v>45691</v>
      </c>
      <c r="R9" s="59"/>
      <c r="S9" s="84"/>
      <c r="T9" s="85" t="s">
        <v>969</v>
      </c>
      <c r="U9" s="101" t="s">
        <v>874</v>
      </c>
    </row>
    <row r="10" spans="1:22" ht="28.2" customHeight="1" x14ac:dyDescent="0.35">
      <c r="B10" s="122"/>
      <c r="C10" s="123"/>
      <c r="D10" s="227" t="s">
        <v>592</v>
      </c>
      <c r="E10" s="231">
        <f t="shared" si="0"/>
        <v>7</v>
      </c>
      <c r="F10" s="97" t="s">
        <v>586</v>
      </c>
      <c r="G10" s="91" t="s">
        <v>581</v>
      </c>
      <c r="H10" s="78" t="s">
        <v>310</v>
      </c>
      <c r="I10" s="48" t="s">
        <v>71</v>
      </c>
      <c r="J10" s="48" t="s">
        <v>71</v>
      </c>
      <c r="K10" s="48" t="s">
        <v>71</v>
      </c>
      <c r="L10" s="78" t="s">
        <v>310</v>
      </c>
      <c r="M10" s="78" t="s">
        <v>310</v>
      </c>
      <c r="N10" s="339" t="s">
        <v>71</v>
      </c>
      <c r="O10" s="339" t="s">
        <v>71</v>
      </c>
      <c r="P10" s="343" t="s">
        <v>71</v>
      </c>
      <c r="Q10" s="83">
        <v>45691</v>
      </c>
      <c r="R10" s="59"/>
      <c r="S10" s="84"/>
      <c r="T10" s="85" t="s">
        <v>969</v>
      </c>
      <c r="U10" s="342" t="s">
        <v>880</v>
      </c>
    </row>
    <row r="11" spans="1:22" ht="28.2" customHeight="1" x14ac:dyDescent="0.35">
      <c r="B11" s="122"/>
      <c r="C11" s="124" t="s">
        <v>593</v>
      </c>
      <c r="D11" s="325" t="s">
        <v>579</v>
      </c>
      <c r="E11" s="94">
        <f t="shared" si="0"/>
        <v>8</v>
      </c>
      <c r="F11" s="95" t="s">
        <v>595</v>
      </c>
      <c r="G11" s="96" t="s">
        <v>596</v>
      </c>
      <c r="H11" s="282" t="s">
        <v>71</v>
      </c>
      <c r="I11" s="282" t="s">
        <v>71</v>
      </c>
      <c r="J11" s="282" t="s">
        <v>71</v>
      </c>
      <c r="K11" s="282" t="s">
        <v>71</v>
      </c>
      <c r="L11" s="282" t="s">
        <v>71</v>
      </c>
      <c r="M11" s="282" t="s">
        <v>71</v>
      </c>
      <c r="N11" s="50" t="s">
        <v>71</v>
      </c>
      <c r="O11" s="50" t="s">
        <v>71</v>
      </c>
      <c r="P11" s="63" t="s">
        <v>71</v>
      </c>
      <c r="Q11" s="65"/>
      <c r="R11" s="51"/>
      <c r="S11" s="67"/>
      <c r="T11" s="322"/>
      <c r="U11" s="326" t="s">
        <v>698</v>
      </c>
      <c r="V11" s="126"/>
    </row>
    <row r="12" spans="1:22" ht="28.2" customHeight="1" x14ac:dyDescent="0.35">
      <c r="B12" s="122"/>
      <c r="C12" s="267"/>
      <c r="D12" s="227" t="s">
        <v>583</v>
      </c>
      <c r="E12" s="231">
        <f t="shared" si="0"/>
        <v>9</v>
      </c>
      <c r="F12" s="97" t="s">
        <v>604</v>
      </c>
      <c r="G12" s="91" t="s">
        <v>596</v>
      </c>
      <c r="H12" s="78" t="s">
        <v>310</v>
      </c>
      <c r="I12" s="48" t="s">
        <v>71</v>
      </c>
      <c r="J12" s="48" t="s">
        <v>71</v>
      </c>
      <c r="K12" s="48" t="s">
        <v>71</v>
      </c>
      <c r="L12" s="78" t="s">
        <v>310</v>
      </c>
      <c r="M12" s="78" t="s">
        <v>310</v>
      </c>
      <c r="N12" s="48" t="s">
        <v>71</v>
      </c>
      <c r="O12" s="48" t="s">
        <v>71</v>
      </c>
      <c r="P12" s="62" t="s">
        <v>71</v>
      </c>
      <c r="Q12" s="83">
        <v>45691</v>
      </c>
      <c r="R12" s="59"/>
      <c r="S12" s="84"/>
      <c r="T12" s="85" t="s">
        <v>969</v>
      </c>
      <c r="U12" s="100" t="s">
        <v>885</v>
      </c>
    </row>
    <row r="13" spans="1:22" ht="28.95" customHeight="1" x14ac:dyDescent="0.35">
      <c r="B13" s="122"/>
      <c r="C13" s="123"/>
      <c r="D13" s="227" t="s">
        <v>589</v>
      </c>
      <c r="E13" s="231">
        <f t="shared" si="0"/>
        <v>10</v>
      </c>
      <c r="F13" s="97" t="s">
        <v>602</v>
      </c>
      <c r="G13" s="91" t="s">
        <v>596</v>
      </c>
      <c r="H13" s="78" t="s">
        <v>310</v>
      </c>
      <c r="I13" s="48" t="s">
        <v>71</v>
      </c>
      <c r="J13" s="48" t="s">
        <v>71</v>
      </c>
      <c r="K13" s="48" t="s">
        <v>71</v>
      </c>
      <c r="L13" s="78" t="s">
        <v>310</v>
      </c>
      <c r="M13" s="78" t="s">
        <v>310</v>
      </c>
      <c r="N13" s="48" t="s">
        <v>71</v>
      </c>
      <c r="O13" s="48" t="s">
        <v>71</v>
      </c>
      <c r="P13" s="62" t="s">
        <v>71</v>
      </c>
      <c r="Q13" s="83">
        <v>45691</v>
      </c>
      <c r="R13" s="59"/>
      <c r="S13" s="84"/>
      <c r="T13" s="85" t="s">
        <v>969</v>
      </c>
      <c r="U13" s="100" t="s">
        <v>886</v>
      </c>
    </row>
    <row r="14" spans="1:22" ht="28.2" customHeight="1" x14ac:dyDescent="0.35">
      <c r="B14" s="122"/>
      <c r="C14" s="267"/>
      <c r="D14" s="227" t="s">
        <v>619</v>
      </c>
      <c r="E14" s="231">
        <f t="shared" si="0"/>
        <v>11</v>
      </c>
      <c r="F14" s="97" t="s">
        <v>595</v>
      </c>
      <c r="G14" s="91" t="s">
        <v>596</v>
      </c>
      <c r="H14" s="78" t="s">
        <v>310</v>
      </c>
      <c r="I14" s="48" t="s">
        <v>71</v>
      </c>
      <c r="J14" s="48" t="s">
        <v>71</v>
      </c>
      <c r="K14" s="48" t="s">
        <v>71</v>
      </c>
      <c r="L14" s="78" t="s">
        <v>310</v>
      </c>
      <c r="M14" s="78" t="s">
        <v>310</v>
      </c>
      <c r="N14" s="48" t="s">
        <v>71</v>
      </c>
      <c r="O14" s="48" t="s">
        <v>71</v>
      </c>
      <c r="P14" s="62" t="s">
        <v>71</v>
      </c>
      <c r="Q14" s="83">
        <v>45691</v>
      </c>
      <c r="R14" s="59"/>
      <c r="S14" s="84"/>
      <c r="T14" s="85" t="s">
        <v>969</v>
      </c>
      <c r="U14" s="101" t="s">
        <v>887</v>
      </c>
      <c r="V14" s="126"/>
    </row>
    <row r="15" spans="1:22" ht="28.2" customHeight="1" x14ac:dyDescent="0.35">
      <c r="B15" s="122"/>
      <c r="C15" s="267"/>
      <c r="D15" s="227" t="s">
        <v>592</v>
      </c>
      <c r="E15" s="231">
        <f t="shared" si="0"/>
        <v>12</v>
      </c>
      <c r="F15" s="97" t="s">
        <v>602</v>
      </c>
      <c r="G15" s="91" t="s">
        <v>596</v>
      </c>
      <c r="H15" s="78" t="s">
        <v>310</v>
      </c>
      <c r="I15" s="48" t="s">
        <v>71</v>
      </c>
      <c r="J15" s="48" t="s">
        <v>71</v>
      </c>
      <c r="K15" s="48" t="s">
        <v>71</v>
      </c>
      <c r="L15" s="78" t="s">
        <v>310</v>
      </c>
      <c r="M15" s="78" t="s">
        <v>310</v>
      </c>
      <c r="N15" s="48" t="s">
        <v>71</v>
      </c>
      <c r="O15" s="48" t="s">
        <v>71</v>
      </c>
      <c r="P15" s="62" t="s">
        <v>71</v>
      </c>
      <c r="Q15" s="83">
        <v>45691</v>
      </c>
      <c r="R15" s="59"/>
      <c r="S15" s="84"/>
      <c r="T15" s="85" t="s">
        <v>969</v>
      </c>
      <c r="U15" s="100" t="s">
        <v>888</v>
      </c>
    </row>
    <row r="16" spans="1:22" ht="28.2" customHeight="1" x14ac:dyDescent="0.35">
      <c r="B16" s="122"/>
      <c r="C16" s="124" t="s">
        <v>606</v>
      </c>
      <c r="D16" s="267" t="s">
        <v>607</v>
      </c>
      <c r="E16" s="231">
        <f t="shared" si="0"/>
        <v>13</v>
      </c>
      <c r="F16" s="97" t="s">
        <v>608</v>
      </c>
      <c r="G16" s="91" t="s">
        <v>609</v>
      </c>
      <c r="H16" s="78" t="s">
        <v>310</v>
      </c>
      <c r="I16" s="48" t="s">
        <v>71</v>
      </c>
      <c r="J16" s="48" t="s">
        <v>71</v>
      </c>
      <c r="K16" s="48" t="s">
        <v>71</v>
      </c>
      <c r="L16" s="78" t="s">
        <v>310</v>
      </c>
      <c r="M16" s="78" t="s">
        <v>310</v>
      </c>
      <c r="N16" s="48" t="s">
        <v>71</v>
      </c>
      <c r="O16" s="48" t="s">
        <v>71</v>
      </c>
      <c r="P16" s="62" t="s">
        <v>71</v>
      </c>
      <c r="Q16" s="83">
        <v>45691</v>
      </c>
      <c r="R16" s="59"/>
      <c r="S16" s="84"/>
      <c r="T16" s="85" t="s">
        <v>969</v>
      </c>
      <c r="U16" s="101" t="s">
        <v>892</v>
      </c>
    </row>
    <row r="17" spans="2:22" ht="28.2" customHeight="1" x14ac:dyDescent="0.35">
      <c r="B17" s="122"/>
      <c r="C17" s="267"/>
      <c r="D17" s="267"/>
      <c r="E17" s="231">
        <f t="shared" si="0"/>
        <v>14</v>
      </c>
      <c r="F17" s="97" t="s">
        <v>610</v>
      </c>
      <c r="G17" s="91" t="s">
        <v>609</v>
      </c>
      <c r="H17" s="78" t="s">
        <v>310</v>
      </c>
      <c r="I17" s="48" t="s">
        <v>71</v>
      </c>
      <c r="J17" s="48" t="s">
        <v>71</v>
      </c>
      <c r="K17" s="48" t="s">
        <v>71</v>
      </c>
      <c r="L17" s="78" t="s">
        <v>310</v>
      </c>
      <c r="M17" s="78" t="s">
        <v>310</v>
      </c>
      <c r="N17" s="48" t="s">
        <v>71</v>
      </c>
      <c r="O17" s="48" t="s">
        <v>71</v>
      </c>
      <c r="P17" s="62" t="s">
        <v>71</v>
      </c>
      <c r="Q17" s="83">
        <v>45691</v>
      </c>
      <c r="R17" s="59"/>
      <c r="S17" s="84"/>
      <c r="T17" s="85" t="s">
        <v>969</v>
      </c>
      <c r="U17" s="101" t="s">
        <v>896</v>
      </c>
    </row>
    <row r="18" spans="2:22" ht="28.2" customHeight="1" x14ac:dyDescent="0.35">
      <c r="B18" s="122"/>
      <c r="C18" s="267"/>
      <c r="D18" s="227"/>
      <c r="E18" s="231">
        <f t="shared" si="0"/>
        <v>15</v>
      </c>
      <c r="F18" s="97" t="s">
        <v>611</v>
      </c>
      <c r="G18" s="91" t="s">
        <v>609</v>
      </c>
      <c r="H18" s="78" t="s">
        <v>310</v>
      </c>
      <c r="I18" s="48" t="s">
        <v>71</v>
      </c>
      <c r="J18" s="48" t="s">
        <v>71</v>
      </c>
      <c r="K18" s="48" t="s">
        <v>71</v>
      </c>
      <c r="L18" s="78" t="s">
        <v>310</v>
      </c>
      <c r="M18" s="78" t="s">
        <v>310</v>
      </c>
      <c r="N18" s="48" t="s">
        <v>71</v>
      </c>
      <c r="O18" s="48" t="s">
        <v>71</v>
      </c>
      <c r="P18" s="62" t="s">
        <v>71</v>
      </c>
      <c r="Q18" s="83">
        <v>45691</v>
      </c>
      <c r="R18" s="59"/>
      <c r="S18" s="84"/>
      <c r="T18" s="85" t="s">
        <v>969</v>
      </c>
      <c r="U18" s="101" t="s">
        <v>897</v>
      </c>
    </row>
    <row r="19" spans="2:22" ht="28.2" customHeight="1" x14ac:dyDescent="0.35">
      <c r="B19" s="122"/>
      <c r="C19" s="123"/>
      <c r="D19" s="267" t="s">
        <v>612</v>
      </c>
      <c r="E19" s="231">
        <f t="shared" si="0"/>
        <v>16</v>
      </c>
      <c r="F19" s="97" t="s">
        <v>613</v>
      </c>
      <c r="G19" s="91" t="s">
        <v>609</v>
      </c>
      <c r="H19" s="78" t="s">
        <v>310</v>
      </c>
      <c r="I19" s="48" t="s">
        <v>71</v>
      </c>
      <c r="J19" s="48" t="s">
        <v>71</v>
      </c>
      <c r="K19" s="48" t="s">
        <v>71</v>
      </c>
      <c r="L19" s="78" t="s">
        <v>310</v>
      </c>
      <c r="M19" s="78" t="s">
        <v>310</v>
      </c>
      <c r="N19" s="48" t="s">
        <v>71</v>
      </c>
      <c r="O19" s="48" t="s">
        <v>71</v>
      </c>
      <c r="P19" s="62" t="s">
        <v>71</v>
      </c>
      <c r="Q19" s="83">
        <v>45691</v>
      </c>
      <c r="R19" s="59"/>
      <c r="S19" s="84"/>
      <c r="T19" s="85" t="s">
        <v>969</v>
      </c>
      <c r="U19" s="100" t="s">
        <v>898</v>
      </c>
    </row>
    <row r="20" spans="2:22" ht="28.2" customHeight="1" x14ac:dyDescent="0.35">
      <c r="B20" s="122"/>
      <c r="C20" s="267"/>
      <c r="D20" s="267"/>
      <c r="E20" s="231">
        <f t="shared" si="0"/>
        <v>17</v>
      </c>
      <c r="F20" s="97" t="s">
        <v>614</v>
      </c>
      <c r="G20" s="91" t="s">
        <v>609</v>
      </c>
      <c r="H20" s="78" t="s">
        <v>310</v>
      </c>
      <c r="I20" s="48" t="s">
        <v>71</v>
      </c>
      <c r="J20" s="48" t="s">
        <v>71</v>
      </c>
      <c r="K20" s="48" t="s">
        <v>71</v>
      </c>
      <c r="L20" s="78" t="s">
        <v>310</v>
      </c>
      <c r="M20" s="78" t="s">
        <v>310</v>
      </c>
      <c r="N20" s="48" t="s">
        <v>71</v>
      </c>
      <c r="O20" s="48" t="s">
        <v>71</v>
      </c>
      <c r="P20" s="62" t="s">
        <v>71</v>
      </c>
      <c r="Q20" s="83">
        <v>45691</v>
      </c>
      <c r="R20" s="59"/>
      <c r="S20" s="84"/>
      <c r="T20" s="85" t="s">
        <v>969</v>
      </c>
      <c r="U20" s="101" t="s">
        <v>899</v>
      </c>
    </row>
    <row r="21" spans="2:22" ht="28.2" customHeight="1" x14ac:dyDescent="0.35">
      <c r="B21" s="122"/>
      <c r="C21" s="267"/>
      <c r="D21" s="267"/>
      <c r="E21" s="231">
        <f t="shared" si="0"/>
        <v>18</v>
      </c>
      <c r="F21" s="97" t="s">
        <v>615</v>
      </c>
      <c r="G21" s="91" t="s">
        <v>609</v>
      </c>
      <c r="H21" s="78" t="s">
        <v>310</v>
      </c>
      <c r="I21" s="48" t="s">
        <v>71</v>
      </c>
      <c r="J21" s="48" t="s">
        <v>71</v>
      </c>
      <c r="K21" s="48" t="s">
        <v>71</v>
      </c>
      <c r="L21" s="78" t="s">
        <v>310</v>
      </c>
      <c r="M21" s="78" t="s">
        <v>310</v>
      </c>
      <c r="N21" s="48" t="s">
        <v>71</v>
      </c>
      <c r="O21" s="48" t="s">
        <v>71</v>
      </c>
      <c r="P21" s="62" t="s">
        <v>71</v>
      </c>
      <c r="Q21" s="83">
        <v>45691</v>
      </c>
      <c r="R21" s="59"/>
      <c r="S21" s="84"/>
      <c r="T21" s="85" t="s">
        <v>969</v>
      </c>
      <c r="U21" s="101" t="s">
        <v>901</v>
      </c>
    </row>
    <row r="22" spans="2:22" ht="28.2" customHeight="1" x14ac:dyDescent="0.35">
      <c r="B22" s="125" t="s">
        <v>616</v>
      </c>
      <c r="C22" s="232" t="s">
        <v>574</v>
      </c>
      <c r="D22" s="232" t="s">
        <v>575</v>
      </c>
      <c r="E22" s="231">
        <f t="shared" si="0"/>
        <v>19</v>
      </c>
      <c r="F22" s="97" t="s">
        <v>576</v>
      </c>
      <c r="G22" s="91" t="s">
        <v>577</v>
      </c>
      <c r="H22" s="78" t="s">
        <v>310</v>
      </c>
      <c r="I22" s="48" t="s">
        <v>71</v>
      </c>
      <c r="J22" s="48" t="s">
        <v>71</v>
      </c>
      <c r="K22" s="78" t="s">
        <v>310</v>
      </c>
      <c r="L22" s="78" t="s">
        <v>310</v>
      </c>
      <c r="M22" s="78" t="s">
        <v>310</v>
      </c>
      <c r="N22" s="48" t="s">
        <v>71</v>
      </c>
      <c r="O22" s="48" t="s">
        <v>71</v>
      </c>
      <c r="P22" s="62" t="s">
        <v>71</v>
      </c>
      <c r="Q22" s="83">
        <v>45691</v>
      </c>
      <c r="R22" s="59"/>
      <c r="S22" s="84"/>
      <c r="T22" s="85" t="s">
        <v>969</v>
      </c>
      <c r="U22" s="100" t="s">
        <v>903</v>
      </c>
    </row>
    <row r="23" spans="2:22" ht="28.2" customHeight="1" x14ac:dyDescent="0.35">
      <c r="B23" s="122"/>
      <c r="C23" s="267" t="s">
        <v>578</v>
      </c>
      <c r="D23" s="325" t="s">
        <v>579</v>
      </c>
      <c r="E23" s="94">
        <f t="shared" si="0"/>
        <v>20</v>
      </c>
      <c r="F23" s="95" t="s">
        <v>580</v>
      </c>
      <c r="G23" s="96" t="s">
        <v>617</v>
      </c>
      <c r="H23" s="282" t="s">
        <v>350</v>
      </c>
      <c r="I23" s="282" t="s">
        <v>350</v>
      </c>
      <c r="J23" s="282" t="s">
        <v>71</v>
      </c>
      <c r="K23" s="282" t="s">
        <v>350</v>
      </c>
      <c r="L23" s="282" t="s">
        <v>350</v>
      </c>
      <c r="M23" s="282" t="s">
        <v>350</v>
      </c>
      <c r="N23" s="50" t="s">
        <v>71</v>
      </c>
      <c r="O23" s="50" t="s">
        <v>71</v>
      </c>
      <c r="P23" s="63" t="s">
        <v>71</v>
      </c>
      <c r="Q23" s="65"/>
      <c r="R23" s="51"/>
      <c r="S23" s="67"/>
      <c r="T23" s="322"/>
      <c r="U23" s="326" t="s">
        <v>698</v>
      </c>
    </row>
    <row r="24" spans="2:22" ht="28.2" customHeight="1" x14ac:dyDescent="0.35">
      <c r="B24" s="122"/>
      <c r="C24" s="123"/>
      <c r="D24" s="325" t="s">
        <v>587</v>
      </c>
      <c r="E24" s="94">
        <f t="shared" si="0"/>
        <v>21</v>
      </c>
      <c r="F24" s="95" t="s">
        <v>580</v>
      </c>
      <c r="G24" s="96" t="s">
        <v>617</v>
      </c>
      <c r="H24" s="79" t="s">
        <v>350</v>
      </c>
      <c r="I24" s="50" t="s">
        <v>350</v>
      </c>
      <c r="J24" s="50" t="s">
        <v>71</v>
      </c>
      <c r="K24" s="79" t="s">
        <v>350</v>
      </c>
      <c r="L24" s="79" t="s">
        <v>350</v>
      </c>
      <c r="M24" s="79" t="s">
        <v>350</v>
      </c>
      <c r="N24" s="50" t="s">
        <v>71</v>
      </c>
      <c r="O24" s="50" t="s">
        <v>71</v>
      </c>
      <c r="P24" s="63" t="s">
        <v>71</v>
      </c>
      <c r="Q24" s="329"/>
      <c r="R24" s="379"/>
      <c r="S24" s="380"/>
      <c r="T24" s="322"/>
      <c r="U24" s="326" t="s">
        <v>757</v>
      </c>
    </row>
    <row r="25" spans="2:22" ht="26.4" x14ac:dyDescent="0.35">
      <c r="B25" s="122"/>
      <c r="C25" s="123"/>
      <c r="D25" s="227" t="s">
        <v>589</v>
      </c>
      <c r="E25" s="231">
        <f t="shared" si="0"/>
        <v>22</v>
      </c>
      <c r="F25" s="97" t="s">
        <v>586</v>
      </c>
      <c r="G25" s="91" t="s">
        <v>617</v>
      </c>
      <c r="H25" s="78" t="s">
        <v>310</v>
      </c>
      <c r="I25" s="48" t="s">
        <v>71</v>
      </c>
      <c r="J25" s="48" t="s">
        <v>71</v>
      </c>
      <c r="K25" s="48" t="s">
        <v>71</v>
      </c>
      <c r="L25" s="78" t="s">
        <v>310</v>
      </c>
      <c r="M25" s="78" t="s">
        <v>310</v>
      </c>
      <c r="N25" s="48" t="s">
        <v>71</v>
      </c>
      <c r="O25" s="48" t="s">
        <v>71</v>
      </c>
      <c r="P25" s="62" t="s">
        <v>71</v>
      </c>
      <c r="Q25" s="83">
        <v>45691</v>
      </c>
      <c r="R25" s="59"/>
      <c r="S25" s="84"/>
      <c r="T25" s="85" t="s">
        <v>969</v>
      </c>
      <c r="U25" s="342" t="s">
        <v>904</v>
      </c>
    </row>
    <row r="26" spans="2:22" ht="28.2" customHeight="1" x14ac:dyDescent="0.35">
      <c r="B26" s="122"/>
      <c r="C26" s="123"/>
      <c r="D26" s="227" t="s">
        <v>619</v>
      </c>
      <c r="E26" s="231">
        <f t="shared" si="0"/>
        <v>23</v>
      </c>
      <c r="F26" s="97" t="s">
        <v>580</v>
      </c>
      <c r="G26" s="91" t="s">
        <v>617</v>
      </c>
      <c r="H26" s="78" t="s">
        <v>310</v>
      </c>
      <c r="I26" s="48" t="s">
        <v>71</v>
      </c>
      <c r="J26" s="48" t="s">
        <v>71</v>
      </c>
      <c r="K26" s="48" t="s">
        <v>71</v>
      </c>
      <c r="L26" s="78" t="s">
        <v>310</v>
      </c>
      <c r="M26" s="78" t="s">
        <v>310</v>
      </c>
      <c r="N26" s="48" t="s">
        <v>71</v>
      </c>
      <c r="O26" s="48" t="s">
        <v>71</v>
      </c>
      <c r="P26" s="62" t="s">
        <v>71</v>
      </c>
      <c r="Q26" s="83">
        <v>45691</v>
      </c>
      <c r="R26" s="59"/>
      <c r="S26" s="84"/>
      <c r="T26" s="85" t="s">
        <v>969</v>
      </c>
      <c r="U26" s="101" t="s">
        <v>903</v>
      </c>
    </row>
    <row r="27" spans="2:22" ht="28.2" customHeight="1" x14ac:dyDescent="0.35">
      <c r="B27" s="122"/>
      <c r="C27" s="123"/>
      <c r="D27" s="227" t="s">
        <v>592</v>
      </c>
      <c r="E27" s="231">
        <f t="shared" si="0"/>
        <v>24</v>
      </c>
      <c r="F27" s="97" t="s">
        <v>586</v>
      </c>
      <c r="G27" s="91" t="s">
        <v>617</v>
      </c>
      <c r="H27" s="78" t="s">
        <v>310</v>
      </c>
      <c r="I27" s="48" t="s">
        <v>71</v>
      </c>
      <c r="J27" s="48" t="s">
        <v>71</v>
      </c>
      <c r="K27" s="48" t="s">
        <v>71</v>
      </c>
      <c r="L27" s="78" t="s">
        <v>310</v>
      </c>
      <c r="M27" s="78" t="s">
        <v>310</v>
      </c>
      <c r="N27" s="48" t="s">
        <v>71</v>
      </c>
      <c r="O27" s="48" t="s">
        <v>71</v>
      </c>
      <c r="P27" s="62" t="s">
        <v>71</v>
      </c>
      <c r="Q27" s="83">
        <v>45691</v>
      </c>
      <c r="R27" s="59"/>
      <c r="S27" s="84"/>
      <c r="T27" s="85" t="s">
        <v>969</v>
      </c>
      <c r="U27" s="342" t="s">
        <v>905</v>
      </c>
    </row>
    <row r="28" spans="2:22" ht="28.2" customHeight="1" x14ac:dyDescent="0.35">
      <c r="B28" s="122"/>
      <c r="C28" s="124" t="s">
        <v>593</v>
      </c>
      <c r="D28" s="327" t="s">
        <v>594</v>
      </c>
      <c r="E28" s="94">
        <f t="shared" si="0"/>
        <v>25</v>
      </c>
      <c r="F28" s="95" t="s">
        <v>595</v>
      </c>
      <c r="G28" s="96" t="s">
        <v>620</v>
      </c>
      <c r="H28" s="79" t="s">
        <v>350</v>
      </c>
      <c r="I28" s="50" t="s">
        <v>350</v>
      </c>
      <c r="J28" s="50" t="s">
        <v>71</v>
      </c>
      <c r="K28" s="50" t="s">
        <v>71</v>
      </c>
      <c r="L28" s="50" t="s">
        <v>71</v>
      </c>
      <c r="M28" s="50" t="s">
        <v>71</v>
      </c>
      <c r="N28" s="50" t="s">
        <v>71</v>
      </c>
      <c r="O28" s="50" t="s">
        <v>71</v>
      </c>
      <c r="P28" s="63" t="s">
        <v>71</v>
      </c>
      <c r="Q28" s="65"/>
      <c r="R28" s="51"/>
      <c r="S28" s="67"/>
      <c r="T28" s="322"/>
      <c r="U28" s="326" t="s">
        <v>698</v>
      </c>
      <c r="V28" s="126"/>
    </row>
    <row r="29" spans="2:22" ht="26.4" x14ac:dyDescent="0.35">
      <c r="B29" s="122"/>
      <c r="C29" s="267"/>
      <c r="D29" s="328" t="s">
        <v>598</v>
      </c>
      <c r="E29" s="94">
        <f t="shared" si="0"/>
        <v>26</v>
      </c>
      <c r="F29" s="95" t="s">
        <v>599</v>
      </c>
      <c r="G29" s="96" t="s">
        <v>620</v>
      </c>
      <c r="H29" s="50" t="s">
        <v>350</v>
      </c>
      <c r="I29" s="50" t="s">
        <v>350</v>
      </c>
      <c r="J29" s="50" t="s">
        <v>350</v>
      </c>
      <c r="K29" s="50" t="s">
        <v>350</v>
      </c>
      <c r="L29" s="50" t="s">
        <v>350</v>
      </c>
      <c r="M29" s="50" t="s">
        <v>350</v>
      </c>
      <c r="N29" s="50" t="s">
        <v>71</v>
      </c>
      <c r="O29" s="50" t="s">
        <v>71</v>
      </c>
      <c r="P29" s="63" t="s">
        <v>71</v>
      </c>
      <c r="Q29" s="329"/>
      <c r="R29" s="379"/>
      <c r="S29" s="380"/>
      <c r="T29" s="322"/>
      <c r="U29" s="326" t="s">
        <v>757</v>
      </c>
    </row>
    <row r="30" spans="2:22" ht="28.2" customHeight="1" x14ac:dyDescent="0.35">
      <c r="B30" s="122"/>
      <c r="C30" s="267"/>
      <c r="D30" s="232" t="s">
        <v>601</v>
      </c>
      <c r="E30" s="231">
        <f t="shared" si="0"/>
        <v>27</v>
      </c>
      <c r="F30" s="97" t="s">
        <v>602</v>
      </c>
      <c r="G30" s="91" t="s">
        <v>620</v>
      </c>
      <c r="H30" s="78" t="s">
        <v>310</v>
      </c>
      <c r="I30" s="48" t="s">
        <v>71</v>
      </c>
      <c r="J30" s="48" t="s">
        <v>71</v>
      </c>
      <c r="K30" s="48" t="s">
        <v>71</v>
      </c>
      <c r="L30" s="78" t="s">
        <v>310</v>
      </c>
      <c r="M30" s="78" t="s">
        <v>310</v>
      </c>
      <c r="N30" s="48" t="s">
        <v>71</v>
      </c>
      <c r="O30" s="48" t="s">
        <v>71</v>
      </c>
      <c r="P30" s="62" t="s">
        <v>71</v>
      </c>
      <c r="Q30" s="83">
        <v>45691</v>
      </c>
      <c r="R30" s="59"/>
      <c r="S30" s="84"/>
      <c r="T30" s="85" t="s">
        <v>969</v>
      </c>
      <c r="U30" s="101" t="s">
        <v>906</v>
      </c>
      <c r="V30" s="126"/>
    </row>
    <row r="31" spans="2:22" ht="28.95" customHeight="1" x14ac:dyDescent="0.35">
      <c r="B31" s="122"/>
      <c r="C31" s="123"/>
      <c r="D31" s="232" t="s">
        <v>605</v>
      </c>
      <c r="E31" s="231">
        <f t="shared" si="0"/>
        <v>28</v>
      </c>
      <c r="F31" s="97" t="s">
        <v>602</v>
      </c>
      <c r="G31" s="91" t="s">
        <v>620</v>
      </c>
      <c r="H31" s="78" t="s">
        <v>310</v>
      </c>
      <c r="I31" s="48" t="s">
        <v>71</v>
      </c>
      <c r="J31" s="48" t="s">
        <v>71</v>
      </c>
      <c r="K31" s="48" t="s">
        <v>71</v>
      </c>
      <c r="L31" s="78" t="s">
        <v>310</v>
      </c>
      <c r="M31" s="78" t="s">
        <v>310</v>
      </c>
      <c r="N31" s="48" t="s">
        <v>71</v>
      </c>
      <c r="O31" s="48" t="s">
        <v>71</v>
      </c>
      <c r="P31" s="62" t="s">
        <v>71</v>
      </c>
      <c r="Q31" s="83">
        <v>45691</v>
      </c>
      <c r="R31" s="59"/>
      <c r="S31" s="84"/>
      <c r="T31" s="85" t="s">
        <v>969</v>
      </c>
      <c r="U31" s="342" t="s">
        <v>907</v>
      </c>
    </row>
    <row r="32" spans="2:22" ht="28.2" customHeight="1" x14ac:dyDescent="0.35">
      <c r="B32" s="122"/>
      <c r="C32" s="124" t="s">
        <v>606</v>
      </c>
      <c r="D32" s="267" t="s">
        <v>607</v>
      </c>
      <c r="E32" s="231">
        <f t="shared" si="0"/>
        <v>29</v>
      </c>
      <c r="F32" s="97" t="s">
        <v>608</v>
      </c>
      <c r="G32" s="91" t="s">
        <v>621</v>
      </c>
      <c r="H32" s="78" t="s">
        <v>310</v>
      </c>
      <c r="I32" s="48" t="s">
        <v>71</v>
      </c>
      <c r="J32" s="48" t="s">
        <v>71</v>
      </c>
      <c r="K32" s="48" t="s">
        <v>71</v>
      </c>
      <c r="L32" s="78" t="s">
        <v>310</v>
      </c>
      <c r="M32" s="78" t="s">
        <v>310</v>
      </c>
      <c r="N32" s="48" t="s">
        <v>71</v>
      </c>
      <c r="O32" s="48" t="s">
        <v>71</v>
      </c>
      <c r="P32" s="62" t="s">
        <v>71</v>
      </c>
      <c r="Q32" s="83">
        <v>45691</v>
      </c>
      <c r="R32" s="59"/>
      <c r="S32" s="84"/>
      <c r="T32" s="85" t="s">
        <v>969</v>
      </c>
      <c r="U32" s="342" t="s">
        <v>911</v>
      </c>
    </row>
    <row r="33" spans="2:22" ht="28.2" customHeight="1" x14ac:dyDescent="0.35">
      <c r="B33" s="122"/>
      <c r="C33" s="267"/>
      <c r="D33" s="267"/>
      <c r="E33" s="231">
        <f t="shared" si="0"/>
        <v>30</v>
      </c>
      <c r="F33" s="97" t="s">
        <v>610</v>
      </c>
      <c r="G33" s="91" t="s">
        <v>621</v>
      </c>
      <c r="H33" s="78" t="s">
        <v>310</v>
      </c>
      <c r="I33" s="48" t="s">
        <v>71</v>
      </c>
      <c r="J33" s="48" t="s">
        <v>71</v>
      </c>
      <c r="K33" s="48" t="s">
        <v>71</v>
      </c>
      <c r="L33" s="78" t="s">
        <v>310</v>
      </c>
      <c r="M33" s="78" t="s">
        <v>310</v>
      </c>
      <c r="N33" s="48" t="s">
        <v>71</v>
      </c>
      <c r="O33" s="48" t="s">
        <v>71</v>
      </c>
      <c r="P33" s="62" t="s">
        <v>71</v>
      </c>
      <c r="Q33" s="83">
        <v>45691</v>
      </c>
      <c r="R33" s="59"/>
      <c r="S33" s="84"/>
      <c r="T33" s="85" t="s">
        <v>969</v>
      </c>
      <c r="U33" s="342" t="s">
        <v>908</v>
      </c>
    </row>
    <row r="34" spans="2:22" ht="28.2" customHeight="1" x14ac:dyDescent="0.35">
      <c r="B34" s="122"/>
      <c r="C34" s="123"/>
      <c r="D34" s="270" t="s">
        <v>612</v>
      </c>
      <c r="E34" s="231">
        <f t="shared" si="0"/>
        <v>31</v>
      </c>
      <c r="F34" s="97" t="s">
        <v>614</v>
      </c>
      <c r="G34" s="91" t="s">
        <v>621</v>
      </c>
      <c r="H34" s="78" t="s">
        <v>310</v>
      </c>
      <c r="I34" s="48" t="s">
        <v>71</v>
      </c>
      <c r="J34" s="48" t="s">
        <v>71</v>
      </c>
      <c r="K34" s="48" t="s">
        <v>71</v>
      </c>
      <c r="L34" s="78" t="s">
        <v>310</v>
      </c>
      <c r="M34" s="78" t="s">
        <v>310</v>
      </c>
      <c r="N34" s="48" t="s">
        <v>71</v>
      </c>
      <c r="O34" s="48" t="s">
        <v>71</v>
      </c>
      <c r="P34" s="62" t="s">
        <v>71</v>
      </c>
      <c r="Q34" s="83">
        <v>45691</v>
      </c>
      <c r="R34" s="59"/>
      <c r="S34" s="84"/>
      <c r="T34" s="85" t="s">
        <v>969</v>
      </c>
      <c r="U34" s="342" t="s">
        <v>909</v>
      </c>
    </row>
    <row r="35" spans="2:22" ht="28.2" customHeight="1" x14ac:dyDescent="0.35">
      <c r="B35" s="122"/>
      <c r="C35" s="267"/>
      <c r="D35" s="267"/>
      <c r="E35" s="231">
        <f t="shared" si="0"/>
        <v>32</v>
      </c>
      <c r="F35" s="97" t="s">
        <v>615</v>
      </c>
      <c r="G35" s="91" t="s">
        <v>621</v>
      </c>
      <c r="H35" s="78" t="s">
        <v>310</v>
      </c>
      <c r="I35" s="48" t="s">
        <v>71</v>
      </c>
      <c r="J35" s="48" t="s">
        <v>71</v>
      </c>
      <c r="K35" s="48" t="s">
        <v>71</v>
      </c>
      <c r="L35" s="78" t="s">
        <v>310</v>
      </c>
      <c r="M35" s="78" t="s">
        <v>310</v>
      </c>
      <c r="N35" s="48" t="s">
        <v>71</v>
      </c>
      <c r="O35" s="48" t="s">
        <v>71</v>
      </c>
      <c r="P35" s="62" t="s">
        <v>71</v>
      </c>
      <c r="Q35" s="83">
        <v>45691</v>
      </c>
      <c r="R35" s="59"/>
      <c r="S35" s="84"/>
      <c r="T35" s="85" t="s">
        <v>969</v>
      </c>
      <c r="U35" s="342" t="s">
        <v>910</v>
      </c>
    </row>
    <row r="36" spans="2:22" ht="28.2" customHeight="1" x14ac:dyDescent="0.35">
      <c r="B36" s="125" t="s">
        <v>623</v>
      </c>
      <c r="C36" s="268" t="s">
        <v>570</v>
      </c>
      <c r="D36" s="233"/>
      <c r="E36" s="231">
        <f t="shared" si="0"/>
        <v>33</v>
      </c>
      <c r="F36" s="97" t="s">
        <v>624</v>
      </c>
      <c r="G36" s="91" t="s">
        <v>625</v>
      </c>
      <c r="H36" s="78" t="s">
        <v>310</v>
      </c>
      <c r="I36" s="48" t="s">
        <v>71</v>
      </c>
      <c r="J36" s="48" t="s">
        <v>71</v>
      </c>
      <c r="K36" s="48" t="s">
        <v>71</v>
      </c>
      <c r="L36" s="48" t="s">
        <v>71</v>
      </c>
      <c r="M36" s="48" t="s">
        <v>71</v>
      </c>
      <c r="N36" s="48" t="s">
        <v>71</v>
      </c>
      <c r="O36" s="78" t="s">
        <v>310</v>
      </c>
      <c r="P36" s="62" t="s">
        <v>71</v>
      </c>
      <c r="Q36" s="83">
        <v>45691</v>
      </c>
      <c r="R36" s="59"/>
      <c r="S36" s="84"/>
      <c r="T36" s="85" t="s">
        <v>969</v>
      </c>
      <c r="U36" s="100"/>
    </row>
    <row r="37" spans="2:22" ht="28.2" customHeight="1" x14ac:dyDescent="0.35">
      <c r="B37" s="122"/>
      <c r="C37" s="269" t="s">
        <v>626</v>
      </c>
      <c r="D37" s="233" t="s">
        <v>627</v>
      </c>
      <c r="E37" s="231">
        <f t="shared" si="0"/>
        <v>34</v>
      </c>
      <c r="F37" s="97" t="s">
        <v>576</v>
      </c>
      <c r="G37" s="91" t="s">
        <v>628</v>
      </c>
      <c r="H37" s="78" t="s">
        <v>310</v>
      </c>
      <c r="I37" s="48" t="s">
        <v>71</v>
      </c>
      <c r="J37" s="48" t="s">
        <v>71</v>
      </c>
      <c r="K37" s="48" t="s">
        <v>71</v>
      </c>
      <c r="L37" s="78" t="s">
        <v>310</v>
      </c>
      <c r="M37" s="78" t="s">
        <v>310</v>
      </c>
      <c r="N37" s="48" t="s">
        <v>71</v>
      </c>
      <c r="O37" s="78" t="s">
        <v>310</v>
      </c>
      <c r="P37" s="62" t="s">
        <v>71</v>
      </c>
      <c r="Q37" s="83">
        <v>45691</v>
      </c>
      <c r="R37" s="59"/>
      <c r="S37" s="84"/>
      <c r="T37" s="85" t="s">
        <v>969</v>
      </c>
      <c r="U37" s="100"/>
    </row>
    <row r="38" spans="2:22" ht="28.2" customHeight="1" x14ac:dyDescent="0.35">
      <c r="B38" s="122"/>
      <c r="C38" s="267"/>
      <c r="D38" s="230" t="s">
        <v>629</v>
      </c>
      <c r="E38" s="231">
        <f t="shared" si="0"/>
        <v>35</v>
      </c>
      <c r="F38" s="97" t="s">
        <v>630</v>
      </c>
      <c r="G38" s="91" t="s">
        <v>628</v>
      </c>
      <c r="H38" s="78" t="s">
        <v>310</v>
      </c>
      <c r="I38" s="48" t="s">
        <v>71</v>
      </c>
      <c r="J38" s="48" t="s">
        <v>71</v>
      </c>
      <c r="K38" s="48" t="s">
        <v>71</v>
      </c>
      <c r="L38" s="78" t="s">
        <v>310</v>
      </c>
      <c r="M38" s="78" t="s">
        <v>310</v>
      </c>
      <c r="N38" s="48" t="s">
        <v>71</v>
      </c>
      <c r="O38" s="78" t="s">
        <v>310</v>
      </c>
      <c r="P38" s="62" t="s">
        <v>71</v>
      </c>
      <c r="Q38" s="83">
        <v>45691</v>
      </c>
      <c r="R38" s="59"/>
      <c r="S38" s="84"/>
      <c r="T38" s="85" t="s">
        <v>969</v>
      </c>
      <c r="U38" s="100"/>
    </row>
    <row r="39" spans="2:22" ht="28.2" customHeight="1" x14ac:dyDescent="0.35">
      <c r="B39" s="122"/>
      <c r="C39" s="123"/>
      <c r="D39" s="230" t="s">
        <v>631</v>
      </c>
      <c r="E39" s="231">
        <f t="shared" si="0"/>
        <v>36</v>
      </c>
      <c r="F39" s="97" t="s">
        <v>632</v>
      </c>
      <c r="G39" s="91" t="s">
        <v>628</v>
      </c>
      <c r="H39" s="78" t="s">
        <v>310</v>
      </c>
      <c r="I39" s="48" t="s">
        <v>71</v>
      </c>
      <c r="J39" s="48" t="s">
        <v>71</v>
      </c>
      <c r="K39" s="48" t="s">
        <v>71</v>
      </c>
      <c r="L39" s="78" t="s">
        <v>310</v>
      </c>
      <c r="M39" s="78" t="s">
        <v>310</v>
      </c>
      <c r="N39" s="48" t="s">
        <v>71</v>
      </c>
      <c r="O39" s="78" t="s">
        <v>310</v>
      </c>
      <c r="P39" s="62" t="s">
        <v>71</v>
      </c>
      <c r="Q39" s="83">
        <v>45691</v>
      </c>
      <c r="R39" s="59"/>
      <c r="S39" s="84"/>
      <c r="T39" s="85" t="s">
        <v>969</v>
      </c>
      <c r="U39" s="100" t="s">
        <v>758</v>
      </c>
    </row>
    <row r="40" spans="2:22" ht="28.2" customHeight="1" x14ac:dyDescent="0.35">
      <c r="B40" s="122"/>
      <c r="C40" s="270" t="s">
        <v>633</v>
      </c>
      <c r="D40" s="233" t="s">
        <v>627</v>
      </c>
      <c r="E40" s="231">
        <f t="shared" si="0"/>
        <v>37</v>
      </c>
      <c r="F40" s="97" t="s">
        <v>576</v>
      </c>
      <c r="G40" s="91" t="s">
        <v>634</v>
      </c>
      <c r="H40" s="78" t="s">
        <v>310</v>
      </c>
      <c r="I40" s="48" t="s">
        <v>71</v>
      </c>
      <c r="J40" s="48" t="s">
        <v>71</v>
      </c>
      <c r="K40" s="48" t="s">
        <v>71</v>
      </c>
      <c r="L40" s="78" t="s">
        <v>310</v>
      </c>
      <c r="M40" s="78" t="s">
        <v>310</v>
      </c>
      <c r="N40" s="48" t="s">
        <v>71</v>
      </c>
      <c r="O40" s="78" t="s">
        <v>310</v>
      </c>
      <c r="P40" s="62" t="s">
        <v>71</v>
      </c>
      <c r="Q40" s="83">
        <v>45691</v>
      </c>
      <c r="R40" s="59"/>
      <c r="S40" s="84"/>
      <c r="T40" s="85" t="s">
        <v>969</v>
      </c>
      <c r="U40" s="100"/>
    </row>
    <row r="41" spans="2:22" ht="28.2" customHeight="1" x14ac:dyDescent="0.35">
      <c r="B41" s="122"/>
      <c r="C41" s="123"/>
      <c r="D41" s="230" t="s">
        <v>629</v>
      </c>
      <c r="E41" s="231">
        <f t="shared" si="0"/>
        <v>38</v>
      </c>
      <c r="F41" s="97" t="s">
        <v>630</v>
      </c>
      <c r="G41" s="91" t="s">
        <v>634</v>
      </c>
      <c r="H41" s="78" t="s">
        <v>310</v>
      </c>
      <c r="I41" s="48" t="s">
        <v>71</v>
      </c>
      <c r="J41" s="48" t="s">
        <v>71</v>
      </c>
      <c r="K41" s="48" t="s">
        <v>71</v>
      </c>
      <c r="L41" s="78" t="s">
        <v>310</v>
      </c>
      <c r="M41" s="78" t="s">
        <v>310</v>
      </c>
      <c r="N41" s="48" t="s">
        <v>71</v>
      </c>
      <c r="O41" s="78" t="s">
        <v>310</v>
      </c>
      <c r="P41" s="62" t="s">
        <v>71</v>
      </c>
      <c r="Q41" s="83">
        <v>45691</v>
      </c>
      <c r="R41" s="59"/>
      <c r="S41" s="84"/>
      <c r="T41" s="85" t="s">
        <v>969</v>
      </c>
      <c r="U41" s="100"/>
    </row>
    <row r="42" spans="2:22" ht="28.2" customHeight="1" x14ac:dyDescent="0.35">
      <c r="B42" s="122"/>
      <c r="C42" s="123"/>
      <c r="D42" s="230" t="s">
        <v>631</v>
      </c>
      <c r="E42" s="231">
        <f t="shared" si="0"/>
        <v>39</v>
      </c>
      <c r="F42" s="97" t="s">
        <v>632</v>
      </c>
      <c r="G42" s="91" t="s">
        <v>634</v>
      </c>
      <c r="H42" s="78" t="s">
        <v>310</v>
      </c>
      <c r="I42" s="48" t="s">
        <v>71</v>
      </c>
      <c r="J42" s="48" t="s">
        <v>71</v>
      </c>
      <c r="K42" s="48" t="s">
        <v>71</v>
      </c>
      <c r="L42" s="78" t="s">
        <v>310</v>
      </c>
      <c r="M42" s="78" t="s">
        <v>310</v>
      </c>
      <c r="N42" s="48" t="s">
        <v>71</v>
      </c>
      <c r="O42" s="78" t="s">
        <v>310</v>
      </c>
      <c r="P42" s="62" t="s">
        <v>71</v>
      </c>
      <c r="Q42" s="83">
        <v>45691</v>
      </c>
      <c r="R42" s="59"/>
      <c r="S42" s="84"/>
      <c r="T42" s="85" t="s">
        <v>969</v>
      </c>
      <c r="U42" s="100" t="s">
        <v>758</v>
      </c>
      <c r="V42" s="126"/>
    </row>
    <row r="43" spans="2:22" ht="28.2" customHeight="1" x14ac:dyDescent="0.35">
      <c r="B43" s="122"/>
      <c r="C43" s="270" t="s">
        <v>635</v>
      </c>
      <c r="D43" s="233" t="s">
        <v>627</v>
      </c>
      <c r="E43" s="231">
        <f t="shared" si="0"/>
        <v>40</v>
      </c>
      <c r="F43" s="97" t="s">
        <v>576</v>
      </c>
      <c r="G43" s="91" t="s">
        <v>636</v>
      </c>
      <c r="H43" s="78" t="s">
        <v>310</v>
      </c>
      <c r="I43" s="48" t="s">
        <v>71</v>
      </c>
      <c r="J43" s="48" t="s">
        <v>71</v>
      </c>
      <c r="K43" s="48" t="s">
        <v>71</v>
      </c>
      <c r="L43" s="78" t="s">
        <v>310</v>
      </c>
      <c r="M43" s="78" t="s">
        <v>310</v>
      </c>
      <c r="N43" s="48" t="s">
        <v>71</v>
      </c>
      <c r="O43" s="78" t="s">
        <v>310</v>
      </c>
      <c r="P43" s="62" t="s">
        <v>71</v>
      </c>
      <c r="Q43" s="83">
        <v>45691</v>
      </c>
      <c r="R43" s="59"/>
      <c r="S43" s="84"/>
      <c r="T43" s="85" t="s">
        <v>969</v>
      </c>
      <c r="U43" s="101" t="s">
        <v>912</v>
      </c>
      <c r="V43" s="126"/>
    </row>
    <row r="44" spans="2:22" ht="28.2" customHeight="1" x14ac:dyDescent="0.35">
      <c r="B44" s="122"/>
      <c r="C44" s="123"/>
      <c r="D44" s="230" t="s">
        <v>629</v>
      </c>
      <c r="E44" s="231">
        <f t="shared" si="0"/>
        <v>41</v>
      </c>
      <c r="F44" s="97" t="s">
        <v>630</v>
      </c>
      <c r="G44" s="91" t="s">
        <v>636</v>
      </c>
      <c r="H44" s="78" t="s">
        <v>310</v>
      </c>
      <c r="I44" s="48" t="s">
        <v>71</v>
      </c>
      <c r="J44" s="48" t="s">
        <v>71</v>
      </c>
      <c r="K44" s="48" t="s">
        <v>71</v>
      </c>
      <c r="L44" s="78" t="s">
        <v>310</v>
      </c>
      <c r="M44" s="78" t="s">
        <v>310</v>
      </c>
      <c r="N44" s="48" t="s">
        <v>71</v>
      </c>
      <c r="O44" s="78" t="s">
        <v>310</v>
      </c>
      <c r="P44" s="62" t="s">
        <v>71</v>
      </c>
      <c r="Q44" s="83">
        <v>45691</v>
      </c>
      <c r="R44" s="59"/>
      <c r="S44" s="84"/>
      <c r="T44" s="85" t="s">
        <v>969</v>
      </c>
      <c r="U44" s="101" t="s">
        <v>913</v>
      </c>
      <c r="V44" s="126"/>
    </row>
    <row r="45" spans="2:22" ht="28.2" customHeight="1" x14ac:dyDescent="0.35">
      <c r="B45" s="122"/>
      <c r="C45" s="123"/>
      <c r="D45" s="230" t="s">
        <v>631</v>
      </c>
      <c r="E45" s="231">
        <f t="shared" si="0"/>
        <v>42</v>
      </c>
      <c r="F45" s="97" t="s">
        <v>632</v>
      </c>
      <c r="G45" s="91" t="s">
        <v>636</v>
      </c>
      <c r="H45" s="78" t="s">
        <v>310</v>
      </c>
      <c r="I45" s="48" t="s">
        <v>71</v>
      </c>
      <c r="J45" s="48" t="s">
        <v>71</v>
      </c>
      <c r="K45" s="48" t="s">
        <v>71</v>
      </c>
      <c r="L45" s="78" t="s">
        <v>310</v>
      </c>
      <c r="M45" s="78" t="s">
        <v>310</v>
      </c>
      <c r="N45" s="48" t="s">
        <v>71</v>
      </c>
      <c r="O45" s="78" t="s">
        <v>310</v>
      </c>
      <c r="P45" s="62" t="s">
        <v>71</v>
      </c>
      <c r="Q45" s="83">
        <v>45691</v>
      </c>
      <c r="R45" s="59"/>
      <c r="S45" s="84"/>
      <c r="T45" s="85" t="s">
        <v>969</v>
      </c>
      <c r="U45" s="101" t="s">
        <v>914</v>
      </c>
      <c r="V45" s="126"/>
    </row>
    <row r="46" spans="2:22" ht="28.2" customHeight="1" x14ac:dyDescent="0.35">
      <c r="B46" s="122"/>
      <c r="C46" s="124" t="s">
        <v>271</v>
      </c>
      <c r="D46" s="233" t="s">
        <v>627</v>
      </c>
      <c r="E46" s="231">
        <f t="shared" si="0"/>
        <v>43</v>
      </c>
      <c r="F46" s="97" t="s">
        <v>576</v>
      </c>
      <c r="G46" s="91" t="s">
        <v>637</v>
      </c>
      <c r="H46" s="78" t="s">
        <v>310</v>
      </c>
      <c r="I46" s="48" t="s">
        <v>71</v>
      </c>
      <c r="J46" s="48" t="s">
        <v>71</v>
      </c>
      <c r="K46" s="48" t="s">
        <v>71</v>
      </c>
      <c r="L46" s="78" t="s">
        <v>310</v>
      </c>
      <c r="M46" s="78" t="s">
        <v>310</v>
      </c>
      <c r="N46" s="48" t="s">
        <v>71</v>
      </c>
      <c r="O46" s="78" t="s">
        <v>310</v>
      </c>
      <c r="P46" s="62" t="s">
        <v>71</v>
      </c>
      <c r="Q46" s="83">
        <v>45691</v>
      </c>
      <c r="R46" s="59"/>
      <c r="S46" s="84"/>
      <c r="T46" s="85" t="s">
        <v>969</v>
      </c>
      <c r="U46" s="100" t="s">
        <v>915</v>
      </c>
    </row>
    <row r="47" spans="2:22" ht="28.2" customHeight="1" x14ac:dyDescent="0.35">
      <c r="B47" s="122"/>
      <c r="C47" s="123"/>
      <c r="D47" s="230" t="s">
        <v>629</v>
      </c>
      <c r="E47" s="231">
        <f t="shared" si="0"/>
        <v>44</v>
      </c>
      <c r="F47" s="97" t="s">
        <v>630</v>
      </c>
      <c r="G47" s="91" t="s">
        <v>637</v>
      </c>
      <c r="H47" s="78" t="s">
        <v>310</v>
      </c>
      <c r="I47" s="48" t="s">
        <v>71</v>
      </c>
      <c r="J47" s="48" t="s">
        <v>71</v>
      </c>
      <c r="K47" s="48" t="s">
        <v>71</v>
      </c>
      <c r="L47" s="78" t="s">
        <v>310</v>
      </c>
      <c r="M47" s="78" t="s">
        <v>310</v>
      </c>
      <c r="N47" s="48" t="s">
        <v>71</v>
      </c>
      <c r="O47" s="78" t="s">
        <v>310</v>
      </c>
      <c r="P47" s="62" t="s">
        <v>71</v>
      </c>
      <c r="Q47" s="83">
        <v>45691</v>
      </c>
      <c r="R47" s="59"/>
      <c r="S47" s="84"/>
      <c r="T47" s="85" t="s">
        <v>969</v>
      </c>
      <c r="U47" s="100" t="s">
        <v>916</v>
      </c>
      <c r="V47" s="126"/>
    </row>
    <row r="48" spans="2:22" ht="28.2" customHeight="1" x14ac:dyDescent="0.35">
      <c r="B48" s="122"/>
      <c r="C48" s="227"/>
      <c r="D48" s="230" t="s">
        <v>631</v>
      </c>
      <c r="E48" s="231">
        <f t="shared" si="0"/>
        <v>45</v>
      </c>
      <c r="F48" s="97" t="s">
        <v>632</v>
      </c>
      <c r="G48" s="91" t="s">
        <v>637</v>
      </c>
      <c r="H48" s="78" t="s">
        <v>310</v>
      </c>
      <c r="I48" s="48" t="s">
        <v>71</v>
      </c>
      <c r="J48" s="48" t="s">
        <v>71</v>
      </c>
      <c r="K48" s="48" t="s">
        <v>71</v>
      </c>
      <c r="L48" s="78" t="s">
        <v>310</v>
      </c>
      <c r="M48" s="78" t="s">
        <v>310</v>
      </c>
      <c r="N48" s="48" t="s">
        <v>71</v>
      </c>
      <c r="O48" s="78" t="s">
        <v>310</v>
      </c>
      <c r="P48" s="62" t="s">
        <v>71</v>
      </c>
      <c r="Q48" s="83">
        <v>45691</v>
      </c>
      <c r="R48" s="59"/>
      <c r="S48" s="84"/>
      <c r="T48" s="85" t="s">
        <v>969</v>
      </c>
      <c r="U48" s="100" t="s">
        <v>917</v>
      </c>
      <c r="V48" s="126"/>
    </row>
    <row r="49" spans="2:22" ht="28.2" customHeight="1" x14ac:dyDescent="0.35">
      <c r="B49" s="122"/>
      <c r="C49" s="124" t="s">
        <v>638</v>
      </c>
      <c r="D49" s="267" t="s">
        <v>639</v>
      </c>
      <c r="E49" s="231">
        <f t="shared" si="0"/>
        <v>46</v>
      </c>
      <c r="F49" s="97" t="s">
        <v>640</v>
      </c>
      <c r="G49" s="91" t="s">
        <v>709</v>
      </c>
      <c r="H49" s="78" t="s">
        <v>310</v>
      </c>
      <c r="I49" s="48" t="s">
        <v>350</v>
      </c>
      <c r="J49" s="48" t="s">
        <v>71</v>
      </c>
      <c r="K49" s="78" t="s">
        <v>310</v>
      </c>
      <c r="L49" s="78" t="s">
        <v>310</v>
      </c>
      <c r="M49" s="78" t="s">
        <v>310</v>
      </c>
      <c r="N49" s="48" t="s">
        <v>71</v>
      </c>
      <c r="O49" s="78" t="s">
        <v>310</v>
      </c>
      <c r="P49" s="62" t="s">
        <v>71</v>
      </c>
      <c r="Q49" s="83">
        <v>45691</v>
      </c>
      <c r="R49" s="59"/>
      <c r="S49" s="84"/>
      <c r="T49" s="85" t="s">
        <v>969</v>
      </c>
      <c r="U49" s="100" t="s">
        <v>921</v>
      </c>
      <c r="V49" s="126"/>
    </row>
    <row r="50" spans="2:22" ht="28.2" customHeight="1" x14ac:dyDescent="0.35">
      <c r="B50" s="122"/>
      <c r="C50" s="267"/>
      <c r="D50" s="232" t="s">
        <v>643</v>
      </c>
      <c r="E50" s="231">
        <f t="shared" si="0"/>
        <v>47</v>
      </c>
      <c r="F50" s="97" t="s">
        <v>644</v>
      </c>
      <c r="G50" s="91" t="s">
        <v>641</v>
      </c>
      <c r="H50" s="78" t="s">
        <v>310</v>
      </c>
      <c r="I50" s="48" t="s">
        <v>350</v>
      </c>
      <c r="J50" s="48" t="s">
        <v>71</v>
      </c>
      <c r="K50" s="78" t="s">
        <v>310</v>
      </c>
      <c r="L50" s="78" t="s">
        <v>310</v>
      </c>
      <c r="M50" s="78" t="s">
        <v>310</v>
      </c>
      <c r="N50" s="48" t="s">
        <v>71</v>
      </c>
      <c r="O50" s="78" t="s">
        <v>310</v>
      </c>
      <c r="P50" s="62" t="s">
        <v>71</v>
      </c>
      <c r="Q50" s="83">
        <v>45691</v>
      </c>
      <c r="R50" s="59"/>
      <c r="S50" s="84"/>
      <c r="T50" s="85" t="s">
        <v>969</v>
      </c>
      <c r="U50" s="101" t="s">
        <v>922</v>
      </c>
    </row>
    <row r="51" spans="2:22" ht="28.95" customHeight="1" x14ac:dyDescent="0.35">
      <c r="B51" s="122"/>
      <c r="C51" s="123"/>
      <c r="D51" s="232" t="s">
        <v>645</v>
      </c>
      <c r="E51" s="231">
        <f t="shared" si="0"/>
        <v>48</v>
      </c>
      <c r="F51" s="97" t="s">
        <v>646</v>
      </c>
      <c r="G51" s="91" t="s">
        <v>647</v>
      </c>
      <c r="H51" s="78" t="s">
        <v>310</v>
      </c>
      <c r="I51" s="48" t="s">
        <v>350</v>
      </c>
      <c r="J51" s="48" t="s">
        <v>71</v>
      </c>
      <c r="K51" s="78" t="s">
        <v>310</v>
      </c>
      <c r="L51" s="78" t="s">
        <v>310</v>
      </c>
      <c r="M51" s="78" t="s">
        <v>310</v>
      </c>
      <c r="N51" s="48" t="s">
        <v>71</v>
      </c>
      <c r="O51" s="78" t="s">
        <v>310</v>
      </c>
      <c r="P51" s="62" t="s">
        <v>71</v>
      </c>
      <c r="Q51" s="83">
        <v>45691</v>
      </c>
      <c r="R51" s="59"/>
      <c r="S51" s="84"/>
      <c r="T51" s="85" t="s">
        <v>969</v>
      </c>
      <c r="U51" s="101" t="s">
        <v>923</v>
      </c>
    </row>
    <row r="52" spans="2:22" ht="28.2" customHeight="1" x14ac:dyDescent="0.35">
      <c r="B52" s="122"/>
      <c r="C52" s="124" t="s">
        <v>648</v>
      </c>
      <c r="D52" s="267" t="s">
        <v>570</v>
      </c>
      <c r="E52" s="231">
        <f t="shared" si="0"/>
        <v>49</v>
      </c>
      <c r="F52" s="97" t="s">
        <v>649</v>
      </c>
      <c r="G52" s="91" t="s">
        <v>650</v>
      </c>
      <c r="H52" s="78" t="s">
        <v>310</v>
      </c>
      <c r="I52" s="48" t="s">
        <v>350</v>
      </c>
      <c r="J52" s="48" t="s">
        <v>71</v>
      </c>
      <c r="K52" s="78" t="s">
        <v>310</v>
      </c>
      <c r="L52" s="78" t="s">
        <v>310</v>
      </c>
      <c r="M52" s="78" t="s">
        <v>310</v>
      </c>
      <c r="N52" s="48" t="s">
        <v>71</v>
      </c>
      <c r="O52" s="78" t="s">
        <v>310</v>
      </c>
      <c r="P52" s="62" t="s">
        <v>71</v>
      </c>
      <c r="Q52" s="83">
        <v>45692</v>
      </c>
      <c r="R52" s="59"/>
      <c r="S52" s="84"/>
      <c r="T52" s="85" t="s">
        <v>969</v>
      </c>
      <c r="U52" s="101" t="s">
        <v>945</v>
      </c>
      <c r="V52" s="126"/>
    </row>
    <row r="53" spans="2:22" ht="28.2" customHeight="1" x14ac:dyDescent="0.35">
      <c r="B53" s="122"/>
      <c r="C53" s="267"/>
      <c r="D53" s="270" t="s">
        <v>651</v>
      </c>
      <c r="E53" s="231">
        <f t="shared" si="0"/>
        <v>50</v>
      </c>
      <c r="F53" s="97" t="s">
        <v>630</v>
      </c>
      <c r="G53" s="91" t="s">
        <v>652</v>
      </c>
      <c r="H53" s="78" t="s">
        <v>310</v>
      </c>
      <c r="I53" s="48" t="s">
        <v>350</v>
      </c>
      <c r="J53" s="48" t="s">
        <v>71</v>
      </c>
      <c r="K53" s="78" t="s">
        <v>310</v>
      </c>
      <c r="L53" s="78" t="s">
        <v>310</v>
      </c>
      <c r="M53" s="78" t="s">
        <v>310</v>
      </c>
      <c r="N53" s="48" t="s">
        <v>71</v>
      </c>
      <c r="O53" s="78" t="s">
        <v>310</v>
      </c>
      <c r="P53" s="62" t="s">
        <v>71</v>
      </c>
      <c r="Q53" s="83">
        <v>45692</v>
      </c>
      <c r="R53" s="59"/>
      <c r="S53" s="84"/>
      <c r="T53" s="85" t="s">
        <v>969</v>
      </c>
      <c r="U53" s="101" t="s">
        <v>949</v>
      </c>
    </row>
    <row r="54" spans="2:22" ht="28.95" customHeight="1" x14ac:dyDescent="0.35">
      <c r="B54" s="122"/>
      <c r="C54" s="123"/>
      <c r="D54" s="227"/>
      <c r="E54" s="231">
        <f t="shared" si="0"/>
        <v>51</v>
      </c>
      <c r="F54" s="97" t="s">
        <v>576</v>
      </c>
      <c r="G54" s="91" t="s">
        <v>653</v>
      </c>
      <c r="H54" s="78" t="s">
        <v>310</v>
      </c>
      <c r="I54" s="48" t="s">
        <v>350</v>
      </c>
      <c r="J54" s="48" t="s">
        <v>71</v>
      </c>
      <c r="K54" s="78" t="s">
        <v>310</v>
      </c>
      <c r="L54" s="78" t="s">
        <v>310</v>
      </c>
      <c r="M54" s="78" t="s">
        <v>310</v>
      </c>
      <c r="N54" s="48" t="s">
        <v>71</v>
      </c>
      <c r="O54" s="78" t="s">
        <v>310</v>
      </c>
      <c r="P54" s="62" t="s">
        <v>71</v>
      </c>
      <c r="Q54" s="83">
        <v>45692</v>
      </c>
      <c r="R54" s="59"/>
      <c r="S54" s="84"/>
      <c r="T54" s="85" t="s">
        <v>969</v>
      </c>
      <c r="U54" s="101" t="s">
        <v>945</v>
      </c>
    </row>
    <row r="55" spans="2:22" ht="28.2" customHeight="1" x14ac:dyDescent="0.35">
      <c r="B55" s="276" t="s">
        <v>654</v>
      </c>
      <c r="C55" s="292" t="s">
        <v>655</v>
      </c>
      <c r="D55" s="278" t="s">
        <v>656</v>
      </c>
      <c r="E55" s="279">
        <f t="shared" si="0"/>
        <v>52</v>
      </c>
      <c r="F55" s="280" t="s">
        <v>657</v>
      </c>
      <c r="G55" s="281" t="s">
        <v>658</v>
      </c>
      <c r="H55" s="282" t="s">
        <v>71</v>
      </c>
      <c r="I55" s="282" t="s">
        <v>71</v>
      </c>
      <c r="J55" s="282" t="s">
        <v>71</v>
      </c>
      <c r="K55" s="282" t="s">
        <v>71</v>
      </c>
      <c r="L55" s="282" t="s">
        <v>71</v>
      </c>
      <c r="M55" s="282" t="s">
        <v>71</v>
      </c>
      <c r="N55" s="282" t="s">
        <v>71</v>
      </c>
      <c r="O55" s="282" t="s">
        <v>71</v>
      </c>
      <c r="P55" s="283" t="s">
        <v>71</v>
      </c>
      <c r="Q55" s="284"/>
      <c r="R55" s="285"/>
      <c r="S55" s="286"/>
      <c r="T55" s="287"/>
      <c r="U55" s="288"/>
      <c r="V55" s="126"/>
    </row>
    <row r="56" spans="2:22" ht="28.2" customHeight="1" x14ac:dyDescent="0.35">
      <c r="B56" s="289" t="s">
        <v>659</v>
      </c>
      <c r="C56" s="277"/>
      <c r="D56" s="290" t="s">
        <v>664</v>
      </c>
      <c r="E56" s="279">
        <f t="shared" si="0"/>
        <v>53</v>
      </c>
      <c r="F56" s="280" t="s">
        <v>664</v>
      </c>
      <c r="G56" s="281" t="s">
        <v>662</v>
      </c>
      <c r="H56" s="282" t="s">
        <v>71</v>
      </c>
      <c r="I56" s="282" t="s">
        <v>71</v>
      </c>
      <c r="J56" s="282" t="s">
        <v>71</v>
      </c>
      <c r="K56" s="282" t="s">
        <v>71</v>
      </c>
      <c r="L56" s="282" t="s">
        <v>71</v>
      </c>
      <c r="M56" s="282" t="s">
        <v>71</v>
      </c>
      <c r="N56" s="282" t="s">
        <v>71</v>
      </c>
      <c r="O56" s="282" t="s">
        <v>71</v>
      </c>
      <c r="P56" s="283" t="s">
        <v>71</v>
      </c>
      <c r="Q56" s="284"/>
      <c r="R56" s="285"/>
      <c r="S56" s="286"/>
      <c r="T56" s="287"/>
      <c r="U56" s="288"/>
    </row>
    <row r="57" spans="2:22" ht="28.2" customHeight="1" x14ac:dyDescent="0.35">
      <c r="B57" s="291"/>
      <c r="C57" s="277"/>
      <c r="D57" s="290" t="s">
        <v>693</v>
      </c>
      <c r="E57" s="279">
        <f t="shared" si="0"/>
        <v>54</v>
      </c>
      <c r="F57" s="280" t="s">
        <v>694</v>
      </c>
      <c r="G57" s="281" t="s">
        <v>662</v>
      </c>
      <c r="H57" s="282" t="s">
        <v>71</v>
      </c>
      <c r="I57" s="282" t="s">
        <v>71</v>
      </c>
      <c r="J57" s="282" t="s">
        <v>71</v>
      </c>
      <c r="K57" s="282" t="s">
        <v>71</v>
      </c>
      <c r="L57" s="282" t="s">
        <v>71</v>
      </c>
      <c r="M57" s="282" t="s">
        <v>71</v>
      </c>
      <c r="N57" s="282" t="s">
        <v>71</v>
      </c>
      <c r="O57" s="282" t="s">
        <v>71</v>
      </c>
      <c r="P57" s="283" t="s">
        <v>71</v>
      </c>
      <c r="Q57" s="284"/>
      <c r="R57" s="285"/>
      <c r="S57" s="286"/>
      <c r="T57" s="287"/>
      <c r="U57" s="288"/>
    </row>
    <row r="58" spans="2:22" ht="28.2" customHeight="1" x14ac:dyDescent="0.35">
      <c r="B58" s="291"/>
      <c r="C58" s="277"/>
      <c r="D58" s="290" t="s">
        <v>675</v>
      </c>
      <c r="E58" s="279">
        <f t="shared" si="0"/>
        <v>55</v>
      </c>
      <c r="F58" s="290" t="s">
        <v>277</v>
      </c>
      <c r="G58" s="281" t="s">
        <v>662</v>
      </c>
      <c r="H58" s="282" t="s">
        <v>71</v>
      </c>
      <c r="I58" s="282" t="s">
        <v>71</v>
      </c>
      <c r="J58" s="282" t="s">
        <v>71</v>
      </c>
      <c r="K58" s="282" t="s">
        <v>71</v>
      </c>
      <c r="L58" s="282" t="s">
        <v>71</v>
      </c>
      <c r="M58" s="282" t="s">
        <v>71</v>
      </c>
      <c r="N58" s="282" t="s">
        <v>71</v>
      </c>
      <c r="O58" s="282" t="s">
        <v>71</v>
      </c>
      <c r="P58" s="283" t="s">
        <v>71</v>
      </c>
      <c r="Q58" s="284"/>
      <c r="R58" s="285"/>
      <c r="S58" s="286"/>
      <c r="T58" s="287"/>
      <c r="U58" s="288"/>
    </row>
    <row r="59" spans="2:22" ht="28.2" customHeight="1" x14ac:dyDescent="0.35">
      <c r="B59" s="291"/>
      <c r="C59" s="277"/>
      <c r="D59" s="290" t="s">
        <v>676</v>
      </c>
      <c r="E59" s="279">
        <f t="shared" si="0"/>
        <v>56</v>
      </c>
      <c r="F59" s="290" t="s">
        <v>280</v>
      </c>
      <c r="G59" s="281" t="s">
        <v>662</v>
      </c>
      <c r="H59" s="282" t="s">
        <v>71</v>
      </c>
      <c r="I59" s="282" t="s">
        <v>71</v>
      </c>
      <c r="J59" s="282" t="s">
        <v>71</v>
      </c>
      <c r="K59" s="282" t="s">
        <v>71</v>
      </c>
      <c r="L59" s="282" t="s">
        <v>71</v>
      </c>
      <c r="M59" s="282" t="s">
        <v>71</v>
      </c>
      <c r="N59" s="282" t="s">
        <v>71</v>
      </c>
      <c r="O59" s="282" t="s">
        <v>71</v>
      </c>
      <c r="P59" s="283" t="s">
        <v>71</v>
      </c>
      <c r="Q59" s="284"/>
      <c r="R59" s="285"/>
      <c r="S59" s="286"/>
      <c r="T59" s="287"/>
      <c r="U59" s="288"/>
    </row>
    <row r="60" spans="2:22" ht="28.2" customHeight="1" x14ac:dyDescent="0.35">
      <c r="B60" s="291"/>
      <c r="C60" s="277"/>
      <c r="D60" s="290" t="s">
        <v>677</v>
      </c>
      <c r="E60" s="279">
        <f t="shared" si="0"/>
        <v>57</v>
      </c>
      <c r="F60" s="290" t="s">
        <v>282</v>
      </c>
      <c r="G60" s="281" t="s">
        <v>662</v>
      </c>
      <c r="H60" s="282" t="s">
        <v>71</v>
      </c>
      <c r="I60" s="282" t="s">
        <v>71</v>
      </c>
      <c r="J60" s="282" t="s">
        <v>71</v>
      </c>
      <c r="K60" s="282" t="s">
        <v>71</v>
      </c>
      <c r="L60" s="282" t="s">
        <v>71</v>
      </c>
      <c r="M60" s="282" t="s">
        <v>71</v>
      </c>
      <c r="N60" s="282" t="s">
        <v>71</v>
      </c>
      <c r="O60" s="282" t="s">
        <v>71</v>
      </c>
      <c r="P60" s="283" t="s">
        <v>71</v>
      </c>
      <c r="Q60" s="284"/>
      <c r="R60" s="285"/>
      <c r="S60" s="286"/>
      <c r="T60" s="287"/>
      <c r="U60" s="288"/>
    </row>
    <row r="61" spans="2:22" ht="28.2" customHeight="1" x14ac:dyDescent="0.35">
      <c r="B61" s="291"/>
      <c r="C61" s="277"/>
      <c r="D61" s="290" t="s">
        <v>678</v>
      </c>
      <c r="E61" s="279">
        <f t="shared" si="0"/>
        <v>58</v>
      </c>
      <c r="F61" s="290" t="s">
        <v>284</v>
      </c>
      <c r="G61" s="281" t="s">
        <v>662</v>
      </c>
      <c r="H61" s="282" t="s">
        <v>71</v>
      </c>
      <c r="I61" s="282" t="s">
        <v>71</v>
      </c>
      <c r="J61" s="282" t="s">
        <v>71</v>
      </c>
      <c r="K61" s="282" t="s">
        <v>71</v>
      </c>
      <c r="L61" s="282" t="s">
        <v>71</v>
      </c>
      <c r="M61" s="282" t="s">
        <v>71</v>
      </c>
      <c r="N61" s="282" t="s">
        <v>71</v>
      </c>
      <c r="O61" s="282" t="s">
        <v>71</v>
      </c>
      <c r="P61" s="283" t="s">
        <v>71</v>
      </c>
      <c r="Q61" s="284"/>
      <c r="R61" s="285"/>
      <c r="S61" s="286"/>
      <c r="T61" s="287"/>
      <c r="U61" s="288"/>
    </row>
    <row r="62" spans="2:22" ht="28.2" customHeight="1" x14ac:dyDescent="0.35">
      <c r="B62" s="291"/>
      <c r="C62" s="277"/>
      <c r="D62" s="290" t="s">
        <v>695</v>
      </c>
      <c r="E62" s="279">
        <f t="shared" si="0"/>
        <v>59</v>
      </c>
      <c r="F62" s="290" t="s">
        <v>680</v>
      </c>
      <c r="G62" s="281" t="s">
        <v>662</v>
      </c>
      <c r="H62" s="282" t="s">
        <v>71</v>
      </c>
      <c r="I62" s="282" t="s">
        <v>71</v>
      </c>
      <c r="J62" s="282" t="s">
        <v>71</v>
      </c>
      <c r="K62" s="282" t="s">
        <v>71</v>
      </c>
      <c r="L62" s="282" t="s">
        <v>71</v>
      </c>
      <c r="M62" s="282" t="s">
        <v>71</v>
      </c>
      <c r="N62" s="282" t="s">
        <v>71</v>
      </c>
      <c r="O62" s="282" t="s">
        <v>71</v>
      </c>
      <c r="P62" s="283" t="s">
        <v>71</v>
      </c>
      <c r="Q62" s="284"/>
      <c r="R62" s="285"/>
      <c r="S62" s="286"/>
      <c r="T62" s="287"/>
      <c r="U62" s="288"/>
    </row>
    <row r="63" spans="2:22" ht="28.2" customHeight="1" x14ac:dyDescent="0.35">
      <c r="B63" s="291"/>
      <c r="C63" s="277"/>
      <c r="D63" s="290" t="s">
        <v>696</v>
      </c>
      <c r="E63" s="279">
        <f t="shared" si="0"/>
        <v>60</v>
      </c>
      <c r="F63" s="290" t="s">
        <v>682</v>
      </c>
      <c r="G63" s="281" t="s">
        <v>683</v>
      </c>
      <c r="H63" s="282" t="s">
        <v>71</v>
      </c>
      <c r="I63" s="282" t="s">
        <v>71</v>
      </c>
      <c r="J63" s="282" t="s">
        <v>71</v>
      </c>
      <c r="K63" s="282" t="s">
        <v>71</v>
      </c>
      <c r="L63" s="282" t="s">
        <v>71</v>
      </c>
      <c r="M63" s="282" t="s">
        <v>71</v>
      </c>
      <c r="N63" s="282" t="s">
        <v>71</v>
      </c>
      <c r="O63" s="282" t="s">
        <v>71</v>
      </c>
      <c r="P63" s="283" t="s">
        <v>71</v>
      </c>
      <c r="Q63" s="284"/>
      <c r="R63" s="285"/>
      <c r="S63" s="286"/>
      <c r="T63" s="287"/>
      <c r="U63" s="288"/>
    </row>
    <row r="64" spans="2:22" ht="28.2" customHeight="1" x14ac:dyDescent="0.35">
      <c r="B64" s="125" t="s">
        <v>654</v>
      </c>
      <c r="C64" s="270" t="s">
        <v>655</v>
      </c>
      <c r="D64" s="234" t="s">
        <v>656</v>
      </c>
      <c r="E64" s="89">
        <f t="shared" si="0"/>
        <v>61</v>
      </c>
      <c r="F64" s="90" t="s">
        <v>657</v>
      </c>
      <c r="G64" s="91" t="s">
        <v>658</v>
      </c>
      <c r="H64" s="78" t="s">
        <v>310</v>
      </c>
      <c r="I64" s="48" t="s">
        <v>350</v>
      </c>
      <c r="J64" s="48" t="s">
        <v>71</v>
      </c>
      <c r="K64" s="48" t="s">
        <v>71</v>
      </c>
      <c r="L64" s="78" t="s">
        <v>310</v>
      </c>
      <c r="M64" s="78" t="s">
        <v>310</v>
      </c>
      <c r="N64" s="48" t="s">
        <v>71</v>
      </c>
      <c r="O64" s="48" t="s">
        <v>71</v>
      </c>
      <c r="P64" s="62" t="s">
        <v>71</v>
      </c>
      <c r="Q64" s="83">
        <v>45692</v>
      </c>
      <c r="R64" s="59"/>
      <c r="S64" s="84"/>
      <c r="T64" s="85" t="s">
        <v>969</v>
      </c>
      <c r="U64" s="100" t="s">
        <v>950</v>
      </c>
      <c r="V64" s="126"/>
    </row>
    <row r="65" spans="1:22" ht="48.6" customHeight="1" x14ac:dyDescent="0.35">
      <c r="B65" s="271" t="s">
        <v>692</v>
      </c>
      <c r="C65" s="123"/>
      <c r="D65" s="88" t="s">
        <v>664</v>
      </c>
      <c r="E65" s="89">
        <f t="shared" si="0"/>
        <v>62</v>
      </c>
      <c r="F65" s="90" t="s">
        <v>664</v>
      </c>
      <c r="G65" s="91" t="s">
        <v>662</v>
      </c>
      <c r="H65" s="78" t="s">
        <v>310</v>
      </c>
      <c r="I65" s="48" t="s">
        <v>350</v>
      </c>
      <c r="J65" s="48" t="s">
        <v>71</v>
      </c>
      <c r="K65" s="48" t="s">
        <v>71</v>
      </c>
      <c r="L65" s="48" t="s">
        <v>71</v>
      </c>
      <c r="M65" s="48" t="s">
        <v>71</v>
      </c>
      <c r="N65" s="48" t="s">
        <v>71</v>
      </c>
      <c r="O65" s="48" t="s">
        <v>71</v>
      </c>
      <c r="P65" s="62" t="s">
        <v>71</v>
      </c>
      <c r="Q65" s="83">
        <v>45692</v>
      </c>
      <c r="R65" s="59"/>
      <c r="S65" s="84"/>
      <c r="T65" s="85" t="s">
        <v>969</v>
      </c>
      <c r="U65" s="100" t="s">
        <v>951</v>
      </c>
      <c r="V65" s="126"/>
    </row>
    <row r="66" spans="1:22" ht="28.2" customHeight="1" x14ac:dyDescent="0.35">
      <c r="B66" s="122"/>
      <c r="C66" s="123"/>
      <c r="D66" s="88" t="s">
        <v>693</v>
      </c>
      <c r="E66" s="89">
        <f t="shared" si="0"/>
        <v>63</v>
      </c>
      <c r="F66" s="90" t="s">
        <v>694</v>
      </c>
      <c r="G66" s="91" t="s">
        <v>662</v>
      </c>
      <c r="H66" s="78" t="s">
        <v>310</v>
      </c>
      <c r="I66" s="48" t="s">
        <v>350</v>
      </c>
      <c r="J66" s="48" t="s">
        <v>71</v>
      </c>
      <c r="K66" s="48" t="s">
        <v>71</v>
      </c>
      <c r="L66" s="78" t="s">
        <v>310</v>
      </c>
      <c r="M66" s="78" t="s">
        <v>310</v>
      </c>
      <c r="N66" s="48" t="s">
        <v>71</v>
      </c>
      <c r="O66" s="48" t="s">
        <v>71</v>
      </c>
      <c r="P66" s="62" t="s">
        <v>71</v>
      </c>
      <c r="Q66" s="83">
        <v>45692</v>
      </c>
      <c r="R66" s="59"/>
      <c r="S66" s="84"/>
      <c r="T66" s="85" t="s">
        <v>969</v>
      </c>
      <c r="U66" s="100" t="s">
        <v>952</v>
      </c>
    </row>
    <row r="67" spans="1:22" ht="28.2" customHeight="1" x14ac:dyDescent="0.35">
      <c r="B67" s="122"/>
      <c r="C67" s="123"/>
      <c r="D67" s="88" t="s">
        <v>675</v>
      </c>
      <c r="E67" s="89">
        <f t="shared" si="0"/>
        <v>64</v>
      </c>
      <c r="F67" s="88" t="s">
        <v>277</v>
      </c>
      <c r="G67" s="91" t="s">
        <v>662</v>
      </c>
      <c r="H67" s="78" t="s">
        <v>310</v>
      </c>
      <c r="I67" s="48" t="s">
        <v>350</v>
      </c>
      <c r="J67" s="48" t="s">
        <v>71</v>
      </c>
      <c r="K67" s="48" t="s">
        <v>71</v>
      </c>
      <c r="L67" s="78" t="s">
        <v>310</v>
      </c>
      <c r="M67" s="78" t="s">
        <v>310</v>
      </c>
      <c r="N67" s="48" t="s">
        <v>71</v>
      </c>
      <c r="O67" s="48" t="s">
        <v>71</v>
      </c>
      <c r="P67" s="62" t="s">
        <v>71</v>
      </c>
      <c r="Q67" s="83">
        <v>45692</v>
      </c>
      <c r="R67" s="59"/>
      <c r="S67" s="84"/>
      <c r="T67" s="85" t="s">
        <v>969</v>
      </c>
      <c r="U67" s="100" t="s">
        <v>953</v>
      </c>
    </row>
    <row r="68" spans="1:22" ht="28.2" customHeight="1" x14ac:dyDescent="0.35">
      <c r="B68" s="122"/>
      <c r="C68" s="123"/>
      <c r="D68" s="88" t="s">
        <v>676</v>
      </c>
      <c r="E68" s="89">
        <f t="shared" si="0"/>
        <v>65</v>
      </c>
      <c r="F68" s="88" t="s">
        <v>280</v>
      </c>
      <c r="G68" s="91" t="s">
        <v>662</v>
      </c>
      <c r="H68" s="78" t="s">
        <v>310</v>
      </c>
      <c r="I68" s="48" t="s">
        <v>350</v>
      </c>
      <c r="J68" s="48" t="s">
        <v>71</v>
      </c>
      <c r="K68" s="48" t="s">
        <v>71</v>
      </c>
      <c r="L68" s="78" t="s">
        <v>310</v>
      </c>
      <c r="M68" s="78" t="s">
        <v>310</v>
      </c>
      <c r="N68" s="48" t="s">
        <v>71</v>
      </c>
      <c r="O68" s="48" t="s">
        <v>71</v>
      </c>
      <c r="P68" s="62" t="s">
        <v>71</v>
      </c>
      <c r="Q68" s="83">
        <v>45692</v>
      </c>
      <c r="R68" s="59"/>
      <c r="S68" s="84"/>
      <c r="T68" s="85" t="s">
        <v>969</v>
      </c>
      <c r="U68" s="100" t="s">
        <v>954</v>
      </c>
      <c r="V68" s="126"/>
    </row>
    <row r="69" spans="1:22" ht="28.2" customHeight="1" x14ac:dyDescent="0.35">
      <c r="B69" s="122"/>
      <c r="C69" s="123"/>
      <c r="D69" s="88" t="s">
        <v>677</v>
      </c>
      <c r="E69" s="89">
        <f t="shared" ref="E69:E72" si="1">ROW()-3</f>
        <v>66</v>
      </c>
      <c r="F69" s="88" t="s">
        <v>282</v>
      </c>
      <c r="G69" s="91" t="s">
        <v>662</v>
      </c>
      <c r="H69" s="78" t="s">
        <v>310</v>
      </c>
      <c r="I69" s="48" t="s">
        <v>350</v>
      </c>
      <c r="J69" s="48" t="s">
        <v>71</v>
      </c>
      <c r="K69" s="48" t="s">
        <v>71</v>
      </c>
      <c r="L69" s="78" t="s">
        <v>310</v>
      </c>
      <c r="M69" s="78" t="s">
        <v>310</v>
      </c>
      <c r="N69" s="48" t="s">
        <v>71</v>
      </c>
      <c r="O69" s="48" t="s">
        <v>71</v>
      </c>
      <c r="P69" s="62" t="s">
        <v>71</v>
      </c>
      <c r="Q69" s="83">
        <v>45692</v>
      </c>
      <c r="R69" s="59"/>
      <c r="S69" s="84"/>
      <c r="T69" s="85" t="s">
        <v>969</v>
      </c>
      <c r="U69" s="100" t="s">
        <v>955</v>
      </c>
      <c r="V69" s="126"/>
    </row>
    <row r="70" spans="1:22" ht="37.950000000000003" customHeight="1" x14ac:dyDescent="0.35">
      <c r="B70" s="122"/>
      <c r="C70" s="123"/>
      <c r="D70" s="88" t="s">
        <v>678</v>
      </c>
      <c r="E70" s="89">
        <f t="shared" si="1"/>
        <v>67</v>
      </c>
      <c r="F70" s="88" t="s">
        <v>284</v>
      </c>
      <c r="G70" s="91" t="s">
        <v>662</v>
      </c>
      <c r="H70" s="78" t="s">
        <v>310</v>
      </c>
      <c r="I70" s="48" t="s">
        <v>350</v>
      </c>
      <c r="J70" s="48" t="s">
        <v>71</v>
      </c>
      <c r="K70" s="48" t="s">
        <v>71</v>
      </c>
      <c r="L70" s="48" t="s">
        <v>71</v>
      </c>
      <c r="M70" s="48" t="s">
        <v>71</v>
      </c>
      <c r="N70" s="48" t="s">
        <v>71</v>
      </c>
      <c r="O70" s="48" t="s">
        <v>71</v>
      </c>
      <c r="P70" s="62" t="s">
        <v>71</v>
      </c>
      <c r="Q70" s="83">
        <v>45692</v>
      </c>
      <c r="R70" s="59"/>
      <c r="S70" s="84"/>
      <c r="T70" s="85" t="s">
        <v>969</v>
      </c>
      <c r="U70" s="100" t="s">
        <v>954</v>
      </c>
    </row>
    <row r="71" spans="1:22" ht="28.2" customHeight="1" x14ac:dyDescent="0.35">
      <c r="B71" s="122"/>
      <c r="C71" s="123"/>
      <c r="D71" s="88" t="s">
        <v>695</v>
      </c>
      <c r="E71" s="89">
        <f t="shared" si="1"/>
        <v>68</v>
      </c>
      <c r="F71" s="88" t="s">
        <v>680</v>
      </c>
      <c r="G71" s="91" t="s">
        <v>662</v>
      </c>
      <c r="H71" s="78" t="s">
        <v>310</v>
      </c>
      <c r="I71" s="48" t="s">
        <v>350</v>
      </c>
      <c r="J71" s="48" t="s">
        <v>71</v>
      </c>
      <c r="K71" s="48" t="s">
        <v>71</v>
      </c>
      <c r="L71" s="78" t="s">
        <v>310</v>
      </c>
      <c r="M71" s="78" t="s">
        <v>310</v>
      </c>
      <c r="N71" s="48" t="s">
        <v>71</v>
      </c>
      <c r="O71" s="48" t="s">
        <v>71</v>
      </c>
      <c r="P71" s="62" t="s">
        <v>71</v>
      </c>
      <c r="Q71" s="83">
        <v>45692</v>
      </c>
      <c r="R71" s="59"/>
      <c r="S71" s="84"/>
      <c r="T71" s="85" t="s">
        <v>969</v>
      </c>
      <c r="U71" s="100" t="s">
        <v>956</v>
      </c>
    </row>
    <row r="72" spans="1:22" ht="36" customHeight="1" x14ac:dyDescent="0.35">
      <c r="B72" s="122"/>
      <c r="C72" s="123"/>
      <c r="D72" s="88" t="s">
        <v>696</v>
      </c>
      <c r="E72" s="89">
        <f t="shared" si="1"/>
        <v>69</v>
      </c>
      <c r="F72" s="88" t="s">
        <v>682</v>
      </c>
      <c r="G72" s="91" t="s">
        <v>683</v>
      </c>
      <c r="H72" s="48" t="s">
        <v>350</v>
      </c>
      <c r="I72" s="48" t="s">
        <v>350</v>
      </c>
      <c r="J72" s="48" t="s">
        <v>71</v>
      </c>
      <c r="K72" s="78" t="s">
        <v>310</v>
      </c>
      <c r="L72" s="48" t="s">
        <v>71</v>
      </c>
      <c r="M72" s="48" t="s">
        <v>71</v>
      </c>
      <c r="N72" s="48" t="s">
        <v>71</v>
      </c>
      <c r="O72" s="48" t="s">
        <v>71</v>
      </c>
      <c r="P72" s="62" t="s">
        <v>71</v>
      </c>
      <c r="Q72" s="83">
        <v>45692</v>
      </c>
      <c r="R72" s="59"/>
      <c r="S72" s="84"/>
      <c r="T72" s="85" t="s">
        <v>969</v>
      </c>
      <c r="U72" s="100"/>
    </row>
    <row r="73" spans="1:22" ht="28.2" customHeight="1" x14ac:dyDescent="0.35">
      <c r="B73" s="125" t="s">
        <v>759</v>
      </c>
      <c r="C73" s="124" t="s">
        <v>760</v>
      </c>
      <c r="D73" s="88"/>
      <c r="E73" s="89"/>
      <c r="F73" s="90" t="s">
        <v>761</v>
      </c>
      <c r="G73" s="91" t="s">
        <v>762</v>
      </c>
      <c r="H73" s="78" t="s">
        <v>310</v>
      </c>
      <c r="I73" s="48" t="s">
        <v>350</v>
      </c>
      <c r="J73" s="48" t="s">
        <v>71</v>
      </c>
      <c r="K73" s="78" t="s">
        <v>310</v>
      </c>
      <c r="L73" s="48" t="s">
        <v>71</v>
      </c>
      <c r="M73" s="48" t="s">
        <v>71</v>
      </c>
      <c r="N73" s="47" t="s">
        <v>71</v>
      </c>
      <c r="O73" s="47" t="s">
        <v>71</v>
      </c>
      <c r="P73" s="62" t="s">
        <v>71</v>
      </c>
      <c r="Q73" s="83">
        <v>45691</v>
      </c>
      <c r="R73" s="59"/>
      <c r="S73" s="84"/>
      <c r="T73" s="85" t="s">
        <v>969</v>
      </c>
      <c r="U73" s="100"/>
    </row>
    <row r="74" spans="1:22" ht="28.2" customHeight="1" thickBot="1" x14ac:dyDescent="0.4">
      <c r="B74" s="122"/>
      <c r="C74" s="124"/>
      <c r="D74" s="153"/>
      <c r="E74" s="154"/>
      <c r="F74" s="155"/>
      <c r="G74" s="156"/>
      <c r="H74" s="80" t="s">
        <v>71</v>
      </c>
      <c r="I74" s="53" t="s">
        <v>71</v>
      </c>
      <c r="J74" s="53" t="s">
        <v>71</v>
      </c>
      <c r="K74" s="52" t="s">
        <v>71</v>
      </c>
      <c r="L74" s="53" t="s">
        <v>71</v>
      </c>
      <c r="M74" s="53" t="s">
        <v>71</v>
      </c>
      <c r="N74" s="52" t="s">
        <v>71</v>
      </c>
      <c r="O74" s="52" t="s">
        <v>71</v>
      </c>
      <c r="P74" s="72" t="s">
        <v>71</v>
      </c>
      <c r="Q74" s="73"/>
      <c r="R74" s="54"/>
      <c r="S74" s="74"/>
      <c r="T74" s="70"/>
      <c r="U74" s="104"/>
    </row>
    <row r="75" spans="1:22" ht="18" customHeight="1" x14ac:dyDescent="0.35">
      <c r="B75" s="524" t="s">
        <v>300</v>
      </c>
      <c r="C75" s="509"/>
      <c r="D75" s="509">
        <f>SUM(H77:P77)</f>
        <v>184</v>
      </c>
      <c r="E75" s="157"/>
      <c r="F75" s="158"/>
      <c r="G75" s="248" t="s">
        <v>301</v>
      </c>
      <c r="H75" s="160">
        <f>COUNTIF(H4:H74,"●")+COUNTIF(H4:H74,"■")+COUNTIF(H4:H74,"OK")</f>
        <v>54</v>
      </c>
      <c r="I75" s="160">
        <f t="shared" ref="I75:P75" si="2">COUNTIF(I4:I74,"●")+COUNTIF(I4:I74,"■")+COUNTIF(I4:I74,"OK")</f>
        <v>0</v>
      </c>
      <c r="J75" s="160">
        <f t="shared" si="2"/>
        <v>0</v>
      </c>
      <c r="K75" s="160">
        <f t="shared" si="2"/>
        <v>11</v>
      </c>
      <c r="L75" s="160">
        <f t="shared" si="2"/>
        <v>50</v>
      </c>
      <c r="M75" s="160">
        <f t="shared" si="2"/>
        <v>50</v>
      </c>
      <c r="N75" s="160">
        <f t="shared" si="2"/>
        <v>0</v>
      </c>
      <c r="O75" s="160">
        <f t="shared" si="2"/>
        <v>19</v>
      </c>
      <c r="P75" s="160">
        <f t="shared" si="2"/>
        <v>0</v>
      </c>
      <c r="Q75" s="511" t="s">
        <v>302</v>
      </c>
      <c r="R75" s="511"/>
      <c r="S75" s="511"/>
      <c r="T75" s="161"/>
      <c r="U75" s="162"/>
    </row>
    <row r="76" spans="1:22" ht="18" customHeight="1" x14ac:dyDescent="0.35">
      <c r="B76" s="525"/>
      <c r="C76" s="510"/>
      <c r="D76" s="510"/>
      <c r="E76" s="55"/>
      <c r="F76" s="56"/>
      <c r="G76" s="249" t="s">
        <v>303</v>
      </c>
      <c r="H76" s="75">
        <f>COUNTIF(H4:H74,"×")+COUNTIF(H4:H74,"NG")</f>
        <v>0</v>
      </c>
      <c r="I76" s="75">
        <f t="shared" ref="I76:P76" si="3">COUNTIF(I4:I74,"×")+COUNTIF(I4:I74,"NG")</f>
        <v>0</v>
      </c>
      <c r="J76" s="75">
        <f t="shared" si="3"/>
        <v>0</v>
      </c>
      <c r="K76" s="75">
        <f t="shared" si="3"/>
        <v>0</v>
      </c>
      <c r="L76" s="75">
        <f t="shared" si="3"/>
        <v>0</v>
      </c>
      <c r="M76" s="75">
        <f t="shared" si="3"/>
        <v>0</v>
      </c>
      <c r="N76" s="75">
        <f t="shared" si="3"/>
        <v>0</v>
      </c>
      <c r="O76" s="75">
        <f t="shared" si="3"/>
        <v>0</v>
      </c>
      <c r="P76" s="75">
        <f t="shared" si="3"/>
        <v>0</v>
      </c>
      <c r="Q76" s="512"/>
      <c r="R76" s="512"/>
      <c r="S76" s="512"/>
      <c r="T76" s="71"/>
      <c r="U76" s="105"/>
    </row>
    <row r="77" spans="1:22" ht="18" customHeight="1" x14ac:dyDescent="0.35">
      <c r="B77" s="526" t="s">
        <v>304</v>
      </c>
      <c r="C77" s="507"/>
      <c r="D77" s="507">
        <f>SUM(H78:P78)</f>
        <v>184</v>
      </c>
      <c r="E77" s="45"/>
      <c r="F77" s="46"/>
      <c r="G77" s="249" t="s">
        <v>305</v>
      </c>
      <c r="H77" s="75">
        <f t="shared" ref="H77:P77" si="4">H75+H76</f>
        <v>54</v>
      </c>
      <c r="I77" s="76">
        <f t="shared" si="4"/>
        <v>0</v>
      </c>
      <c r="J77" s="76">
        <f t="shared" si="4"/>
        <v>0</v>
      </c>
      <c r="K77" s="76">
        <f t="shared" si="4"/>
        <v>11</v>
      </c>
      <c r="L77" s="76">
        <f t="shared" si="4"/>
        <v>50</v>
      </c>
      <c r="M77" s="76">
        <f t="shared" si="4"/>
        <v>50</v>
      </c>
      <c r="N77" s="76">
        <f t="shared" si="4"/>
        <v>0</v>
      </c>
      <c r="O77" s="76">
        <f t="shared" si="4"/>
        <v>19</v>
      </c>
      <c r="P77" s="77">
        <f t="shared" si="4"/>
        <v>0</v>
      </c>
      <c r="Q77" s="513">
        <f>COUNTA(Q4:Q74)</f>
        <v>55</v>
      </c>
      <c r="R77" s="515">
        <f>COUNTA(R4:R74)</f>
        <v>0</v>
      </c>
      <c r="S77" s="517">
        <f>COUNTA(S4:S74)</f>
        <v>0</v>
      </c>
      <c r="T77" s="71"/>
      <c r="U77" s="105"/>
    </row>
    <row r="78" spans="1:22" ht="18" customHeight="1" thickBot="1" x14ac:dyDescent="0.4">
      <c r="A78" s="118"/>
      <c r="B78" s="527"/>
      <c r="C78" s="508"/>
      <c r="D78" s="508"/>
      <c r="E78" s="106"/>
      <c r="F78" s="107"/>
      <c r="G78" s="250" t="s">
        <v>306</v>
      </c>
      <c r="H78" s="109">
        <f>COUNTBLANK(H4:H74)+H77+COUNTIF(H4:H74,"□")</f>
        <v>54</v>
      </c>
      <c r="I78" s="109">
        <f t="shared" ref="I78:P78" si="5">COUNTBLANK(I4:I74)+I77+COUNTIF(I4:I74,"□")</f>
        <v>0</v>
      </c>
      <c r="J78" s="109">
        <f t="shared" si="5"/>
        <v>0</v>
      </c>
      <c r="K78" s="109">
        <f t="shared" si="5"/>
        <v>11</v>
      </c>
      <c r="L78" s="109">
        <f t="shared" si="5"/>
        <v>50</v>
      </c>
      <c r="M78" s="109">
        <f t="shared" si="5"/>
        <v>50</v>
      </c>
      <c r="N78" s="109">
        <f t="shared" si="5"/>
        <v>0</v>
      </c>
      <c r="O78" s="109">
        <f t="shared" si="5"/>
        <v>19</v>
      </c>
      <c r="P78" s="109">
        <f t="shared" si="5"/>
        <v>0</v>
      </c>
      <c r="Q78" s="514"/>
      <c r="R78" s="516"/>
      <c r="S78" s="518"/>
      <c r="T78" s="112"/>
      <c r="U78" s="113"/>
    </row>
    <row r="79" spans="1:22" ht="24" customHeight="1" x14ac:dyDescent="0.35"/>
  </sheetData>
  <autoFilter ref="A1:V79" xr:uid="{B453CB9B-123A-4330-A320-F9FDDAE3CA85}"/>
  <mergeCells count="16">
    <mergeCell ref="T2:T3"/>
    <mergeCell ref="U2:U3"/>
    <mergeCell ref="B75:C76"/>
    <mergeCell ref="D75:D76"/>
    <mergeCell ref="Q75:S76"/>
    <mergeCell ref="B2:B3"/>
    <mergeCell ref="C2:C3"/>
    <mergeCell ref="D2:D3"/>
    <mergeCell ref="E2:G2"/>
    <mergeCell ref="H2:P2"/>
    <mergeCell ref="Q2:S2"/>
    <mergeCell ref="B77:C78"/>
    <mergeCell ref="D77:D78"/>
    <mergeCell ref="Q77:Q78"/>
    <mergeCell ref="R77:R78"/>
    <mergeCell ref="S77:S78"/>
  </mergeCells>
  <phoneticPr fontId="23"/>
  <pageMargins left="0.25" right="0.25" top="0.75" bottom="0.75" header="0.3" footer="0.3"/>
  <pageSetup paperSize="8" scale="71" fitToHeight="0"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3A4E7-4B8F-4214-919D-DE6D0CD5405C}">
  <sheetPr codeName="Sheet5">
    <pageSetUpPr fitToPage="1"/>
  </sheetPr>
  <dimension ref="A1:V79"/>
  <sheetViews>
    <sheetView view="pageBreakPreview" zoomScale="80" zoomScaleNormal="70" zoomScaleSheetLayoutView="80" workbookViewId="0">
      <pane ySplit="3" topLeftCell="A62" activePane="bottomLeft" state="frozen"/>
      <selection activeCell="D17" sqref="D17"/>
      <selection pane="bottomLeft" activeCell="T74" sqref="T74"/>
    </sheetView>
  </sheetViews>
  <sheetFormatPr defaultColWidth="8.6640625" defaultRowHeight="13.2" x14ac:dyDescent="0.35"/>
  <cols>
    <col min="1" max="1" width="3.109375" style="60" customWidth="1"/>
    <col min="2" max="2" width="14.886718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53.33203125" style="126" bestFit="1" customWidth="1"/>
    <col min="22" max="22" width="5" style="120" customWidth="1"/>
    <col min="23" max="16384" width="8.6640625" style="120"/>
  </cols>
  <sheetData>
    <row r="1" spans="1:22" ht="20.399999999999999" thickBot="1" x14ac:dyDescent="0.4">
      <c r="B1" s="121" t="s">
        <v>568</v>
      </c>
      <c r="E1" s="121"/>
    </row>
    <row r="2" spans="1:22" ht="24" customHeight="1" x14ac:dyDescent="0.35">
      <c r="A2" s="118"/>
      <c r="B2" s="522" t="s">
        <v>43</v>
      </c>
      <c r="C2" s="505" t="s">
        <v>44</v>
      </c>
      <c r="D2" s="505" t="s">
        <v>45</v>
      </c>
      <c r="E2" s="498" t="s">
        <v>46</v>
      </c>
      <c r="F2" s="499"/>
      <c r="G2" s="500"/>
      <c r="H2" s="519" t="s">
        <v>755</v>
      </c>
      <c r="I2" s="520"/>
      <c r="J2" s="520"/>
      <c r="K2" s="520"/>
      <c r="L2" s="520"/>
      <c r="M2" s="520"/>
      <c r="N2" s="520"/>
      <c r="O2" s="520"/>
      <c r="P2" s="521"/>
      <c r="Q2" s="501" t="s">
        <v>48</v>
      </c>
      <c r="R2" s="502"/>
      <c r="S2" s="502"/>
      <c r="T2" s="505" t="s">
        <v>49</v>
      </c>
      <c r="U2" s="563" t="s">
        <v>50</v>
      </c>
    </row>
    <row r="3" spans="1:22" ht="27" thickBot="1" x14ac:dyDescent="0.4">
      <c r="A3" s="118"/>
      <c r="B3" s="523"/>
      <c r="C3" s="506"/>
      <c r="D3" s="506"/>
      <c r="E3" s="114" t="s">
        <v>51</v>
      </c>
      <c r="F3" s="247"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506"/>
      <c r="U3" s="564"/>
    </row>
    <row r="4" spans="1:22" ht="28.2" customHeight="1" x14ac:dyDescent="0.35">
      <c r="B4" s="122" t="s">
        <v>756</v>
      </c>
      <c r="C4" s="123" t="s">
        <v>570</v>
      </c>
      <c r="D4" s="227"/>
      <c r="E4" s="228">
        <f>ROW()-3</f>
        <v>1</v>
      </c>
      <c r="F4" s="229" t="s">
        <v>571</v>
      </c>
      <c r="G4" s="87" t="s">
        <v>84</v>
      </c>
      <c r="H4" s="78" t="s">
        <v>310</v>
      </c>
      <c r="I4" s="58" t="s">
        <v>71</v>
      </c>
      <c r="J4" s="78" t="s">
        <v>71</v>
      </c>
      <c r="K4" s="78" t="s">
        <v>310</v>
      </c>
      <c r="L4" s="78" t="s">
        <v>310</v>
      </c>
      <c r="M4" s="78" t="s">
        <v>310</v>
      </c>
      <c r="N4" s="58" t="s">
        <v>71</v>
      </c>
      <c r="O4" s="58" t="s">
        <v>71</v>
      </c>
      <c r="P4" s="82" t="s">
        <v>71</v>
      </c>
      <c r="Q4" s="83">
        <v>45691</v>
      </c>
      <c r="R4" s="59"/>
      <c r="S4" s="84"/>
      <c r="T4" s="85" t="s">
        <v>968</v>
      </c>
      <c r="U4" s="419" t="s">
        <v>711</v>
      </c>
    </row>
    <row r="5" spans="1:22" ht="28.2" customHeight="1" x14ac:dyDescent="0.35">
      <c r="B5" s="122" t="s">
        <v>573</v>
      </c>
      <c r="C5" s="232" t="s">
        <v>574</v>
      </c>
      <c r="D5" s="227" t="s">
        <v>575</v>
      </c>
      <c r="E5" s="231">
        <f t="shared" ref="E5:E68" si="0">ROW()-3</f>
        <v>2</v>
      </c>
      <c r="F5" s="97" t="s">
        <v>576</v>
      </c>
      <c r="G5" s="91" t="s">
        <v>577</v>
      </c>
      <c r="H5" s="78" t="s">
        <v>310</v>
      </c>
      <c r="I5" s="48" t="s">
        <v>71</v>
      </c>
      <c r="J5" s="48" t="s">
        <v>71</v>
      </c>
      <c r="K5" s="78" t="s">
        <v>310</v>
      </c>
      <c r="L5" s="78" t="s">
        <v>310</v>
      </c>
      <c r="M5" s="78" t="s">
        <v>310</v>
      </c>
      <c r="N5" s="78" t="s">
        <v>71</v>
      </c>
      <c r="O5" s="48" t="s">
        <v>71</v>
      </c>
      <c r="P5" s="62" t="s">
        <v>71</v>
      </c>
      <c r="Q5" s="83">
        <v>45691</v>
      </c>
      <c r="R5" s="59"/>
      <c r="S5" s="84"/>
      <c r="T5" s="85" t="s">
        <v>968</v>
      </c>
      <c r="U5" s="101" t="s">
        <v>875</v>
      </c>
    </row>
    <row r="6" spans="1:22" ht="28.2" customHeight="1" x14ac:dyDescent="0.35">
      <c r="B6" s="122"/>
      <c r="C6" s="267" t="s">
        <v>578</v>
      </c>
      <c r="D6" s="325" t="s">
        <v>579</v>
      </c>
      <c r="E6" s="94">
        <f t="shared" si="0"/>
        <v>3</v>
      </c>
      <c r="F6" s="95" t="s">
        <v>580</v>
      </c>
      <c r="G6" s="96" t="s">
        <v>581</v>
      </c>
      <c r="H6" s="63" t="s">
        <v>71</v>
      </c>
      <c r="I6" s="50" t="s">
        <v>71</v>
      </c>
      <c r="J6" s="50" t="s">
        <v>71</v>
      </c>
      <c r="K6" s="50" t="s">
        <v>71</v>
      </c>
      <c r="L6" s="50" t="s">
        <v>71</v>
      </c>
      <c r="M6" s="50" t="s">
        <v>71</v>
      </c>
      <c r="N6" s="50" t="s">
        <v>71</v>
      </c>
      <c r="O6" s="50" t="s">
        <v>71</v>
      </c>
      <c r="P6" s="63" t="s">
        <v>71</v>
      </c>
      <c r="Q6" s="65"/>
      <c r="R6" s="51"/>
      <c r="S6" s="67"/>
      <c r="T6" s="322"/>
      <c r="U6" s="326" t="s">
        <v>698</v>
      </c>
    </row>
    <row r="7" spans="1:22" ht="28.2" customHeight="1" x14ac:dyDescent="0.35">
      <c r="B7" s="122"/>
      <c r="C7" s="310"/>
      <c r="D7" s="227" t="s">
        <v>583</v>
      </c>
      <c r="E7" s="231">
        <f t="shared" si="0"/>
        <v>4</v>
      </c>
      <c r="F7" s="97" t="s">
        <v>584</v>
      </c>
      <c r="G7" s="91" t="s">
        <v>581</v>
      </c>
      <c r="H7" s="78" t="s">
        <v>310</v>
      </c>
      <c r="I7" s="48" t="s">
        <v>71</v>
      </c>
      <c r="J7" s="48" t="s">
        <v>71</v>
      </c>
      <c r="K7" s="48" t="s">
        <v>71</v>
      </c>
      <c r="L7" s="78" t="s">
        <v>310</v>
      </c>
      <c r="M7" s="78" t="s">
        <v>310</v>
      </c>
      <c r="N7" s="48" t="s">
        <v>71</v>
      </c>
      <c r="O7" s="48" t="s">
        <v>71</v>
      </c>
      <c r="P7" s="62" t="s">
        <v>71</v>
      </c>
      <c r="Q7" s="83">
        <v>45691</v>
      </c>
      <c r="R7" s="59"/>
      <c r="S7" s="84"/>
      <c r="T7" s="85" t="s">
        <v>968</v>
      </c>
      <c r="U7" s="101" t="s">
        <v>875</v>
      </c>
    </row>
    <row r="8" spans="1:22" ht="26.4" x14ac:dyDescent="0.35">
      <c r="B8" s="122"/>
      <c r="C8" s="311"/>
      <c r="D8" s="227" t="s">
        <v>589</v>
      </c>
      <c r="E8" s="231">
        <f t="shared" si="0"/>
        <v>5</v>
      </c>
      <c r="F8" s="97" t="s">
        <v>586</v>
      </c>
      <c r="G8" s="91" t="s">
        <v>581</v>
      </c>
      <c r="H8" s="78" t="s">
        <v>310</v>
      </c>
      <c r="I8" s="48" t="s">
        <v>71</v>
      </c>
      <c r="J8" s="48" t="s">
        <v>71</v>
      </c>
      <c r="K8" s="48" t="s">
        <v>71</v>
      </c>
      <c r="L8" s="78" t="s">
        <v>310</v>
      </c>
      <c r="M8" s="78" t="s">
        <v>310</v>
      </c>
      <c r="N8" s="48" t="s">
        <v>71</v>
      </c>
      <c r="O8" s="48" t="s">
        <v>71</v>
      </c>
      <c r="P8" s="62" t="s">
        <v>71</v>
      </c>
      <c r="Q8" s="83">
        <v>45691</v>
      </c>
      <c r="R8" s="59"/>
      <c r="S8" s="84"/>
      <c r="T8" s="85" t="s">
        <v>968</v>
      </c>
      <c r="U8" s="101" t="s">
        <v>876</v>
      </c>
    </row>
    <row r="9" spans="1:22" ht="28.2" customHeight="1" x14ac:dyDescent="0.35">
      <c r="B9" s="122"/>
      <c r="C9" s="310"/>
      <c r="D9" s="227" t="s">
        <v>619</v>
      </c>
      <c r="E9" s="231">
        <f t="shared" si="0"/>
        <v>6</v>
      </c>
      <c r="F9" s="97" t="s">
        <v>580</v>
      </c>
      <c r="G9" s="91" t="s">
        <v>581</v>
      </c>
      <c r="H9" s="78" t="s">
        <v>310</v>
      </c>
      <c r="I9" s="48" t="s">
        <v>71</v>
      </c>
      <c r="J9" s="48" t="s">
        <v>71</v>
      </c>
      <c r="K9" s="48" t="s">
        <v>71</v>
      </c>
      <c r="L9" s="78" t="s">
        <v>310</v>
      </c>
      <c r="M9" s="78" t="s">
        <v>310</v>
      </c>
      <c r="N9" s="48" t="s">
        <v>71</v>
      </c>
      <c r="O9" s="48" t="s">
        <v>71</v>
      </c>
      <c r="P9" s="62" t="s">
        <v>71</v>
      </c>
      <c r="Q9" s="83">
        <v>45691</v>
      </c>
      <c r="R9" s="59"/>
      <c r="S9" s="84"/>
      <c r="T9" s="85" t="s">
        <v>968</v>
      </c>
      <c r="U9" s="101" t="s">
        <v>877</v>
      </c>
    </row>
    <row r="10" spans="1:22" ht="28.2" customHeight="1" x14ac:dyDescent="0.35">
      <c r="B10" s="122"/>
      <c r="C10" s="123"/>
      <c r="D10" s="227" t="s">
        <v>592</v>
      </c>
      <c r="E10" s="231">
        <f t="shared" si="0"/>
        <v>7</v>
      </c>
      <c r="F10" s="97" t="s">
        <v>586</v>
      </c>
      <c r="G10" s="91" t="s">
        <v>581</v>
      </c>
      <c r="H10" s="78" t="s">
        <v>310</v>
      </c>
      <c r="I10" s="48" t="s">
        <v>71</v>
      </c>
      <c r="J10" s="48" t="s">
        <v>71</v>
      </c>
      <c r="K10" s="48" t="s">
        <v>71</v>
      </c>
      <c r="L10" s="78" t="s">
        <v>310</v>
      </c>
      <c r="M10" s="78" t="s">
        <v>310</v>
      </c>
      <c r="N10" s="339" t="s">
        <v>71</v>
      </c>
      <c r="O10" s="339" t="s">
        <v>71</v>
      </c>
      <c r="P10" s="343" t="s">
        <v>71</v>
      </c>
      <c r="Q10" s="83">
        <v>45691</v>
      </c>
      <c r="R10" s="59"/>
      <c r="S10" s="84"/>
      <c r="T10" s="85" t="s">
        <v>968</v>
      </c>
      <c r="U10" s="342" t="s">
        <v>878</v>
      </c>
    </row>
    <row r="11" spans="1:22" ht="28.2" customHeight="1" x14ac:dyDescent="0.35">
      <c r="B11" s="122"/>
      <c r="C11" s="124" t="s">
        <v>593</v>
      </c>
      <c r="D11" s="325" t="s">
        <v>579</v>
      </c>
      <c r="E11" s="94">
        <f t="shared" si="0"/>
        <v>8</v>
      </c>
      <c r="F11" s="95" t="s">
        <v>595</v>
      </c>
      <c r="G11" s="96" t="s">
        <v>596</v>
      </c>
      <c r="H11" s="282" t="s">
        <v>71</v>
      </c>
      <c r="I11" s="282" t="s">
        <v>71</v>
      </c>
      <c r="J11" s="282" t="s">
        <v>71</v>
      </c>
      <c r="K11" s="282" t="s">
        <v>71</v>
      </c>
      <c r="L11" s="282" t="s">
        <v>71</v>
      </c>
      <c r="M11" s="282" t="s">
        <v>71</v>
      </c>
      <c r="N11" s="50" t="s">
        <v>71</v>
      </c>
      <c r="O11" s="50" t="s">
        <v>71</v>
      </c>
      <c r="P11" s="63" t="s">
        <v>71</v>
      </c>
      <c r="Q11" s="65"/>
      <c r="R11" s="51"/>
      <c r="S11" s="67"/>
      <c r="T11" s="322"/>
      <c r="U11" s="326" t="s">
        <v>698</v>
      </c>
      <c r="V11" s="126"/>
    </row>
    <row r="12" spans="1:22" ht="28.2" customHeight="1" x14ac:dyDescent="0.35">
      <c r="B12" s="122"/>
      <c r="C12" s="267"/>
      <c r="D12" s="227" t="s">
        <v>583</v>
      </c>
      <c r="E12" s="231">
        <f t="shared" si="0"/>
        <v>9</v>
      </c>
      <c r="F12" s="97" t="s">
        <v>604</v>
      </c>
      <c r="G12" s="91" t="s">
        <v>596</v>
      </c>
      <c r="H12" s="78" t="s">
        <v>310</v>
      </c>
      <c r="I12" s="48" t="s">
        <v>71</v>
      </c>
      <c r="J12" s="48" t="s">
        <v>71</v>
      </c>
      <c r="K12" s="48" t="s">
        <v>71</v>
      </c>
      <c r="L12" s="78" t="s">
        <v>310</v>
      </c>
      <c r="M12" s="78" t="s">
        <v>310</v>
      </c>
      <c r="N12" s="339" t="s">
        <v>71</v>
      </c>
      <c r="O12" s="339" t="s">
        <v>71</v>
      </c>
      <c r="P12" s="343" t="s">
        <v>71</v>
      </c>
      <c r="Q12" s="83">
        <v>45691</v>
      </c>
      <c r="R12" s="59"/>
      <c r="S12" s="84"/>
      <c r="T12" s="85" t="s">
        <v>968</v>
      </c>
      <c r="U12" s="101" t="s">
        <v>881</v>
      </c>
    </row>
    <row r="13" spans="1:22" ht="28.95" customHeight="1" x14ac:dyDescent="0.35">
      <c r="B13" s="122"/>
      <c r="C13" s="123"/>
      <c r="D13" s="227" t="s">
        <v>589</v>
      </c>
      <c r="E13" s="231">
        <f t="shared" si="0"/>
        <v>10</v>
      </c>
      <c r="F13" s="97" t="s">
        <v>602</v>
      </c>
      <c r="G13" s="91" t="s">
        <v>596</v>
      </c>
      <c r="H13" s="78" t="s">
        <v>310</v>
      </c>
      <c r="I13" s="48" t="s">
        <v>71</v>
      </c>
      <c r="J13" s="48" t="s">
        <v>71</v>
      </c>
      <c r="K13" s="48" t="s">
        <v>71</v>
      </c>
      <c r="L13" s="78" t="s">
        <v>310</v>
      </c>
      <c r="M13" s="78" t="s">
        <v>310</v>
      </c>
      <c r="N13" s="339" t="s">
        <v>71</v>
      </c>
      <c r="O13" s="339" t="s">
        <v>71</v>
      </c>
      <c r="P13" s="343" t="s">
        <v>71</v>
      </c>
      <c r="Q13" s="83">
        <v>45691</v>
      </c>
      <c r="R13" s="59"/>
      <c r="S13" s="84"/>
      <c r="T13" s="85" t="s">
        <v>968</v>
      </c>
      <c r="U13" s="101" t="s">
        <v>882</v>
      </c>
    </row>
    <row r="14" spans="1:22" ht="28.2" customHeight="1" x14ac:dyDescent="0.35">
      <c r="B14" s="122"/>
      <c r="C14" s="267"/>
      <c r="D14" s="227" t="s">
        <v>619</v>
      </c>
      <c r="E14" s="231">
        <f t="shared" si="0"/>
        <v>11</v>
      </c>
      <c r="F14" s="97" t="s">
        <v>595</v>
      </c>
      <c r="G14" s="91" t="s">
        <v>596</v>
      </c>
      <c r="H14" s="78" t="s">
        <v>310</v>
      </c>
      <c r="I14" s="48" t="s">
        <v>71</v>
      </c>
      <c r="J14" s="48" t="s">
        <v>71</v>
      </c>
      <c r="K14" s="48" t="s">
        <v>71</v>
      </c>
      <c r="L14" s="78" t="s">
        <v>310</v>
      </c>
      <c r="M14" s="78" t="s">
        <v>310</v>
      </c>
      <c r="N14" s="339" t="s">
        <v>71</v>
      </c>
      <c r="O14" s="339" t="s">
        <v>71</v>
      </c>
      <c r="P14" s="343" t="s">
        <v>71</v>
      </c>
      <c r="Q14" s="83">
        <v>45691</v>
      </c>
      <c r="R14" s="59"/>
      <c r="S14" s="84"/>
      <c r="T14" s="85" t="s">
        <v>968</v>
      </c>
      <c r="U14" s="101" t="s">
        <v>883</v>
      </c>
      <c r="V14" s="126"/>
    </row>
    <row r="15" spans="1:22" ht="28.2" customHeight="1" x14ac:dyDescent="0.35">
      <c r="B15" s="122"/>
      <c r="C15" s="267"/>
      <c r="D15" s="227" t="s">
        <v>592</v>
      </c>
      <c r="E15" s="231">
        <f t="shared" si="0"/>
        <v>12</v>
      </c>
      <c r="F15" s="97" t="s">
        <v>602</v>
      </c>
      <c r="G15" s="91" t="s">
        <v>596</v>
      </c>
      <c r="H15" s="78" t="s">
        <v>310</v>
      </c>
      <c r="I15" s="48" t="s">
        <v>71</v>
      </c>
      <c r="J15" s="48" t="s">
        <v>71</v>
      </c>
      <c r="K15" s="48" t="s">
        <v>71</v>
      </c>
      <c r="L15" s="78" t="s">
        <v>310</v>
      </c>
      <c r="M15" s="78" t="s">
        <v>310</v>
      </c>
      <c r="N15" s="339" t="s">
        <v>71</v>
      </c>
      <c r="O15" s="339" t="s">
        <v>71</v>
      </c>
      <c r="P15" s="343" t="s">
        <v>71</v>
      </c>
      <c r="Q15" s="83">
        <v>45691</v>
      </c>
      <c r="R15" s="59"/>
      <c r="S15" s="84"/>
      <c r="T15" s="85" t="s">
        <v>968</v>
      </c>
      <c r="U15" s="101" t="s">
        <v>884</v>
      </c>
    </row>
    <row r="16" spans="1:22" ht="28.2" customHeight="1" x14ac:dyDescent="0.35">
      <c r="B16" s="122"/>
      <c r="C16" s="124" t="s">
        <v>606</v>
      </c>
      <c r="D16" s="267" t="s">
        <v>607</v>
      </c>
      <c r="E16" s="231">
        <f t="shared" si="0"/>
        <v>13</v>
      </c>
      <c r="F16" s="97" t="s">
        <v>608</v>
      </c>
      <c r="G16" s="91" t="s">
        <v>609</v>
      </c>
      <c r="H16" s="78" t="s">
        <v>310</v>
      </c>
      <c r="I16" s="48" t="s">
        <v>71</v>
      </c>
      <c r="J16" s="48" t="s">
        <v>71</v>
      </c>
      <c r="K16" s="48" t="s">
        <v>71</v>
      </c>
      <c r="L16" s="78" t="s">
        <v>310</v>
      </c>
      <c r="M16" s="78" t="s">
        <v>310</v>
      </c>
      <c r="N16" s="339" t="s">
        <v>71</v>
      </c>
      <c r="O16" s="339" t="s">
        <v>71</v>
      </c>
      <c r="P16" s="343" t="s">
        <v>71</v>
      </c>
      <c r="Q16" s="83">
        <v>45691</v>
      </c>
      <c r="R16" s="59"/>
      <c r="S16" s="84"/>
      <c r="T16" s="85" t="s">
        <v>968</v>
      </c>
      <c r="U16" s="101" t="s">
        <v>889</v>
      </c>
    </row>
    <row r="17" spans="2:22" ht="28.2" customHeight="1" x14ac:dyDescent="0.35">
      <c r="B17" s="122"/>
      <c r="C17" s="267"/>
      <c r="D17" s="267"/>
      <c r="E17" s="231">
        <f t="shared" si="0"/>
        <v>14</v>
      </c>
      <c r="F17" s="97" t="s">
        <v>610</v>
      </c>
      <c r="G17" s="91" t="s">
        <v>609</v>
      </c>
      <c r="H17" s="78" t="s">
        <v>310</v>
      </c>
      <c r="I17" s="48" t="s">
        <v>71</v>
      </c>
      <c r="J17" s="48" t="s">
        <v>71</v>
      </c>
      <c r="K17" s="48" t="s">
        <v>71</v>
      </c>
      <c r="L17" s="78" t="s">
        <v>310</v>
      </c>
      <c r="M17" s="78" t="s">
        <v>310</v>
      </c>
      <c r="N17" s="339" t="s">
        <v>71</v>
      </c>
      <c r="O17" s="339" t="s">
        <v>71</v>
      </c>
      <c r="P17" s="343" t="s">
        <v>71</v>
      </c>
      <c r="Q17" s="83">
        <v>45691</v>
      </c>
      <c r="R17" s="59"/>
      <c r="S17" s="84"/>
      <c r="T17" s="85" t="s">
        <v>968</v>
      </c>
      <c r="U17" s="101" t="s">
        <v>890</v>
      </c>
    </row>
    <row r="18" spans="2:22" ht="28.2" customHeight="1" x14ac:dyDescent="0.35">
      <c r="B18" s="122"/>
      <c r="C18" s="267"/>
      <c r="D18" s="227"/>
      <c r="E18" s="231">
        <f t="shared" si="0"/>
        <v>15</v>
      </c>
      <c r="F18" s="97" t="s">
        <v>611</v>
      </c>
      <c r="G18" s="91" t="s">
        <v>609</v>
      </c>
      <c r="H18" s="78" t="s">
        <v>310</v>
      </c>
      <c r="I18" s="48" t="s">
        <v>71</v>
      </c>
      <c r="J18" s="48" t="s">
        <v>71</v>
      </c>
      <c r="K18" s="48" t="s">
        <v>71</v>
      </c>
      <c r="L18" s="78" t="s">
        <v>310</v>
      </c>
      <c r="M18" s="78" t="s">
        <v>310</v>
      </c>
      <c r="N18" s="339" t="s">
        <v>71</v>
      </c>
      <c r="O18" s="339" t="s">
        <v>71</v>
      </c>
      <c r="P18" s="343" t="s">
        <v>71</v>
      </c>
      <c r="Q18" s="83">
        <v>45691</v>
      </c>
      <c r="R18" s="59"/>
      <c r="S18" s="84"/>
      <c r="T18" s="85" t="s">
        <v>968</v>
      </c>
      <c r="U18" s="101" t="s">
        <v>891</v>
      </c>
    </row>
    <row r="19" spans="2:22" ht="28.2" customHeight="1" x14ac:dyDescent="0.35">
      <c r="B19" s="122"/>
      <c r="C19" s="123"/>
      <c r="D19" s="267" t="s">
        <v>612</v>
      </c>
      <c r="E19" s="231">
        <f t="shared" si="0"/>
        <v>16</v>
      </c>
      <c r="F19" s="97" t="s">
        <v>613</v>
      </c>
      <c r="G19" s="91" t="s">
        <v>609</v>
      </c>
      <c r="H19" s="78" t="s">
        <v>310</v>
      </c>
      <c r="I19" s="48" t="s">
        <v>71</v>
      </c>
      <c r="J19" s="48" t="s">
        <v>71</v>
      </c>
      <c r="K19" s="48" t="s">
        <v>71</v>
      </c>
      <c r="L19" s="78" t="s">
        <v>310</v>
      </c>
      <c r="M19" s="78" t="s">
        <v>310</v>
      </c>
      <c r="N19" s="339" t="s">
        <v>71</v>
      </c>
      <c r="O19" s="339" t="s">
        <v>71</v>
      </c>
      <c r="P19" s="343" t="s">
        <v>71</v>
      </c>
      <c r="Q19" s="83">
        <v>45691</v>
      </c>
      <c r="R19" s="59"/>
      <c r="S19" s="84"/>
      <c r="T19" s="85" t="s">
        <v>968</v>
      </c>
      <c r="U19" s="101" t="s">
        <v>893</v>
      </c>
    </row>
    <row r="20" spans="2:22" ht="28.2" customHeight="1" x14ac:dyDescent="0.35">
      <c r="B20" s="122"/>
      <c r="C20" s="267"/>
      <c r="D20" s="267"/>
      <c r="E20" s="231">
        <f t="shared" si="0"/>
        <v>17</v>
      </c>
      <c r="F20" s="97" t="s">
        <v>614</v>
      </c>
      <c r="G20" s="91" t="s">
        <v>609</v>
      </c>
      <c r="H20" s="78" t="s">
        <v>310</v>
      </c>
      <c r="I20" s="48" t="s">
        <v>71</v>
      </c>
      <c r="J20" s="48" t="s">
        <v>71</v>
      </c>
      <c r="K20" s="48" t="s">
        <v>71</v>
      </c>
      <c r="L20" s="78" t="s">
        <v>310</v>
      </c>
      <c r="M20" s="78" t="s">
        <v>310</v>
      </c>
      <c r="N20" s="339" t="s">
        <v>71</v>
      </c>
      <c r="O20" s="339" t="s">
        <v>71</v>
      </c>
      <c r="P20" s="343" t="s">
        <v>71</v>
      </c>
      <c r="Q20" s="83">
        <v>45691</v>
      </c>
      <c r="R20" s="59"/>
      <c r="S20" s="84"/>
      <c r="T20" s="85" t="s">
        <v>968</v>
      </c>
      <c r="U20" s="101" t="s">
        <v>894</v>
      </c>
    </row>
    <row r="21" spans="2:22" ht="28.2" customHeight="1" x14ac:dyDescent="0.35">
      <c r="B21" s="122"/>
      <c r="C21" s="267"/>
      <c r="D21" s="267"/>
      <c r="E21" s="231">
        <f t="shared" si="0"/>
        <v>18</v>
      </c>
      <c r="F21" s="97" t="s">
        <v>615</v>
      </c>
      <c r="G21" s="91" t="s">
        <v>609</v>
      </c>
      <c r="H21" s="78" t="s">
        <v>310</v>
      </c>
      <c r="I21" s="48" t="s">
        <v>71</v>
      </c>
      <c r="J21" s="48" t="s">
        <v>71</v>
      </c>
      <c r="K21" s="48" t="s">
        <v>71</v>
      </c>
      <c r="L21" s="78" t="s">
        <v>310</v>
      </c>
      <c r="M21" s="78" t="s">
        <v>310</v>
      </c>
      <c r="N21" s="339" t="s">
        <v>71</v>
      </c>
      <c r="O21" s="339" t="s">
        <v>71</v>
      </c>
      <c r="P21" s="343" t="s">
        <v>71</v>
      </c>
      <c r="Q21" s="83">
        <v>45691</v>
      </c>
      <c r="R21" s="59"/>
      <c r="S21" s="84"/>
      <c r="T21" s="85" t="s">
        <v>968</v>
      </c>
      <c r="U21" s="101" t="s">
        <v>895</v>
      </c>
    </row>
    <row r="22" spans="2:22" ht="28.2" customHeight="1" x14ac:dyDescent="0.35">
      <c r="B22" s="125" t="s">
        <v>616</v>
      </c>
      <c r="C22" s="232" t="s">
        <v>574</v>
      </c>
      <c r="D22" s="232" t="s">
        <v>575</v>
      </c>
      <c r="E22" s="231">
        <f t="shared" si="0"/>
        <v>19</v>
      </c>
      <c r="F22" s="97" t="s">
        <v>576</v>
      </c>
      <c r="G22" s="91" t="s">
        <v>577</v>
      </c>
      <c r="H22" s="78" t="s">
        <v>310</v>
      </c>
      <c r="I22" s="48" t="s">
        <v>71</v>
      </c>
      <c r="J22" s="48" t="s">
        <v>71</v>
      </c>
      <c r="K22" s="78" t="s">
        <v>310</v>
      </c>
      <c r="L22" s="78" t="s">
        <v>310</v>
      </c>
      <c r="M22" s="78" t="s">
        <v>310</v>
      </c>
      <c r="N22" s="48" t="s">
        <v>71</v>
      </c>
      <c r="O22" s="48" t="s">
        <v>71</v>
      </c>
      <c r="P22" s="62" t="s">
        <v>71</v>
      </c>
      <c r="Q22" s="83">
        <v>45691</v>
      </c>
      <c r="R22" s="59"/>
      <c r="S22" s="84"/>
      <c r="T22" s="85" t="s">
        <v>968</v>
      </c>
      <c r="U22" s="101" t="s">
        <v>712</v>
      </c>
    </row>
    <row r="23" spans="2:22" ht="28.2" customHeight="1" x14ac:dyDescent="0.35">
      <c r="B23" s="122"/>
      <c r="C23" s="267" t="s">
        <v>578</v>
      </c>
      <c r="D23" s="325" t="s">
        <v>579</v>
      </c>
      <c r="E23" s="94">
        <f t="shared" si="0"/>
        <v>20</v>
      </c>
      <c r="F23" s="95" t="s">
        <v>580</v>
      </c>
      <c r="G23" s="96" t="s">
        <v>617</v>
      </c>
      <c r="H23" s="282" t="s">
        <v>350</v>
      </c>
      <c r="I23" s="282" t="s">
        <v>350</v>
      </c>
      <c r="J23" s="282" t="s">
        <v>71</v>
      </c>
      <c r="K23" s="282" t="s">
        <v>350</v>
      </c>
      <c r="L23" s="282" t="s">
        <v>350</v>
      </c>
      <c r="M23" s="282" t="s">
        <v>350</v>
      </c>
      <c r="N23" s="50" t="s">
        <v>71</v>
      </c>
      <c r="O23" s="50" t="s">
        <v>71</v>
      </c>
      <c r="P23" s="63" t="s">
        <v>71</v>
      </c>
      <c r="Q23" s="65"/>
      <c r="R23" s="51"/>
      <c r="S23" s="67"/>
      <c r="T23" s="322"/>
      <c r="U23" s="326" t="s">
        <v>698</v>
      </c>
    </row>
    <row r="24" spans="2:22" ht="28.2" customHeight="1" x14ac:dyDescent="0.35">
      <c r="B24" s="122"/>
      <c r="C24" s="123"/>
      <c r="D24" s="325" t="s">
        <v>587</v>
      </c>
      <c r="E24" s="94">
        <f t="shared" si="0"/>
        <v>21</v>
      </c>
      <c r="F24" s="95" t="s">
        <v>580</v>
      </c>
      <c r="G24" s="96" t="s">
        <v>617</v>
      </c>
      <c r="H24" s="79" t="s">
        <v>350</v>
      </c>
      <c r="I24" s="50" t="s">
        <v>350</v>
      </c>
      <c r="J24" s="50" t="s">
        <v>71</v>
      </c>
      <c r="K24" s="79" t="s">
        <v>350</v>
      </c>
      <c r="L24" s="79" t="s">
        <v>350</v>
      </c>
      <c r="M24" s="79" t="s">
        <v>350</v>
      </c>
      <c r="N24" s="50" t="s">
        <v>71</v>
      </c>
      <c r="O24" s="50" t="s">
        <v>71</v>
      </c>
      <c r="P24" s="63" t="s">
        <v>71</v>
      </c>
      <c r="Q24" s="329"/>
      <c r="R24" s="379"/>
      <c r="S24" s="380"/>
      <c r="T24" s="322"/>
      <c r="U24" s="326" t="s">
        <v>757</v>
      </c>
    </row>
    <row r="25" spans="2:22" ht="26.4" x14ac:dyDescent="0.35">
      <c r="B25" s="122"/>
      <c r="C25" s="123"/>
      <c r="D25" s="227" t="s">
        <v>589</v>
      </c>
      <c r="E25" s="231">
        <f t="shared" si="0"/>
        <v>22</v>
      </c>
      <c r="F25" s="97" t="s">
        <v>586</v>
      </c>
      <c r="G25" s="91" t="s">
        <v>617</v>
      </c>
      <c r="H25" s="78" t="s">
        <v>310</v>
      </c>
      <c r="I25" s="48" t="s">
        <v>71</v>
      </c>
      <c r="J25" s="48" t="s">
        <v>71</v>
      </c>
      <c r="K25" s="48" t="s">
        <v>71</v>
      </c>
      <c r="L25" s="78" t="s">
        <v>310</v>
      </c>
      <c r="M25" s="78" t="s">
        <v>310</v>
      </c>
      <c r="N25" s="48" t="s">
        <v>71</v>
      </c>
      <c r="O25" s="48" t="s">
        <v>71</v>
      </c>
      <c r="P25" s="62" t="s">
        <v>71</v>
      </c>
      <c r="Q25" s="83">
        <v>45691</v>
      </c>
      <c r="R25" s="59"/>
      <c r="S25" s="84"/>
      <c r="T25" s="85" t="s">
        <v>968</v>
      </c>
      <c r="U25" s="342" t="s">
        <v>900</v>
      </c>
    </row>
    <row r="26" spans="2:22" ht="28.2" customHeight="1" x14ac:dyDescent="0.35">
      <c r="B26" s="122"/>
      <c r="C26" s="123"/>
      <c r="D26" s="227" t="s">
        <v>619</v>
      </c>
      <c r="E26" s="231">
        <f t="shared" si="0"/>
        <v>23</v>
      </c>
      <c r="F26" s="97" t="s">
        <v>580</v>
      </c>
      <c r="G26" s="91" t="s">
        <v>617</v>
      </c>
      <c r="H26" s="78" t="s">
        <v>310</v>
      </c>
      <c r="I26" s="48" t="s">
        <v>71</v>
      </c>
      <c r="J26" s="48" t="s">
        <v>71</v>
      </c>
      <c r="K26" s="48" t="s">
        <v>71</v>
      </c>
      <c r="L26" s="78" t="s">
        <v>310</v>
      </c>
      <c r="M26" s="78" t="s">
        <v>310</v>
      </c>
      <c r="N26" s="48" t="s">
        <v>71</v>
      </c>
      <c r="O26" s="48" t="s">
        <v>71</v>
      </c>
      <c r="P26" s="62" t="s">
        <v>71</v>
      </c>
      <c r="Q26" s="83">
        <v>45691</v>
      </c>
      <c r="R26" s="59"/>
      <c r="S26" s="84"/>
      <c r="T26" s="85" t="s">
        <v>968</v>
      </c>
      <c r="U26" s="101" t="s">
        <v>712</v>
      </c>
    </row>
    <row r="27" spans="2:22" ht="28.2" customHeight="1" x14ac:dyDescent="0.35">
      <c r="B27" s="122"/>
      <c r="C27" s="123"/>
      <c r="D27" s="227" t="s">
        <v>592</v>
      </c>
      <c r="E27" s="231">
        <f t="shared" si="0"/>
        <v>24</v>
      </c>
      <c r="F27" s="97" t="s">
        <v>586</v>
      </c>
      <c r="G27" s="91" t="s">
        <v>617</v>
      </c>
      <c r="H27" s="78" t="s">
        <v>310</v>
      </c>
      <c r="I27" s="48" t="s">
        <v>71</v>
      </c>
      <c r="J27" s="48" t="s">
        <v>71</v>
      </c>
      <c r="K27" s="48" t="s">
        <v>71</v>
      </c>
      <c r="L27" s="78" t="s">
        <v>310</v>
      </c>
      <c r="M27" s="78" t="s">
        <v>310</v>
      </c>
      <c r="N27" s="48" t="s">
        <v>71</v>
      </c>
      <c r="O27" s="48" t="s">
        <v>71</v>
      </c>
      <c r="P27" s="62" t="s">
        <v>71</v>
      </c>
      <c r="Q27" s="83">
        <v>45691</v>
      </c>
      <c r="R27" s="59"/>
      <c r="S27" s="84"/>
      <c r="T27" s="85" t="s">
        <v>968</v>
      </c>
      <c r="U27" s="342" t="s">
        <v>902</v>
      </c>
    </row>
    <row r="28" spans="2:22" ht="28.2" customHeight="1" x14ac:dyDescent="0.35">
      <c r="B28" s="122"/>
      <c r="C28" s="124" t="s">
        <v>593</v>
      </c>
      <c r="D28" s="327" t="s">
        <v>594</v>
      </c>
      <c r="E28" s="94">
        <f t="shared" si="0"/>
        <v>25</v>
      </c>
      <c r="F28" s="95" t="s">
        <v>595</v>
      </c>
      <c r="G28" s="96" t="s">
        <v>620</v>
      </c>
      <c r="H28" s="79" t="s">
        <v>350</v>
      </c>
      <c r="I28" s="50" t="s">
        <v>350</v>
      </c>
      <c r="J28" s="50" t="s">
        <v>71</v>
      </c>
      <c r="K28" s="50" t="s">
        <v>71</v>
      </c>
      <c r="L28" s="50" t="s">
        <v>71</v>
      </c>
      <c r="M28" s="50" t="s">
        <v>71</v>
      </c>
      <c r="N28" s="50" t="s">
        <v>71</v>
      </c>
      <c r="O28" s="50" t="s">
        <v>71</v>
      </c>
      <c r="P28" s="63" t="s">
        <v>71</v>
      </c>
      <c r="Q28" s="65"/>
      <c r="R28" s="51"/>
      <c r="S28" s="67"/>
      <c r="T28" s="322"/>
      <c r="U28" s="326" t="s">
        <v>698</v>
      </c>
      <c r="V28" s="126"/>
    </row>
    <row r="29" spans="2:22" ht="26.4" x14ac:dyDescent="0.35">
      <c r="B29" s="122"/>
      <c r="C29" s="267"/>
      <c r="D29" s="328" t="s">
        <v>598</v>
      </c>
      <c r="E29" s="94">
        <f t="shared" si="0"/>
        <v>26</v>
      </c>
      <c r="F29" s="95" t="s">
        <v>599</v>
      </c>
      <c r="G29" s="96" t="s">
        <v>620</v>
      </c>
      <c r="H29" s="50" t="s">
        <v>350</v>
      </c>
      <c r="I29" s="50" t="s">
        <v>350</v>
      </c>
      <c r="J29" s="50" t="s">
        <v>350</v>
      </c>
      <c r="K29" s="50" t="s">
        <v>350</v>
      </c>
      <c r="L29" s="50" t="s">
        <v>350</v>
      </c>
      <c r="M29" s="50" t="s">
        <v>350</v>
      </c>
      <c r="N29" s="50" t="s">
        <v>71</v>
      </c>
      <c r="O29" s="50" t="s">
        <v>71</v>
      </c>
      <c r="P29" s="63" t="s">
        <v>71</v>
      </c>
      <c r="Q29" s="329"/>
      <c r="R29" s="379"/>
      <c r="S29" s="380"/>
      <c r="T29" s="322"/>
      <c r="U29" s="326" t="s">
        <v>757</v>
      </c>
    </row>
    <row r="30" spans="2:22" ht="28.2" customHeight="1" x14ac:dyDescent="0.35">
      <c r="B30" s="122"/>
      <c r="C30" s="267"/>
      <c r="D30" s="232" t="s">
        <v>601</v>
      </c>
      <c r="E30" s="231">
        <f t="shared" si="0"/>
        <v>27</v>
      </c>
      <c r="F30" s="97" t="s">
        <v>602</v>
      </c>
      <c r="G30" s="91" t="s">
        <v>620</v>
      </c>
      <c r="H30" s="78" t="s">
        <v>310</v>
      </c>
      <c r="I30" s="48" t="s">
        <v>71</v>
      </c>
      <c r="J30" s="48" t="s">
        <v>71</v>
      </c>
      <c r="K30" s="48" t="s">
        <v>71</v>
      </c>
      <c r="L30" s="78" t="s">
        <v>310</v>
      </c>
      <c r="M30" s="78" t="s">
        <v>310</v>
      </c>
      <c r="N30" s="48" t="s">
        <v>71</v>
      </c>
      <c r="O30" s="48" t="s">
        <v>71</v>
      </c>
      <c r="P30" s="62" t="s">
        <v>71</v>
      </c>
      <c r="Q30" s="83">
        <v>45691</v>
      </c>
      <c r="R30" s="59"/>
      <c r="S30" s="84"/>
      <c r="T30" s="85" t="s">
        <v>968</v>
      </c>
      <c r="U30" s="101" t="s">
        <v>872</v>
      </c>
      <c r="V30" s="126"/>
    </row>
    <row r="31" spans="2:22" ht="28.95" customHeight="1" x14ac:dyDescent="0.35">
      <c r="B31" s="122"/>
      <c r="C31" s="123"/>
      <c r="D31" s="232" t="s">
        <v>605</v>
      </c>
      <c r="E31" s="231">
        <f t="shared" si="0"/>
        <v>28</v>
      </c>
      <c r="F31" s="97" t="s">
        <v>602</v>
      </c>
      <c r="G31" s="91" t="s">
        <v>620</v>
      </c>
      <c r="H31" s="78" t="s">
        <v>310</v>
      </c>
      <c r="I31" s="48" t="s">
        <v>71</v>
      </c>
      <c r="J31" s="48" t="s">
        <v>71</v>
      </c>
      <c r="K31" s="48" t="s">
        <v>71</v>
      </c>
      <c r="L31" s="78" t="s">
        <v>310</v>
      </c>
      <c r="M31" s="78" t="s">
        <v>310</v>
      </c>
      <c r="N31" s="48" t="s">
        <v>71</v>
      </c>
      <c r="O31" s="48" t="s">
        <v>71</v>
      </c>
      <c r="P31" s="62" t="s">
        <v>71</v>
      </c>
      <c r="Q31" s="83">
        <v>45691</v>
      </c>
      <c r="R31" s="59"/>
      <c r="S31" s="84"/>
      <c r="T31" s="85" t="s">
        <v>968</v>
      </c>
      <c r="U31" s="342" t="s">
        <v>873</v>
      </c>
    </row>
    <row r="32" spans="2:22" ht="28.2" customHeight="1" x14ac:dyDescent="0.35">
      <c r="B32" s="122"/>
      <c r="C32" s="124" t="s">
        <v>606</v>
      </c>
      <c r="D32" s="267" t="s">
        <v>607</v>
      </c>
      <c r="E32" s="231">
        <f t="shared" si="0"/>
        <v>29</v>
      </c>
      <c r="F32" s="97" t="s">
        <v>608</v>
      </c>
      <c r="G32" s="91" t="s">
        <v>621</v>
      </c>
      <c r="H32" s="78" t="s">
        <v>310</v>
      </c>
      <c r="I32" s="48" t="s">
        <v>71</v>
      </c>
      <c r="J32" s="48" t="s">
        <v>71</v>
      </c>
      <c r="K32" s="48" t="s">
        <v>71</v>
      </c>
      <c r="L32" s="78" t="s">
        <v>310</v>
      </c>
      <c r="M32" s="78" t="s">
        <v>310</v>
      </c>
      <c r="N32" s="48" t="s">
        <v>71</v>
      </c>
      <c r="O32" s="48" t="s">
        <v>71</v>
      </c>
      <c r="P32" s="62" t="s">
        <v>71</v>
      </c>
      <c r="Q32" s="83">
        <v>45691</v>
      </c>
      <c r="R32" s="59"/>
      <c r="S32" s="84"/>
      <c r="T32" s="85" t="s">
        <v>968</v>
      </c>
      <c r="U32" s="342" t="s">
        <v>918</v>
      </c>
    </row>
    <row r="33" spans="2:22" ht="28.2" customHeight="1" x14ac:dyDescent="0.35">
      <c r="B33" s="122"/>
      <c r="C33" s="267"/>
      <c r="D33" s="267"/>
      <c r="E33" s="231">
        <f t="shared" si="0"/>
        <v>30</v>
      </c>
      <c r="F33" s="97" t="s">
        <v>610</v>
      </c>
      <c r="G33" s="91" t="s">
        <v>621</v>
      </c>
      <c r="H33" s="78" t="s">
        <v>310</v>
      </c>
      <c r="I33" s="48" t="s">
        <v>71</v>
      </c>
      <c r="J33" s="48" t="s">
        <v>71</v>
      </c>
      <c r="K33" s="48" t="s">
        <v>71</v>
      </c>
      <c r="L33" s="78" t="s">
        <v>310</v>
      </c>
      <c r="M33" s="78" t="s">
        <v>310</v>
      </c>
      <c r="N33" s="48" t="s">
        <v>71</v>
      </c>
      <c r="O33" s="48" t="s">
        <v>71</v>
      </c>
      <c r="P33" s="62" t="s">
        <v>71</v>
      </c>
      <c r="Q33" s="83">
        <v>45691</v>
      </c>
      <c r="R33" s="59"/>
      <c r="S33" s="84"/>
      <c r="T33" s="85" t="s">
        <v>968</v>
      </c>
      <c r="U33" s="342" t="s">
        <v>314</v>
      </c>
    </row>
    <row r="34" spans="2:22" ht="28.2" customHeight="1" x14ac:dyDescent="0.35">
      <c r="B34" s="122"/>
      <c r="C34" s="123"/>
      <c r="D34" s="270" t="s">
        <v>612</v>
      </c>
      <c r="E34" s="231">
        <f t="shared" si="0"/>
        <v>31</v>
      </c>
      <c r="F34" s="97" t="s">
        <v>614</v>
      </c>
      <c r="G34" s="91" t="s">
        <v>621</v>
      </c>
      <c r="H34" s="78" t="s">
        <v>310</v>
      </c>
      <c r="I34" s="48" t="s">
        <v>71</v>
      </c>
      <c r="J34" s="48" t="s">
        <v>71</v>
      </c>
      <c r="K34" s="48" t="s">
        <v>71</v>
      </c>
      <c r="L34" s="78" t="s">
        <v>310</v>
      </c>
      <c r="M34" s="78" t="s">
        <v>310</v>
      </c>
      <c r="N34" s="48" t="s">
        <v>71</v>
      </c>
      <c r="O34" s="48" t="s">
        <v>71</v>
      </c>
      <c r="P34" s="62" t="s">
        <v>71</v>
      </c>
      <c r="Q34" s="83">
        <v>45691</v>
      </c>
      <c r="R34" s="59"/>
      <c r="S34" s="84"/>
      <c r="T34" s="85" t="s">
        <v>968</v>
      </c>
      <c r="U34" s="342" t="s">
        <v>919</v>
      </c>
    </row>
    <row r="35" spans="2:22" ht="28.2" customHeight="1" x14ac:dyDescent="0.35">
      <c r="B35" s="122"/>
      <c r="C35" s="267"/>
      <c r="D35" s="267"/>
      <c r="E35" s="231">
        <f t="shared" si="0"/>
        <v>32</v>
      </c>
      <c r="F35" s="97" t="s">
        <v>615</v>
      </c>
      <c r="G35" s="91" t="s">
        <v>621</v>
      </c>
      <c r="H35" s="78" t="s">
        <v>310</v>
      </c>
      <c r="I35" s="48" t="s">
        <v>71</v>
      </c>
      <c r="J35" s="48" t="s">
        <v>71</v>
      </c>
      <c r="K35" s="48" t="s">
        <v>71</v>
      </c>
      <c r="L35" s="78" t="s">
        <v>310</v>
      </c>
      <c r="M35" s="78" t="s">
        <v>310</v>
      </c>
      <c r="N35" s="48" t="s">
        <v>71</v>
      </c>
      <c r="O35" s="48" t="s">
        <v>71</v>
      </c>
      <c r="P35" s="62" t="s">
        <v>71</v>
      </c>
      <c r="Q35" s="83">
        <v>45691</v>
      </c>
      <c r="R35" s="59"/>
      <c r="S35" s="84"/>
      <c r="T35" s="85" t="s">
        <v>968</v>
      </c>
      <c r="U35" s="101" t="s">
        <v>920</v>
      </c>
    </row>
    <row r="36" spans="2:22" ht="28.2" customHeight="1" x14ac:dyDescent="0.35">
      <c r="B36" s="125" t="s">
        <v>623</v>
      </c>
      <c r="C36" s="268" t="s">
        <v>570</v>
      </c>
      <c r="D36" s="233"/>
      <c r="E36" s="231">
        <f t="shared" si="0"/>
        <v>33</v>
      </c>
      <c r="F36" s="97" t="s">
        <v>624</v>
      </c>
      <c r="G36" s="91" t="s">
        <v>625</v>
      </c>
      <c r="H36" s="78" t="s">
        <v>310</v>
      </c>
      <c r="I36" s="48" t="s">
        <v>71</v>
      </c>
      <c r="J36" s="48" t="s">
        <v>71</v>
      </c>
      <c r="K36" s="48" t="s">
        <v>71</v>
      </c>
      <c r="L36" s="48" t="s">
        <v>71</v>
      </c>
      <c r="M36" s="48" t="s">
        <v>71</v>
      </c>
      <c r="N36" s="48" t="s">
        <v>71</v>
      </c>
      <c r="O36" s="78" t="s">
        <v>310</v>
      </c>
      <c r="P36" s="62" t="s">
        <v>71</v>
      </c>
      <c r="Q36" s="83">
        <v>45691</v>
      </c>
      <c r="R36" s="59"/>
      <c r="S36" s="84"/>
      <c r="T36" s="85" t="s">
        <v>968</v>
      </c>
      <c r="U36" s="419" t="s">
        <v>711</v>
      </c>
    </row>
    <row r="37" spans="2:22" ht="28.2" customHeight="1" x14ac:dyDescent="0.35">
      <c r="B37" s="122"/>
      <c r="C37" s="269" t="s">
        <v>626</v>
      </c>
      <c r="D37" s="233" t="s">
        <v>627</v>
      </c>
      <c r="E37" s="231">
        <f t="shared" si="0"/>
        <v>34</v>
      </c>
      <c r="F37" s="97" t="s">
        <v>576</v>
      </c>
      <c r="G37" s="91" t="s">
        <v>628</v>
      </c>
      <c r="H37" s="78" t="s">
        <v>310</v>
      </c>
      <c r="I37" s="48" t="s">
        <v>71</v>
      </c>
      <c r="J37" s="48" t="s">
        <v>71</v>
      </c>
      <c r="K37" s="48" t="s">
        <v>71</v>
      </c>
      <c r="L37" s="78" t="s">
        <v>310</v>
      </c>
      <c r="M37" s="78" t="s">
        <v>310</v>
      </c>
      <c r="N37" s="48" t="s">
        <v>71</v>
      </c>
      <c r="O37" s="78" t="s">
        <v>310</v>
      </c>
      <c r="P37" s="62" t="s">
        <v>71</v>
      </c>
      <c r="Q37" s="83">
        <v>45691</v>
      </c>
      <c r="R37" s="59"/>
      <c r="S37" s="84"/>
      <c r="T37" s="85" t="s">
        <v>968</v>
      </c>
      <c r="U37" s="101" t="s">
        <v>876</v>
      </c>
    </row>
    <row r="38" spans="2:22" ht="28.2" customHeight="1" x14ac:dyDescent="0.35">
      <c r="B38" s="122"/>
      <c r="C38" s="267"/>
      <c r="D38" s="230" t="s">
        <v>629</v>
      </c>
      <c r="E38" s="231">
        <f t="shared" si="0"/>
        <v>35</v>
      </c>
      <c r="F38" s="97" t="s">
        <v>630</v>
      </c>
      <c r="G38" s="91" t="s">
        <v>628</v>
      </c>
      <c r="H38" s="78" t="s">
        <v>310</v>
      </c>
      <c r="I38" s="48" t="s">
        <v>71</v>
      </c>
      <c r="J38" s="48" t="s">
        <v>71</v>
      </c>
      <c r="K38" s="48" t="s">
        <v>71</v>
      </c>
      <c r="L38" s="78" t="s">
        <v>310</v>
      </c>
      <c r="M38" s="78" t="s">
        <v>310</v>
      </c>
      <c r="N38" s="48" t="s">
        <v>71</v>
      </c>
      <c r="O38" s="78" t="s">
        <v>310</v>
      </c>
      <c r="P38" s="62" t="s">
        <v>71</v>
      </c>
      <c r="Q38" s="83">
        <v>45691</v>
      </c>
      <c r="R38" s="59"/>
      <c r="S38" s="84"/>
      <c r="T38" s="85" t="s">
        <v>968</v>
      </c>
      <c r="U38" s="101" t="s">
        <v>877</v>
      </c>
    </row>
    <row r="39" spans="2:22" ht="28.2" customHeight="1" x14ac:dyDescent="0.35">
      <c r="B39" s="122"/>
      <c r="C39" s="123"/>
      <c r="D39" s="230" t="s">
        <v>631</v>
      </c>
      <c r="E39" s="231">
        <f t="shared" si="0"/>
        <v>36</v>
      </c>
      <c r="F39" s="97" t="s">
        <v>632</v>
      </c>
      <c r="G39" s="91" t="s">
        <v>628</v>
      </c>
      <c r="H39" s="78" t="s">
        <v>310</v>
      </c>
      <c r="I39" s="48" t="s">
        <v>71</v>
      </c>
      <c r="J39" s="48" t="s">
        <v>71</v>
      </c>
      <c r="K39" s="48" t="s">
        <v>71</v>
      </c>
      <c r="L39" s="78" t="s">
        <v>310</v>
      </c>
      <c r="M39" s="78" t="s">
        <v>310</v>
      </c>
      <c r="N39" s="48" t="s">
        <v>71</v>
      </c>
      <c r="O39" s="78" t="s">
        <v>310</v>
      </c>
      <c r="P39" s="62" t="s">
        <v>71</v>
      </c>
      <c r="Q39" s="83">
        <v>45691</v>
      </c>
      <c r="R39" s="59"/>
      <c r="S39" s="84"/>
      <c r="T39" s="85" t="s">
        <v>968</v>
      </c>
      <c r="U39" s="101" t="s">
        <v>758</v>
      </c>
    </row>
    <row r="40" spans="2:22" ht="28.2" customHeight="1" x14ac:dyDescent="0.35">
      <c r="B40" s="122"/>
      <c r="C40" s="270" t="s">
        <v>633</v>
      </c>
      <c r="D40" s="233" t="s">
        <v>627</v>
      </c>
      <c r="E40" s="231">
        <f t="shared" si="0"/>
        <v>37</v>
      </c>
      <c r="F40" s="97" t="s">
        <v>576</v>
      </c>
      <c r="G40" s="91" t="s">
        <v>634</v>
      </c>
      <c r="H40" s="78" t="s">
        <v>310</v>
      </c>
      <c r="I40" s="48" t="s">
        <v>71</v>
      </c>
      <c r="J40" s="48" t="s">
        <v>71</v>
      </c>
      <c r="K40" s="48" t="s">
        <v>71</v>
      </c>
      <c r="L40" s="78" t="s">
        <v>310</v>
      </c>
      <c r="M40" s="78" t="s">
        <v>310</v>
      </c>
      <c r="N40" s="48" t="s">
        <v>71</v>
      </c>
      <c r="O40" s="78" t="s">
        <v>310</v>
      </c>
      <c r="P40" s="62" t="s">
        <v>71</v>
      </c>
      <c r="Q40" s="83">
        <v>45691</v>
      </c>
      <c r="R40" s="59"/>
      <c r="S40" s="84"/>
      <c r="T40" s="85" t="s">
        <v>968</v>
      </c>
      <c r="U40" s="101" t="s">
        <v>924</v>
      </c>
    </row>
    <row r="41" spans="2:22" ht="28.2" customHeight="1" x14ac:dyDescent="0.35">
      <c r="B41" s="122"/>
      <c r="C41" s="123"/>
      <c r="D41" s="230" t="s">
        <v>629</v>
      </c>
      <c r="E41" s="231">
        <f t="shared" si="0"/>
        <v>38</v>
      </c>
      <c r="F41" s="97" t="s">
        <v>630</v>
      </c>
      <c r="G41" s="91" t="s">
        <v>634</v>
      </c>
      <c r="H41" s="78" t="s">
        <v>310</v>
      </c>
      <c r="I41" s="48" t="s">
        <v>71</v>
      </c>
      <c r="J41" s="48" t="s">
        <v>71</v>
      </c>
      <c r="K41" s="48" t="s">
        <v>71</v>
      </c>
      <c r="L41" s="78" t="s">
        <v>310</v>
      </c>
      <c r="M41" s="78" t="s">
        <v>310</v>
      </c>
      <c r="N41" s="48" t="s">
        <v>71</v>
      </c>
      <c r="O41" s="78" t="s">
        <v>310</v>
      </c>
      <c r="P41" s="62" t="s">
        <v>71</v>
      </c>
      <c r="Q41" s="83">
        <v>45691</v>
      </c>
      <c r="R41" s="59"/>
      <c r="S41" s="84"/>
      <c r="T41" s="85" t="s">
        <v>968</v>
      </c>
      <c r="U41" s="101" t="s">
        <v>925</v>
      </c>
    </row>
    <row r="42" spans="2:22" ht="28.2" customHeight="1" x14ac:dyDescent="0.35">
      <c r="B42" s="122"/>
      <c r="C42" s="123"/>
      <c r="D42" s="230" t="s">
        <v>631</v>
      </c>
      <c r="E42" s="231">
        <f t="shared" si="0"/>
        <v>39</v>
      </c>
      <c r="F42" s="97" t="s">
        <v>632</v>
      </c>
      <c r="G42" s="91" t="s">
        <v>634</v>
      </c>
      <c r="H42" s="78" t="s">
        <v>310</v>
      </c>
      <c r="I42" s="48" t="s">
        <v>71</v>
      </c>
      <c r="J42" s="48" t="s">
        <v>71</v>
      </c>
      <c r="K42" s="48" t="s">
        <v>71</v>
      </c>
      <c r="L42" s="78" t="s">
        <v>310</v>
      </c>
      <c r="M42" s="78" t="s">
        <v>310</v>
      </c>
      <c r="N42" s="48" t="s">
        <v>71</v>
      </c>
      <c r="O42" s="78" t="s">
        <v>310</v>
      </c>
      <c r="P42" s="62" t="s">
        <v>71</v>
      </c>
      <c r="Q42" s="83">
        <v>45691</v>
      </c>
      <c r="R42" s="59"/>
      <c r="S42" s="84"/>
      <c r="T42" s="85" t="s">
        <v>968</v>
      </c>
      <c r="U42" s="101" t="s">
        <v>926</v>
      </c>
      <c r="V42" s="126"/>
    </row>
    <row r="43" spans="2:22" ht="28.2" customHeight="1" x14ac:dyDescent="0.35">
      <c r="B43" s="122"/>
      <c r="C43" s="270" t="s">
        <v>635</v>
      </c>
      <c r="D43" s="233" t="s">
        <v>627</v>
      </c>
      <c r="E43" s="231">
        <f t="shared" si="0"/>
        <v>40</v>
      </c>
      <c r="F43" s="97" t="s">
        <v>576</v>
      </c>
      <c r="G43" s="91" t="s">
        <v>636</v>
      </c>
      <c r="H43" s="78" t="s">
        <v>310</v>
      </c>
      <c r="I43" s="48" t="s">
        <v>71</v>
      </c>
      <c r="J43" s="48" t="s">
        <v>71</v>
      </c>
      <c r="K43" s="48" t="s">
        <v>71</v>
      </c>
      <c r="L43" s="78" t="s">
        <v>310</v>
      </c>
      <c r="M43" s="78" t="s">
        <v>310</v>
      </c>
      <c r="N43" s="48" t="s">
        <v>71</v>
      </c>
      <c r="O43" s="78" t="s">
        <v>310</v>
      </c>
      <c r="P43" s="62" t="s">
        <v>71</v>
      </c>
      <c r="Q43" s="83">
        <v>45691</v>
      </c>
      <c r="R43" s="59"/>
      <c r="S43" s="84"/>
      <c r="T43" s="85" t="s">
        <v>968</v>
      </c>
      <c r="U43" s="101" t="s">
        <v>927</v>
      </c>
      <c r="V43" s="126"/>
    </row>
    <row r="44" spans="2:22" ht="28.2" customHeight="1" x14ac:dyDescent="0.35">
      <c r="B44" s="122"/>
      <c r="C44" s="123"/>
      <c r="D44" s="230" t="s">
        <v>629</v>
      </c>
      <c r="E44" s="231">
        <f t="shared" si="0"/>
        <v>41</v>
      </c>
      <c r="F44" s="97" t="s">
        <v>630</v>
      </c>
      <c r="G44" s="91" t="s">
        <v>636</v>
      </c>
      <c r="H44" s="78" t="s">
        <v>310</v>
      </c>
      <c r="I44" s="48" t="s">
        <v>71</v>
      </c>
      <c r="J44" s="48" t="s">
        <v>71</v>
      </c>
      <c r="K44" s="48" t="s">
        <v>71</v>
      </c>
      <c r="L44" s="78" t="s">
        <v>310</v>
      </c>
      <c r="M44" s="78" t="s">
        <v>310</v>
      </c>
      <c r="N44" s="48" t="s">
        <v>71</v>
      </c>
      <c r="O44" s="78" t="s">
        <v>310</v>
      </c>
      <c r="P44" s="62" t="s">
        <v>71</v>
      </c>
      <c r="Q44" s="83">
        <v>45691</v>
      </c>
      <c r="R44" s="59"/>
      <c r="S44" s="84"/>
      <c r="T44" s="85" t="s">
        <v>968</v>
      </c>
      <c r="U44" s="101" t="s">
        <v>928</v>
      </c>
      <c r="V44" s="126"/>
    </row>
    <row r="45" spans="2:22" ht="28.2" customHeight="1" x14ac:dyDescent="0.35">
      <c r="B45" s="122"/>
      <c r="C45" s="123"/>
      <c r="D45" s="230" t="s">
        <v>631</v>
      </c>
      <c r="E45" s="231">
        <f t="shared" si="0"/>
        <v>42</v>
      </c>
      <c r="F45" s="97" t="s">
        <v>632</v>
      </c>
      <c r="G45" s="91" t="s">
        <v>636</v>
      </c>
      <c r="H45" s="78" t="s">
        <v>310</v>
      </c>
      <c r="I45" s="48" t="s">
        <v>71</v>
      </c>
      <c r="J45" s="48" t="s">
        <v>71</v>
      </c>
      <c r="K45" s="48" t="s">
        <v>71</v>
      </c>
      <c r="L45" s="78" t="s">
        <v>310</v>
      </c>
      <c r="M45" s="78" t="s">
        <v>310</v>
      </c>
      <c r="N45" s="48" t="s">
        <v>71</v>
      </c>
      <c r="O45" s="78" t="s">
        <v>310</v>
      </c>
      <c r="P45" s="62" t="s">
        <v>71</v>
      </c>
      <c r="Q45" s="83">
        <v>45691</v>
      </c>
      <c r="R45" s="59"/>
      <c r="S45" s="84"/>
      <c r="T45" s="85" t="s">
        <v>968</v>
      </c>
      <c r="U45" s="101" t="s">
        <v>929</v>
      </c>
      <c r="V45" s="126"/>
    </row>
    <row r="46" spans="2:22" ht="28.2" customHeight="1" x14ac:dyDescent="0.35">
      <c r="B46" s="122"/>
      <c r="C46" s="124" t="s">
        <v>271</v>
      </c>
      <c r="D46" s="233" t="s">
        <v>627</v>
      </c>
      <c r="E46" s="231">
        <f t="shared" si="0"/>
        <v>43</v>
      </c>
      <c r="F46" s="97" t="s">
        <v>576</v>
      </c>
      <c r="G46" s="91" t="s">
        <v>637</v>
      </c>
      <c r="H46" s="78" t="s">
        <v>310</v>
      </c>
      <c r="I46" s="48" t="s">
        <v>71</v>
      </c>
      <c r="J46" s="48" t="s">
        <v>71</v>
      </c>
      <c r="K46" s="48" t="s">
        <v>71</v>
      </c>
      <c r="L46" s="78" t="s">
        <v>310</v>
      </c>
      <c r="M46" s="78" t="s">
        <v>310</v>
      </c>
      <c r="N46" s="48" t="s">
        <v>71</v>
      </c>
      <c r="O46" s="78" t="s">
        <v>310</v>
      </c>
      <c r="P46" s="62" t="s">
        <v>71</v>
      </c>
      <c r="Q46" s="83">
        <v>45691</v>
      </c>
      <c r="R46" s="59"/>
      <c r="S46" s="84"/>
      <c r="T46" s="85" t="s">
        <v>968</v>
      </c>
      <c r="U46" s="101" t="s">
        <v>930</v>
      </c>
    </row>
    <row r="47" spans="2:22" ht="28.2" customHeight="1" x14ac:dyDescent="0.35">
      <c r="B47" s="122"/>
      <c r="C47" s="123"/>
      <c r="D47" s="230" t="s">
        <v>629</v>
      </c>
      <c r="E47" s="231">
        <f t="shared" si="0"/>
        <v>44</v>
      </c>
      <c r="F47" s="97" t="s">
        <v>630</v>
      </c>
      <c r="G47" s="91" t="s">
        <v>637</v>
      </c>
      <c r="H47" s="78" t="s">
        <v>310</v>
      </c>
      <c r="I47" s="48" t="s">
        <v>71</v>
      </c>
      <c r="J47" s="48" t="s">
        <v>71</v>
      </c>
      <c r="K47" s="48" t="s">
        <v>71</v>
      </c>
      <c r="L47" s="78" t="s">
        <v>310</v>
      </c>
      <c r="M47" s="78" t="s">
        <v>310</v>
      </c>
      <c r="N47" s="48" t="s">
        <v>71</v>
      </c>
      <c r="O47" s="78" t="s">
        <v>310</v>
      </c>
      <c r="P47" s="62" t="s">
        <v>71</v>
      </c>
      <c r="Q47" s="83">
        <v>45691</v>
      </c>
      <c r="R47" s="59"/>
      <c r="S47" s="84"/>
      <c r="T47" s="85" t="s">
        <v>968</v>
      </c>
      <c r="U47" s="101" t="s">
        <v>931</v>
      </c>
      <c r="V47" s="126"/>
    </row>
    <row r="48" spans="2:22" ht="28.2" customHeight="1" x14ac:dyDescent="0.35">
      <c r="B48" s="122"/>
      <c r="C48" s="227"/>
      <c r="D48" s="230" t="s">
        <v>631</v>
      </c>
      <c r="E48" s="231">
        <f t="shared" si="0"/>
        <v>45</v>
      </c>
      <c r="F48" s="97" t="s">
        <v>632</v>
      </c>
      <c r="G48" s="91" t="s">
        <v>637</v>
      </c>
      <c r="H48" s="78" t="s">
        <v>310</v>
      </c>
      <c r="I48" s="48" t="s">
        <v>71</v>
      </c>
      <c r="J48" s="48" t="s">
        <v>71</v>
      </c>
      <c r="K48" s="48" t="s">
        <v>71</v>
      </c>
      <c r="L48" s="78" t="s">
        <v>310</v>
      </c>
      <c r="M48" s="78" t="s">
        <v>310</v>
      </c>
      <c r="N48" s="48" t="s">
        <v>71</v>
      </c>
      <c r="O48" s="78" t="s">
        <v>310</v>
      </c>
      <c r="P48" s="62" t="s">
        <v>71</v>
      </c>
      <c r="Q48" s="83">
        <v>45691</v>
      </c>
      <c r="R48" s="59"/>
      <c r="S48" s="84"/>
      <c r="T48" s="85" t="s">
        <v>968</v>
      </c>
      <c r="U48" s="101" t="s">
        <v>932</v>
      </c>
      <c r="V48" s="126"/>
    </row>
    <row r="49" spans="2:22" ht="28.2" customHeight="1" x14ac:dyDescent="0.35">
      <c r="B49" s="122"/>
      <c r="C49" s="124" t="s">
        <v>638</v>
      </c>
      <c r="D49" s="267" t="s">
        <v>639</v>
      </c>
      <c r="E49" s="231">
        <f t="shared" si="0"/>
        <v>46</v>
      </c>
      <c r="F49" s="97" t="s">
        <v>640</v>
      </c>
      <c r="G49" s="91" t="s">
        <v>709</v>
      </c>
      <c r="H49" s="78" t="s">
        <v>310</v>
      </c>
      <c r="I49" s="48" t="s">
        <v>71</v>
      </c>
      <c r="J49" s="48" t="s">
        <v>71</v>
      </c>
      <c r="K49" s="48" t="s">
        <v>71</v>
      </c>
      <c r="L49" s="78" t="s">
        <v>310</v>
      </c>
      <c r="M49" s="78" t="s">
        <v>310</v>
      </c>
      <c r="N49" s="48" t="s">
        <v>71</v>
      </c>
      <c r="O49" s="78" t="s">
        <v>310</v>
      </c>
      <c r="P49" s="62" t="s">
        <v>71</v>
      </c>
      <c r="Q49" s="83">
        <v>45691</v>
      </c>
      <c r="R49" s="59"/>
      <c r="S49" s="84"/>
      <c r="T49" s="85" t="s">
        <v>968</v>
      </c>
      <c r="U49" s="101" t="s">
        <v>934</v>
      </c>
      <c r="V49" s="126"/>
    </row>
    <row r="50" spans="2:22" ht="28.2" customHeight="1" x14ac:dyDescent="0.35">
      <c r="B50" s="122"/>
      <c r="C50" s="267"/>
      <c r="D50" s="232" t="s">
        <v>643</v>
      </c>
      <c r="E50" s="231">
        <f t="shared" si="0"/>
        <v>47</v>
      </c>
      <c r="F50" s="97" t="s">
        <v>644</v>
      </c>
      <c r="G50" s="91" t="s">
        <v>641</v>
      </c>
      <c r="H50" s="78" t="s">
        <v>310</v>
      </c>
      <c r="I50" s="48" t="s">
        <v>71</v>
      </c>
      <c r="J50" s="48" t="s">
        <v>71</v>
      </c>
      <c r="K50" s="48" t="s">
        <v>71</v>
      </c>
      <c r="L50" s="78" t="s">
        <v>310</v>
      </c>
      <c r="M50" s="78" t="s">
        <v>310</v>
      </c>
      <c r="N50" s="48" t="s">
        <v>71</v>
      </c>
      <c r="O50" s="78" t="s">
        <v>310</v>
      </c>
      <c r="P50" s="62" t="s">
        <v>71</v>
      </c>
      <c r="Q50" s="83">
        <v>45691</v>
      </c>
      <c r="R50" s="59"/>
      <c r="S50" s="84"/>
      <c r="T50" s="85" t="s">
        <v>968</v>
      </c>
      <c r="U50" s="101" t="s">
        <v>933</v>
      </c>
    </row>
    <row r="51" spans="2:22" ht="28.95" customHeight="1" x14ac:dyDescent="0.35">
      <c r="B51" s="122"/>
      <c r="C51" s="123"/>
      <c r="D51" s="232" t="s">
        <v>645</v>
      </c>
      <c r="E51" s="231">
        <f t="shared" si="0"/>
        <v>48</v>
      </c>
      <c r="F51" s="97" t="s">
        <v>646</v>
      </c>
      <c r="G51" s="91" t="s">
        <v>647</v>
      </c>
      <c r="H51" s="78" t="s">
        <v>310</v>
      </c>
      <c r="I51" s="48" t="s">
        <v>71</v>
      </c>
      <c r="J51" s="48" t="s">
        <v>71</v>
      </c>
      <c r="K51" s="48" t="s">
        <v>71</v>
      </c>
      <c r="L51" s="78" t="s">
        <v>310</v>
      </c>
      <c r="M51" s="78" t="s">
        <v>310</v>
      </c>
      <c r="N51" s="48" t="s">
        <v>71</v>
      </c>
      <c r="O51" s="78" t="s">
        <v>310</v>
      </c>
      <c r="P51" s="62" t="s">
        <v>71</v>
      </c>
      <c r="Q51" s="83">
        <v>45691</v>
      </c>
      <c r="R51" s="59"/>
      <c r="S51" s="84"/>
      <c r="T51" s="85" t="s">
        <v>968</v>
      </c>
      <c r="U51" s="101" t="s">
        <v>332</v>
      </c>
    </row>
    <row r="52" spans="2:22" ht="28.2" customHeight="1" x14ac:dyDescent="0.35">
      <c r="B52" s="122"/>
      <c r="C52" s="124" t="s">
        <v>648</v>
      </c>
      <c r="D52" s="267" t="s">
        <v>570</v>
      </c>
      <c r="E52" s="231">
        <f t="shared" si="0"/>
        <v>49</v>
      </c>
      <c r="F52" s="97" t="s">
        <v>649</v>
      </c>
      <c r="G52" s="91" t="s">
        <v>650</v>
      </c>
      <c r="H52" s="78" t="s">
        <v>310</v>
      </c>
      <c r="I52" s="48" t="s">
        <v>350</v>
      </c>
      <c r="J52" s="48" t="s">
        <v>71</v>
      </c>
      <c r="K52" s="78" t="s">
        <v>310</v>
      </c>
      <c r="L52" s="78" t="s">
        <v>310</v>
      </c>
      <c r="M52" s="78" t="s">
        <v>310</v>
      </c>
      <c r="N52" s="48" t="s">
        <v>71</v>
      </c>
      <c r="O52" s="78" t="s">
        <v>310</v>
      </c>
      <c r="P52" s="62" t="s">
        <v>71</v>
      </c>
      <c r="Q52" s="83">
        <v>45692</v>
      </c>
      <c r="R52" s="59"/>
      <c r="S52" s="84"/>
      <c r="T52" s="85" t="s">
        <v>968</v>
      </c>
      <c r="U52" s="101" t="s">
        <v>944</v>
      </c>
      <c r="V52" s="126"/>
    </row>
    <row r="53" spans="2:22" ht="28.2" customHeight="1" x14ac:dyDescent="0.35">
      <c r="B53" s="122"/>
      <c r="C53" s="267"/>
      <c r="D53" s="270" t="s">
        <v>651</v>
      </c>
      <c r="E53" s="231">
        <f t="shared" si="0"/>
        <v>50</v>
      </c>
      <c r="F53" s="97" t="s">
        <v>630</v>
      </c>
      <c r="G53" s="91" t="s">
        <v>652</v>
      </c>
      <c r="H53" s="78" t="s">
        <v>310</v>
      </c>
      <c r="I53" s="48" t="s">
        <v>350</v>
      </c>
      <c r="J53" s="48" t="s">
        <v>71</v>
      </c>
      <c r="K53" s="78" t="s">
        <v>310</v>
      </c>
      <c r="L53" s="78" t="s">
        <v>310</v>
      </c>
      <c r="M53" s="78" t="s">
        <v>310</v>
      </c>
      <c r="N53" s="48" t="s">
        <v>71</v>
      </c>
      <c r="O53" s="78" t="s">
        <v>310</v>
      </c>
      <c r="P53" s="62" t="s">
        <v>71</v>
      </c>
      <c r="Q53" s="83">
        <v>45692</v>
      </c>
      <c r="R53" s="59"/>
      <c r="S53" s="84"/>
      <c r="T53" s="85" t="s">
        <v>968</v>
      </c>
      <c r="U53" s="101" t="s">
        <v>946</v>
      </c>
    </row>
    <row r="54" spans="2:22" ht="28.95" customHeight="1" x14ac:dyDescent="0.35">
      <c r="B54" s="122"/>
      <c r="C54" s="123"/>
      <c r="D54" s="227"/>
      <c r="E54" s="231">
        <f t="shared" si="0"/>
        <v>51</v>
      </c>
      <c r="F54" s="97" t="s">
        <v>576</v>
      </c>
      <c r="G54" s="91" t="s">
        <v>653</v>
      </c>
      <c r="H54" s="78" t="s">
        <v>310</v>
      </c>
      <c r="I54" s="48" t="s">
        <v>350</v>
      </c>
      <c r="J54" s="48" t="s">
        <v>71</v>
      </c>
      <c r="K54" s="78" t="s">
        <v>310</v>
      </c>
      <c r="L54" s="78" t="s">
        <v>310</v>
      </c>
      <c r="M54" s="78" t="s">
        <v>310</v>
      </c>
      <c r="N54" s="48" t="s">
        <v>71</v>
      </c>
      <c r="O54" s="78" t="s">
        <v>310</v>
      </c>
      <c r="P54" s="62" t="s">
        <v>71</v>
      </c>
      <c r="Q54" s="83">
        <v>45692</v>
      </c>
      <c r="R54" s="59"/>
      <c r="S54" s="84"/>
      <c r="T54" s="85" t="s">
        <v>968</v>
      </c>
      <c r="U54" s="101" t="s">
        <v>947</v>
      </c>
    </row>
    <row r="55" spans="2:22" ht="28.2" customHeight="1" x14ac:dyDescent="0.35">
      <c r="B55" s="276" t="s">
        <v>654</v>
      </c>
      <c r="C55" s="292" t="s">
        <v>655</v>
      </c>
      <c r="D55" s="278" t="s">
        <v>656</v>
      </c>
      <c r="E55" s="279">
        <f t="shared" si="0"/>
        <v>52</v>
      </c>
      <c r="F55" s="280" t="s">
        <v>657</v>
      </c>
      <c r="G55" s="281" t="s">
        <v>658</v>
      </c>
      <c r="H55" s="282" t="s">
        <v>71</v>
      </c>
      <c r="I55" s="282" t="s">
        <v>71</v>
      </c>
      <c r="J55" s="282" t="s">
        <v>71</v>
      </c>
      <c r="K55" s="282" t="s">
        <v>71</v>
      </c>
      <c r="L55" s="282" t="s">
        <v>71</v>
      </c>
      <c r="M55" s="282" t="s">
        <v>71</v>
      </c>
      <c r="N55" s="282" t="s">
        <v>71</v>
      </c>
      <c r="O55" s="282" t="s">
        <v>71</v>
      </c>
      <c r="P55" s="283" t="s">
        <v>71</v>
      </c>
      <c r="Q55" s="284"/>
      <c r="R55" s="285"/>
      <c r="S55" s="286"/>
      <c r="T55" s="287"/>
      <c r="U55" s="293"/>
      <c r="V55" s="126"/>
    </row>
    <row r="56" spans="2:22" ht="28.2" customHeight="1" x14ac:dyDescent="0.35">
      <c r="B56" s="289" t="s">
        <v>659</v>
      </c>
      <c r="C56" s="277"/>
      <c r="D56" s="290" t="s">
        <v>664</v>
      </c>
      <c r="E56" s="279">
        <f t="shared" si="0"/>
        <v>53</v>
      </c>
      <c r="F56" s="280" t="s">
        <v>664</v>
      </c>
      <c r="G56" s="281" t="s">
        <v>662</v>
      </c>
      <c r="H56" s="282" t="s">
        <v>71</v>
      </c>
      <c r="I56" s="282" t="s">
        <v>71</v>
      </c>
      <c r="J56" s="282" t="s">
        <v>71</v>
      </c>
      <c r="K56" s="282" t="s">
        <v>71</v>
      </c>
      <c r="L56" s="282" t="s">
        <v>71</v>
      </c>
      <c r="M56" s="282" t="s">
        <v>71</v>
      </c>
      <c r="N56" s="282" t="s">
        <v>71</v>
      </c>
      <c r="O56" s="282" t="s">
        <v>71</v>
      </c>
      <c r="P56" s="283" t="s">
        <v>71</v>
      </c>
      <c r="Q56" s="284"/>
      <c r="R56" s="285"/>
      <c r="S56" s="286"/>
      <c r="T56" s="287"/>
      <c r="U56" s="293"/>
    </row>
    <row r="57" spans="2:22" ht="28.2" customHeight="1" x14ac:dyDescent="0.35">
      <c r="B57" s="291"/>
      <c r="C57" s="277"/>
      <c r="D57" s="290" t="s">
        <v>693</v>
      </c>
      <c r="E57" s="279">
        <f t="shared" si="0"/>
        <v>54</v>
      </c>
      <c r="F57" s="280" t="s">
        <v>694</v>
      </c>
      <c r="G57" s="281" t="s">
        <v>662</v>
      </c>
      <c r="H57" s="282" t="s">
        <v>71</v>
      </c>
      <c r="I57" s="282" t="s">
        <v>71</v>
      </c>
      <c r="J57" s="282" t="s">
        <v>71</v>
      </c>
      <c r="K57" s="282" t="s">
        <v>71</v>
      </c>
      <c r="L57" s="282" t="s">
        <v>71</v>
      </c>
      <c r="M57" s="282" t="s">
        <v>71</v>
      </c>
      <c r="N57" s="282" t="s">
        <v>71</v>
      </c>
      <c r="O57" s="282" t="s">
        <v>71</v>
      </c>
      <c r="P57" s="283" t="s">
        <v>71</v>
      </c>
      <c r="Q57" s="284"/>
      <c r="R57" s="285"/>
      <c r="S57" s="286"/>
      <c r="T57" s="287"/>
      <c r="U57" s="293"/>
    </row>
    <row r="58" spans="2:22" ht="28.2" customHeight="1" x14ac:dyDescent="0.35">
      <c r="B58" s="291"/>
      <c r="C58" s="277"/>
      <c r="D58" s="290" t="s">
        <v>675</v>
      </c>
      <c r="E58" s="279">
        <f t="shared" si="0"/>
        <v>55</v>
      </c>
      <c r="F58" s="290" t="s">
        <v>277</v>
      </c>
      <c r="G58" s="281" t="s">
        <v>662</v>
      </c>
      <c r="H58" s="282" t="s">
        <v>71</v>
      </c>
      <c r="I58" s="282" t="s">
        <v>71</v>
      </c>
      <c r="J58" s="282" t="s">
        <v>71</v>
      </c>
      <c r="K58" s="282" t="s">
        <v>71</v>
      </c>
      <c r="L58" s="282" t="s">
        <v>71</v>
      </c>
      <c r="M58" s="282" t="s">
        <v>71</v>
      </c>
      <c r="N58" s="282" t="s">
        <v>71</v>
      </c>
      <c r="O58" s="282" t="s">
        <v>71</v>
      </c>
      <c r="P58" s="283" t="s">
        <v>71</v>
      </c>
      <c r="Q58" s="284"/>
      <c r="R58" s="285"/>
      <c r="S58" s="286"/>
      <c r="T58" s="287"/>
      <c r="U58" s="293"/>
    </row>
    <row r="59" spans="2:22" ht="28.2" customHeight="1" x14ac:dyDescent="0.35">
      <c r="B59" s="291"/>
      <c r="C59" s="277"/>
      <c r="D59" s="290" t="s">
        <v>676</v>
      </c>
      <c r="E59" s="279">
        <f t="shared" si="0"/>
        <v>56</v>
      </c>
      <c r="F59" s="290" t="s">
        <v>280</v>
      </c>
      <c r="G59" s="281" t="s">
        <v>662</v>
      </c>
      <c r="H59" s="282" t="s">
        <v>71</v>
      </c>
      <c r="I59" s="282" t="s">
        <v>71</v>
      </c>
      <c r="J59" s="282" t="s">
        <v>71</v>
      </c>
      <c r="K59" s="282" t="s">
        <v>71</v>
      </c>
      <c r="L59" s="282" t="s">
        <v>71</v>
      </c>
      <c r="M59" s="282" t="s">
        <v>71</v>
      </c>
      <c r="N59" s="282" t="s">
        <v>71</v>
      </c>
      <c r="O59" s="282" t="s">
        <v>71</v>
      </c>
      <c r="P59" s="283" t="s">
        <v>71</v>
      </c>
      <c r="Q59" s="284"/>
      <c r="R59" s="285"/>
      <c r="S59" s="286"/>
      <c r="T59" s="287"/>
      <c r="U59" s="293"/>
    </row>
    <row r="60" spans="2:22" ht="28.2" customHeight="1" x14ac:dyDescent="0.35">
      <c r="B60" s="291"/>
      <c r="C60" s="277"/>
      <c r="D60" s="290" t="s">
        <v>677</v>
      </c>
      <c r="E60" s="279">
        <f t="shared" si="0"/>
        <v>57</v>
      </c>
      <c r="F60" s="290" t="s">
        <v>282</v>
      </c>
      <c r="G60" s="281" t="s">
        <v>662</v>
      </c>
      <c r="H60" s="282" t="s">
        <v>71</v>
      </c>
      <c r="I60" s="282" t="s">
        <v>71</v>
      </c>
      <c r="J60" s="282" t="s">
        <v>71</v>
      </c>
      <c r="K60" s="282" t="s">
        <v>71</v>
      </c>
      <c r="L60" s="282" t="s">
        <v>71</v>
      </c>
      <c r="M60" s="282" t="s">
        <v>71</v>
      </c>
      <c r="N60" s="282" t="s">
        <v>71</v>
      </c>
      <c r="O60" s="282" t="s">
        <v>71</v>
      </c>
      <c r="P60" s="283" t="s">
        <v>71</v>
      </c>
      <c r="Q60" s="284"/>
      <c r="R60" s="285"/>
      <c r="S60" s="286"/>
      <c r="T60" s="287"/>
      <c r="U60" s="293"/>
    </row>
    <row r="61" spans="2:22" ht="28.2" customHeight="1" x14ac:dyDescent="0.35">
      <c r="B61" s="291"/>
      <c r="C61" s="277"/>
      <c r="D61" s="290" t="s">
        <v>678</v>
      </c>
      <c r="E61" s="279">
        <f t="shared" si="0"/>
        <v>58</v>
      </c>
      <c r="F61" s="290" t="s">
        <v>284</v>
      </c>
      <c r="G61" s="281" t="s">
        <v>662</v>
      </c>
      <c r="H61" s="282" t="s">
        <v>71</v>
      </c>
      <c r="I61" s="282" t="s">
        <v>71</v>
      </c>
      <c r="J61" s="282" t="s">
        <v>71</v>
      </c>
      <c r="K61" s="282" t="s">
        <v>71</v>
      </c>
      <c r="L61" s="282" t="s">
        <v>71</v>
      </c>
      <c r="M61" s="282" t="s">
        <v>71</v>
      </c>
      <c r="N61" s="282" t="s">
        <v>71</v>
      </c>
      <c r="O61" s="282" t="s">
        <v>71</v>
      </c>
      <c r="P61" s="283" t="s">
        <v>71</v>
      </c>
      <c r="Q61" s="284"/>
      <c r="R61" s="285"/>
      <c r="S61" s="286"/>
      <c r="T61" s="287"/>
      <c r="U61" s="293"/>
    </row>
    <row r="62" spans="2:22" ht="28.2" customHeight="1" x14ac:dyDescent="0.35">
      <c r="B62" s="291"/>
      <c r="C62" s="277"/>
      <c r="D62" s="290" t="s">
        <v>695</v>
      </c>
      <c r="E62" s="279">
        <f t="shared" si="0"/>
        <v>59</v>
      </c>
      <c r="F62" s="290" t="s">
        <v>680</v>
      </c>
      <c r="G62" s="281" t="s">
        <v>662</v>
      </c>
      <c r="H62" s="282" t="s">
        <v>71</v>
      </c>
      <c r="I62" s="282" t="s">
        <v>71</v>
      </c>
      <c r="J62" s="282" t="s">
        <v>71</v>
      </c>
      <c r="K62" s="282" t="s">
        <v>71</v>
      </c>
      <c r="L62" s="282" t="s">
        <v>71</v>
      </c>
      <c r="M62" s="282" t="s">
        <v>71</v>
      </c>
      <c r="N62" s="282" t="s">
        <v>71</v>
      </c>
      <c r="O62" s="282" t="s">
        <v>71</v>
      </c>
      <c r="P62" s="283" t="s">
        <v>71</v>
      </c>
      <c r="Q62" s="284"/>
      <c r="R62" s="285"/>
      <c r="S62" s="286"/>
      <c r="T62" s="287"/>
      <c r="U62" s="293"/>
    </row>
    <row r="63" spans="2:22" ht="28.2" customHeight="1" x14ac:dyDescent="0.35">
      <c r="B63" s="291"/>
      <c r="C63" s="277"/>
      <c r="D63" s="290" t="s">
        <v>696</v>
      </c>
      <c r="E63" s="279">
        <f t="shared" si="0"/>
        <v>60</v>
      </c>
      <c r="F63" s="290" t="s">
        <v>682</v>
      </c>
      <c r="G63" s="281" t="s">
        <v>683</v>
      </c>
      <c r="H63" s="282" t="s">
        <v>71</v>
      </c>
      <c r="I63" s="282" t="s">
        <v>71</v>
      </c>
      <c r="J63" s="282" t="s">
        <v>71</v>
      </c>
      <c r="K63" s="282" t="s">
        <v>71</v>
      </c>
      <c r="L63" s="282" t="s">
        <v>71</v>
      </c>
      <c r="M63" s="282" t="s">
        <v>71</v>
      </c>
      <c r="N63" s="282" t="s">
        <v>71</v>
      </c>
      <c r="O63" s="282" t="s">
        <v>71</v>
      </c>
      <c r="P63" s="283" t="s">
        <v>71</v>
      </c>
      <c r="Q63" s="284"/>
      <c r="R63" s="285"/>
      <c r="S63" s="286"/>
      <c r="T63" s="287"/>
      <c r="U63" s="293"/>
    </row>
    <row r="64" spans="2:22" ht="28.2" customHeight="1" x14ac:dyDescent="0.35">
      <c r="B64" s="388" t="s">
        <v>654</v>
      </c>
      <c r="C64" s="387" t="s">
        <v>655</v>
      </c>
      <c r="D64" s="332" t="s">
        <v>656</v>
      </c>
      <c r="E64" s="94">
        <f t="shared" si="0"/>
        <v>61</v>
      </c>
      <c r="F64" s="95" t="s">
        <v>657</v>
      </c>
      <c r="G64" s="96" t="s">
        <v>658</v>
      </c>
      <c r="H64" s="79" t="s">
        <v>71</v>
      </c>
      <c r="I64" s="50" t="s">
        <v>71</v>
      </c>
      <c r="J64" s="50" t="s">
        <v>71</v>
      </c>
      <c r="K64" s="50" t="s">
        <v>71</v>
      </c>
      <c r="L64" s="79" t="s">
        <v>71</v>
      </c>
      <c r="M64" s="79" t="s">
        <v>71</v>
      </c>
      <c r="N64" s="50" t="s">
        <v>71</v>
      </c>
      <c r="O64" s="50" t="s">
        <v>71</v>
      </c>
      <c r="P64" s="63" t="s">
        <v>71</v>
      </c>
      <c r="Q64" s="329"/>
      <c r="R64" s="379"/>
      <c r="S64" s="380"/>
      <c r="T64" s="322"/>
      <c r="U64" s="326"/>
      <c r="V64" s="126"/>
    </row>
    <row r="65" spans="1:22" ht="48.6" customHeight="1" x14ac:dyDescent="0.35">
      <c r="B65" s="417" t="s">
        <v>692</v>
      </c>
      <c r="C65" s="330"/>
      <c r="D65" s="93" t="s">
        <v>664</v>
      </c>
      <c r="E65" s="94">
        <f t="shared" si="0"/>
        <v>62</v>
      </c>
      <c r="F65" s="95" t="s">
        <v>664</v>
      </c>
      <c r="G65" s="96" t="s">
        <v>662</v>
      </c>
      <c r="H65" s="79" t="s">
        <v>71</v>
      </c>
      <c r="I65" s="50" t="s">
        <v>350</v>
      </c>
      <c r="J65" s="50" t="s">
        <v>71</v>
      </c>
      <c r="K65" s="50" t="s">
        <v>71</v>
      </c>
      <c r="L65" s="50" t="s">
        <v>71</v>
      </c>
      <c r="M65" s="50" t="s">
        <v>71</v>
      </c>
      <c r="N65" s="50" t="s">
        <v>71</v>
      </c>
      <c r="O65" s="50" t="s">
        <v>71</v>
      </c>
      <c r="P65" s="63" t="s">
        <v>71</v>
      </c>
      <c r="Q65" s="329"/>
      <c r="R65" s="379"/>
      <c r="S65" s="380"/>
      <c r="T65" s="322"/>
      <c r="U65" s="326"/>
      <c r="V65" s="126"/>
    </row>
    <row r="66" spans="1:22" ht="28.2" customHeight="1" x14ac:dyDescent="0.35">
      <c r="B66" s="345"/>
      <c r="C66" s="330"/>
      <c r="D66" s="93" t="s">
        <v>693</v>
      </c>
      <c r="E66" s="94">
        <f t="shared" si="0"/>
        <v>63</v>
      </c>
      <c r="F66" s="95" t="s">
        <v>694</v>
      </c>
      <c r="G66" s="96" t="s">
        <v>662</v>
      </c>
      <c r="H66" s="79" t="s">
        <v>71</v>
      </c>
      <c r="I66" s="50" t="s">
        <v>71</v>
      </c>
      <c r="J66" s="50" t="s">
        <v>71</v>
      </c>
      <c r="K66" s="50" t="s">
        <v>71</v>
      </c>
      <c r="L66" s="79" t="s">
        <v>71</v>
      </c>
      <c r="M66" s="79" t="s">
        <v>71</v>
      </c>
      <c r="N66" s="50" t="s">
        <v>71</v>
      </c>
      <c r="O66" s="50" t="s">
        <v>71</v>
      </c>
      <c r="P66" s="63" t="s">
        <v>71</v>
      </c>
      <c r="Q66" s="329"/>
      <c r="R66" s="379"/>
      <c r="S66" s="380"/>
      <c r="T66" s="322"/>
      <c r="U66" s="326"/>
    </row>
    <row r="67" spans="1:22" ht="28.2" customHeight="1" x14ac:dyDescent="0.35">
      <c r="B67" s="345"/>
      <c r="C67" s="330"/>
      <c r="D67" s="93" t="s">
        <v>675</v>
      </c>
      <c r="E67" s="94">
        <f t="shared" si="0"/>
        <v>64</v>
      </c>
      <c r="F67" s="93" t="s">
        <v>277</v>
      </c>
      <c r="G67" s="96" t="s">
        <v>662</v>
      </c>
      <c r="H67" s="79" t="s">
        <v>71</v>
      </c>
      <c r="I67" s="50" t="s">
        <v>71</v>
      </c>
      <c r="J67" s="50" t="s">
        <v>71</v>
      </c>
      <c r="K67" s="50" t="s">
        <v>71</v>
      </c>
      <c r="L67" s="79" t="s">
        <v>71</v>
      </c>
      <c r="M67" s="79" t="s">
        <v>71</v>
      </c>
      <c r="N67" s="50" t="s">
        <v>71</v>
      </c>
      <c r="O67" s="50" t="s">
        <v>71</v>
      </c>
      <c r="P67" s="63" t="s">
        <v>71</v>
      </c>
      <c r="Q67" s="329"/>
      <c r="R67" s="379"/>
      <c r="S67" s="380"/>
      <c r="T67" s="322"/>
      <c r="U67" s="326"/>
    </row>
    <row r="68" spans="1:22" ht="28.2" customHeight="1" x14ac:dyDescent="0.35">
      <c r="B68" s="345"/>
      <c r="C68" s="330"/>
      <c r="D68" s="93" t="s">
        <v>676</v>
      </c>
      <c r="E68" s="94">
        <f t="shared" si="0"/>
        <v>65</v>
      </c>
      <c r="F68" s="93" t="s">
        <v>280</v>
      </c>
      <c r="G68" s="96" t="s">
        <v>662</v>
      </c>
      <c r="H68" s="79" t="s">
        <v>71</v>
      </c>
      <c r="I68" s="50" t="s">
        <v>71</v>
      </c>
      <c r="J68" s="50" t="s">
        <v>71</v>
      </c>
      <c r="K68" s="50" t="s">
        <v>71</v>
      </c>
      <c r="L68" s="79" t="s">
        <v>71</v>
      </c>
      <c r="M68" s="79" t="s">
        <v>71</v>
      </c>
      <c r="N68" s="50" t="s">
        <v>71</v>
      </c>
      <c r="O68" s="50" t="s">
        <v>71</v>
      </c>
      <c r="P68" s="63" t="s">
        <v>71</v>
      </c>
      <c r="Q68" s="329"/>
      <c r="R68" s="379"/>
      <c r="S68" s="380"/>
      <c r="T68" s="322"/>
      <c r="U68" s="326"/>
      <c r="V68" s="126"/>
    </row>
    <row r="69" spans="1:22" ht="28.2" customHeight="1" x14ac:dyDescent="0.35">
      <c r="B69" s="345"/>
      <c r="C69" s="330"/>
      <c r="D69" s="93" t="s">
        <v>677</v>
      </c>
      <c r="E69" s="94">
        <f t="shared" ref="E69:E72" si="1">ROW()-3</f>
        <v>66</v>
      </c>
      <c r="F69" s="93" t="s">
        <v>282</v>
      </c>
      <c r="G69" s="96" t="s">
        <v>662</v>
      </c>
      <c r="H69" s="79" t="s">
        <v>71</v>
      </c>
      <c r="I69" s="50" t="s">
        <v>71</v>
      </c>
      <c r="J69" s="50" t="s">
        <v>71</v>
      </c>
      <c r="K69" s="50" t="s">
        <v>71</v>
      </c>
      <c r="L69" s="79" t="s">
        <v>71</v>
      </c>
      <c r="M69" s="79" t="s">
        <v>71</v>
      </c>
      <c r="N69" s="50" t="s">
        <v>71</v>
      </c>
      <c r="O69" s="50" t="s">
        <v>71</v>
      </c>
      <c r="P69" s="63" t="s">
        <v>71</v>
      </c>
      <c r="Q69" s="329"/>
      <c r="R69" s="379"/>
      <c r="S69" s="380"/>
      <c r="T69" s="322"/>
      <c r="U69" s="326"/>
      <c r="V69" s="126"/>
    </row>
    <row r="70" spans="1:22" ht="37.950000000000003" customHeight="1" x14ac:dyDescent="0.35">
      <c r="B70" s="345"/>
      <c r="C70" s="330"/>
      <c r="D70" s="93" t="s">
        <v>678</v>
      </c>
      <c r="E70" s="94">
        <f t="shared" si="1"/>
        <v>67</v>
      </c>
      <c r="F70" s="93" t="s">
        <v>284</v>
      </c>
      <c r="G70" s="96" t="s">
        <v>662</v>
      </c>
      <c r="H70" s="79" t="s">
        <v>71</v>
      </c>
      <c r="I70" s="50" t="s">
        <v>71</v>
      </c>
      <c r="J70" s="50" t="s">
        <v>71</v>
      </c>
      <c r="K70" s="50" t="s">
        <v>71</v>
      </c>
      <c r="L70" s="50" t="s">
        <v>71</v>
      </c>
      <c r="M70" s="50" t="s">
        <v>71</v>
      </c>
      <c r="N70" s="50" t="s">
        <v>71</v>
      </c>
      <c r="O70" s="50" t="s">
        <v>71</v>
      </c>
      <c r="P70" s="63" t="s">
        <v>71</v>
      </c>
      <c r="Q70" s="329"/>
      <c r="R70" s="379"/>
      <c r="S70" s="380"/>
      <c r="T70" s="322"/>
      <c r="U70" s="326"/>
    </row>
    <row r="71" spans="1:22" ht="28.2" customHeight="1" x14ac:dyDescent="0.35">
      <c r="B71" s="345"/>
      <c r="C71" s="330"/>
      <c r="D71" s="93" t="s">
        <v>695</v>
      </c>
      <c r="E71" s="94">
        <f t="shared" si="1"/>
        <v>68</v>
      </c>
      <c r="F71" s="93" t="s">
        <v>680</v>
      </c>
      <c r="G71" s="96" t="s">
        <v>662</v>
      </c>
      <c r="H71" s="79" t="s">
        <v>71</v>
      </c>
      <c r="I71" s="50" t="s">
        <v>71</v>
      </c>
      <c r="J71" s="50" t="s">
        <v>71</v>
      </c>
      <c r="K71" s="50" t="s">
        <v>71</v>
      </c>
      <c r="L71" s="79" t="s">
        <v>71</v>
      </c>
      <c r="M71" s="79" t="s">
        <v>71</v>
      </c>
      <c r="N71" s="50" t="s">
        <v>71</v>
      </c>
      <c r="O71" s="50" t="s">
        <v>71</v>
      </c>
      <c r="P71" s="63" t="s">
        <v>71</v>
      </c>
      <c r="Q71" s="329"/>
      <c r="R71" s="379"/>
      <c r="S71" s="380"/>
      <c r="T71" s="322"/>
      <c r="U71" s="326"/>
    </row>
    <row r="72" spans="1:22" ht="36" customHeight="1" x14ac:dyDescent="0.35">
      <c r="B72" s="345"/>
      <c r="C72" s="330"/>
      <c r="D72" s="93" t="s">
        <v>696</v>
      </c>
      <c r="E72" s="94">
        <f t="shared" si="1"/>
        <v>69</v>
      </c>
      <c r="F72" s="93" t="s">
        <v>682</v>
      </c>
      <c r="G72" s="96" t="s">
        <v>683</v>
      </c>
      <c r="H72" s="50" t="s">
        <v>71</v>
      </c>
      <c r="I72" s="50" t="s">
        <v>71</v>
      </c>
      <c r="J72" s="50" t="s">
        <v>71</v>
      </c>
      <c r="K72" s="79" t="s">
        <v>71</v>
      </c>
      <c r="L72" s="50" t="s">
        <v>71</v>
      </c>
      <c r="M72" s="50" t="s">
        <v>71</v>
      </c>
      <c r="N72" s="50" t="s">
        <v>71</v>
      </c>
      <c r="O72" s="50" t="s">
        <v>71</v>
      </c>
      <c r="P72" s="63" t="s">
        <v>71</v>
      </c>
      <c r="Q72" s="329"/>
      <c r="R72" s="379"/>
      <c r="S72" s="380"/>
      <c r="T72" s="322"/>
      <c r="U72" s="326"/>
    </row>
    <row r="73" spans="1:22" ht="28.2" customHeight="1" x14ac:dyDescent="0.35">
      <c r="B73" s="125" t="s">
        <v>759</v>
      </c>
      <c r="C73" s="124" t="s">
        <v>760</v>
      </c>
      <c r="D73" s="88"/>
      <c r="E73" s="89"/>
      <c r="F73" s="90" t="s">
        <v>761</v>
      </c>
      <c r="G73" s="91" t="s">
        <v>762</v>
      </c>
      <c r="H73" s="78" t="s">
        <v>310</v>
      </c>
      <c r="I73" s="48" t="s">
        <v>350</v>
      </c>
      <c r="J73" s="48" t="s">
        <v>71</v>
      </c>
      <c r="K73" s="78" t="s">
        <v>310</v>
      </c>
      <c r="L73" s="48" t="s">
        <v>71</v>
      </c>
      <c r="M73" s="48" t="s">
        <v>71</v>
      </c>
      <c r="N73" s="47" t="s">
        <v>71</v>
      </c>
      <c r="O73" s="47" t="s">
        <v>71</v>
      </c>
      <c r="P73" s="62" t="s">
        <v>71</v>
      </c>
      <c r="Q73" s="83">
        <v>45691</v>
      </c>
      <c r="R73" s="59"/>
      <c r="S73" s="84"/>
      <c r="T73" s="85" t="s">
        <v>968</v>
      </c>
      <c r="U73" s="101"/>
    </row>
    <row r="74" spans="1:22" ht="28.2" customHeight="1" thickBot="1" x14ac:dyDescent="0.4">
      <c r="B74" s="122"/>
      <c r="C74" s="124"/>
      <c r="D74" s="153"/>
      <c r="E74" s="154"/>
      <c r="F74" s="155"/>
      <c r="G74" s="156"/>
      <c r="H74" s="80" t="s">
        <v>71</v>
      </c>
      <c r="I74" s="53" t="s">
        <v>71</v>
      </c>
      <c r="J74" s="53" t="s">
        <v>71</v>
      </c>
      <c r="K74" s="52" t="s">
        <v>71</v>
      </c>
      <c r="L74" s="53" t="s">
        <v>71</v>
      </c>
      <c r="M74" s="53" t="s">
        <v>71</v>
      </c>
      <c r="N74" s="52" t="s">
        <v>71</v>
      </c>
      <c r="O74" s="52" t="s">
        <v>71</v>
      </c>
      <c r="P74" s="72" t="s">
        <v>71</v>
      </c>
      <c r="Q74" s="73"/>
      <c r="R74" s="54"/>
      <c r="S74" s="74"/>
      <c r="T74" s="70"/>
      <c r="U74" s="420"/>
    </row>
    <row r="75" spans="1:22" ht="18" customHeight="1" x14ac:dyDescent="0.35">
      <c r="B75" s="524" t="s">
        <v>300</v>
      </c>
      <c r="C75" s="509"/>
      <c r="D75" s="509">
        <f>SUM(H77:P77)</f>
        <v>160</v>
      </c>
      <c r="E75" s="157"/>
      <c r="F75" s="158"/>
      <c r="G75" s="248" t="s">
        <v>301</v>
      </c>
      <c r="H75" s="160">
        <f>COUNTIF(H4:H74,"●")+COUNTIF(H4:H74,"■")+COUNTIF(H4:H74,"OK")</f>
        <v>46</v>
      </c>
      <c r="I75" s="160">
        <f t="shared" ref="I75:P75" si="2">COUNTIF(I4:I74,"●")+COUNTIF(I4:I74,"■")+COUNTIF(I4:I74,"OK")</f>
        <v>0</v>
      </c>
      <c r="J75" s="160">
        <f t="shared" si="2"/>
        <v>0</v>
      </c>
      <c r="K75" s="160">
        <f t="shared" si="2"/>
        <v>7</v>
      </c>
      <c r="L75" s="160">
        <f t="shared" si="2"/>
        <v>44</v>
      </c>
      <c r="M75" s="160">
        <f t="shared" si="2"/>
        <v>44</v>
      </c>
      <c r="N75" s="160">
        <f t="shared" si="2"/>
        <v>0</v>
      </c>
      <c r="O75" s="160">
        <f t="shared" si="2"/>
        <v>19</v>
      </c>
      <c r="P75" s="160">
        <f t="shared" si="2"/>
        <v>0</v>
      </c>
      <c r="Q75" s="511" t="s">
        <v>302</v>
      </c>
      <c r="R75" s="511"/>
      <c r="S75" s="511"/>
      <c r="T75" s="161"/>
      <c r="U75" s="421"/>
    </row>
    <row r="76" spans="1:22" ht="18" customHeight="1" x14ac:dyDescent="0.35">
      <c r="B76" s="525"/>
      <c r="C76" s="510"/>
      <c r="D76" s="510"/>
      <c r="E76" s="55"/>
      <c r="F76" s="56"/>
      <c r="G76" s="249" t="s">
        <v>303</v>
      </c>
      <c r="H76" s="75">
        <f>COUNTIF(H4:H74,"×")+COUNTIF(H4:H74,"NG")</f>
        <v>0</v>
      </c>
      <c r="I76" s="75">
        <f t="shared" ref="I76:P76" si="3">COUNTIF(I4:I74,"×")+COUNTIF(I4:I74,"NG")</f>
        <v>0</v>
      </c>
      <c r="J76" s="75">
        <f t="shared" si="3"/>
        <v>0</v>
      </c>
      <c r="K76" s="75">
        <f t="shared" si="3"/>
        <v>0</v>
      </c>
      <c r="L76" s="75">
        <f t="shared" si="3"/>
        <v>0</v>
      </c>
      <c r="M76" s="75">
        <f t="shared" si="3"/>
        <v>0</v>
      </c>
      <c r="N76" s="75">
        <f t="shared" si="3"/>
        <v>0</v>
      </c>
      <c r="O76" s="75">
        <f t="shared" si="3"/>
        <v>0</v>
      </c>
      <c r="P76" s="75">
        <f t="shared" si="3"/>
        <v>0</v>
      </c>
      <c r="Q76" s="512"/>
      <c r="R76" s="512"/>
      <c r="S76" s="512"/>
      <c r="T76" s="71"/>
      <c r="U76" s="422"/>
    </row>
    <row r="77" spans="1:22" ht="18" customHeight="1" x14ac:dyDescent="0.35">
      <c r="B77" s="526" t="s">
        <v>304</v>
      </c>
      <c r="C77" s="507"/>
      <c r="D77" s="507">
        <f>SUM(H78:P78)</f>
        <v>160</v>
      </c>
      <c r="E77" s="45"/>
      <c r="F77" s="46"/>
      <c r="G77" s="249" t="s">
        <v>305</v>
      </c>
      <c r="H77" s="75">
        <f t="shared" ref="H77:P77" si="4">H75+H76</f>
        <v>46</v>
      </c>
      <c r="I77" s="76">
        <f t="shared" si="4"/>
        <v>0</v>
      </c>
      <c r="J77" s="76">
        <f t="shared" si="4"/>
        <v>0</v>
      </c>
      <c r="K77" s="76">
        <f t="shared" si="4"/>
        <v>7</v>
      </c>
      <c r="L77" s="76">
        <f t="shared" si="4"/>
        <v>44</v>
      </c>
      <c r="M77" s="76">
        <f t="shared" si="4"/>
        <v>44</v>
      </c>
      <c r="N77" s="76">
        <f t="shared" si="4"/>
        <v>0</v>
      </c>
      <c r="O77" s="76">
        <f t="shared" si="4"/>
        <v>19</v>
      </c>
      <c r="P77" s="77">
        <f t="shared" si="4"/>
        <v>0</v>
      </c>
      <c r="Q77" s="513">
        <f>COUNTA(Q4:Q74)</f>
        <v>46</v>
      </c>
      <c r="R77" s="515">
        <f>COUNTA(R4:R74)</f>
        <v>0</v>
      </c>
      <c r="S77" s="517">
        <f>COUNTA(S4:S74)</f>
        <v>0</v>
      </c>
      <c r="T77" s="71"/>
      <c r="U77" s="422"/>
    </row>
    <row r="78" spans="1:22" ht="18" customHeight="1" thickBot="1" x14ac:dyDescent="0.4">
      <c r="A78" s="118"/>
      <c r="B78" s="527"/>
      <c r="C78" s="508"/>
      <c r="D78" s="508"/>
      <c r="E78" s="106"/>
      <c r="F78" s="107"/>
      <c r="G78" s="250" t="s">
        <v>306</v>
      </c>
      <c r="H78" s="109">
        <f>COUNTBLANK(H4:H74)+H77+COUNTIF(H4:H74,"□")</f>
        <v>46</v>
      </c>
      <c r="I78" s="109">
        <f t="shared" ref="I78:P78" si="5">COUNTBLANK(I4:I74)+I77+COUNTIF(I4:I74,"□")</f>
        <v>0</v>
      </c>
      <c r="J78" s="109">
        <f t="shared" si="5"/>
        <v>0</v>
      </c>
      <c r="K78" s="109">
        <f t="shared" si="5"/>
        <v>7</v>
      </c>
      <c r="L78" s="109">
        <f t="shared" si="5"/>
        <v>44</v>
      </c>
      <c r="M78" s="109">
        <f t="shared" si="5"/>
        <v>44</v>
      </c>
      <c r="N78" s="109">
        <f t="shared" si="5"/>
        <v>0</v>
      </c>
      <c r="O78" s="109">
        <f t="shared" si="5"/>
        <v>19</v>
      </c>
      <c r="P78" s="109">
        <f t="shared" si="5"/>
        <v>0</v>
      </c>
      <c r="Q78" s="514"/>
      <c r="R78" s="516"/>
      <c r="S78" s="518"/>
      <c r="T78" s="112"/>
      <c r="U78" s="423"/>
    </row>
    <row r="79" spans="1:22" ht="24" customHeight="1" x14ac:dyDescent="0.35"/>
  </sheetData>
  <autoFilter ref="A1:V79" xr:uid="{B453CB9B-123A-4330-A320-F9FDDAE3CA85}"/>
  <mergeCells count="16">
    <mergeCell ref="T2:T3"/>
    <mergeCell ref="U2:U3"/>
    <mergeCell ref="B75:C76"/>
    <mergeCell ref="D75:D76"/>
    <mergeCell ref="Q75:S76"/>
    <mergeCell ref="B2:B3"/>
    <mergeCell ref="C2:C3"/>
    <mergeCell ref="D2:D3"/>
    <mergeCell ref="E2:G2"/>
    <mergeCell ref="H2:P2"/>
    <mergeCell ref="Q2:S2"/>
    <mergeCell ref="B77:C78"/>
    <mergeCell ref="D77:D78"/>
    <mergeCell ref="Q77:Q78"/>
    <mergeCell ref="R77:R78"/>
    <mergeCell ref="S77:S78"/>
  </mergeCells>
  <phoneticPr fontId="23"/>
  <pageMargins left="0.25" right="0.25" top="0.75" bottom="0.75" header="0.3" footer="0.3"/>
  <pageSetup paperSize="8" scale="71"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FA091-695E-46D6-B11D-BC9C20B7F562}">
  <sheetPr codeName="Sheet12">
    <pageSetUpPr fitToPage="1"/>
  </sheetPr>
  <dimension ref="A1:V27"/>
  <sheetViews>
    <sheetView view="pageBreakPreview" zoomScale="80" zoomScaleNormal="70" zoomScaleSheetLayoutView="80" workbookViewId="0">
      <pane ySplit="3" topLeftCell="A8" activePane="bottomLeft" state="frozen"/>
      <selection pane="bottomLeft" activeCell="T20" sqref="T20"/>
    </sheetView>
  </sheetViews>
  <sheetFormatPr defaultColWidth="8.6640625" defaultRowHeight="13.2" x14ac:dyDescent="0.35"/>
  <cols>
    <col min="1" max="1" width="3.109375" style="60" customWidth="1"/>
    <col min="2" max="2" width="14.886718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53.33203125" style="120" bestFit="1" customWidth="1"/>
    <col min="22" max="22" width="5" style="120" customWidth="1"/>
    <col min="23" max="16384" width="8.6640625" style="120"/>
  </cols>
  <sheetData>
    <row r="1" spans="1:22" ht="20.399999999999999" thickBot="1" x14ac:dyDescent="0.4">
      <c r="B1" s="121" t="s">
        <v>763</v>
      </c>
      <c r="E1" s="121"/>
    </row>
    <row r="2" spans="1:22" ht="24" customHeight="1" x14ac:dyDescent="0.35">
      <c r="A2" s="118"/>
      <c r="B2" s="522" t="s">
        <v>43</v>
      </c>
      <c r="C2" s="505" t="s">
        <v>44</v>
      </c>
      <c r="D2" s="505" t="s">
        <v>45</v>
      </c>
      <c r="E2" s="498" t="s">
        <v>46</v>
      </c>
      <c r="F2" s="499"/>
      <c r="G2" s="500"/>
      <c r="H2" s="519" t="s">
        <v>764</v>
      </c>
      <c r="I2" s="520"/>
      <c r="J2" s="520"/>
      <c r="K2" s="520"/>
      <c r="L2" s="520"/>
      <c r="M2" s="520"/>
      <c r="N2" s="520"/>
      <c r="O2" s="520"/>
      <c r="P2" s="521"/>
      <c r="Q2" s="501" t="s">
        <v>48</v>
      </c>
      <c r="R2" s="502"/>
      <c r="S2" s="502"/>
      <c r="T2" s="505" t="s">
        <v>49</v>
      </c>
      <c r="U2" s="503" t="s">
        <v>50</v>
      </c>
    </row>
    <row r="3" spans="1:22" ht="27" thickBot="1" x14ac:dyDescent="0.4">
      <c r="A3" s="118"/>
      <c r="B3" s="523"/>
      <c r="C3" s="506"/>
      <c r="D3" s="506"/>
      <c r="E3" s="114" t="s">
        <v>51</v>
      </c>
      <c r="F3" s="247" t="s">
        <v>765</v>
      </c>
      <c r="G3" s="115" t="s">
        <v>53</v>
      </c>
      <c r="H3" s="127" t="s">
        <v>54</v>
      </c>
      <c r="I3" s="128" t="s">
        <v>55</v>
      </c>
      <c r="J3" s="129" t="s">
        <v>57</v>
      </c>
      <c r="K3" s="129" t="s">
        <v>766</v>
      </c>
      <c r="L3" s="129" t="s">
        <v>767</v>
      </c>
      <c r="M3" s="129" t="s">
        <v>768</v>
      </c>
      <c r="N3" s="272" t="s">
        <v>350</v>
      </c>
      <c r="O3" s="273" t="s">
        <v>350</v>
      </c>
      <c r="P3" s="274" t="s">
        <v>350</v>
      </c>
      <c r="Q3" s="114" t="s">
        <v>63</v>
      </c>
      <c r="R3" s="116" t="s">
        <v>64</v>
      </c>
      <c r="S3" s="117" t="s">
        <v>65</v>
      </c>
      <c r="T3" s="506"/>
      <c r="U3" s="504"/>
    </row>
    <row r="4" spans="1:22" ht="28.2" customHeight="1" x14ac:dyDescent="0.35">
      <c r="B4" s="122" t="s">
        <v>769</v>
      </c>
      <c r="C4" s="123" t="s">
        <v>770</v>
      </c>
      <c r="D4" s="227" t="s">
        <v>771</v>
      </c>
      <c r="E4" s="228">
        <f>ROW()-3</f>
        <v>1</v>
      </c>
      <c r="F4" s="229" t="s">
        <v>772</v>
      </c>
      <c r="G4" s="87" t="s">
        <v>773</v>
      </c>
      <c r="H4" s="81" t="s">
        <v>310</v>
      </c>
      <c r="I4" s="48" t="s">
        <v>71</v>
      </c>
      <c r="J4" s="81" t="s">
        <v>310</v>
      </c>
      <c r="K4" s="58" t="s">
        <v>350</v>
      </c>
      <c r="L4" s="58" t="s">
        <v>350</v>
      </c>
      <c r="M4" s="58" t="s">
        <v>350</v>
      </c>
      <c r="N4" s="58" t="s">
        <v>71</v>
      </c>
      <c r="O4" s="58" t="s">
        <v>71</v>
      </c>
      <c r="P4" s="82" t="s">
        <v>71</v>
      </c>
      <c r="Q4" s="83">
        <v>45686</v>
      </c>
      <c r="R4" s="59"/>
      <c r="S4" s="84"/>
      <c r="T4" s="85" t="s">
        <v>774</v>
      </c>
      <c r="U4" s="99"/>
    </row>
    <row r="5" spans="1:22" ht="28.2" customHeight="1" x14ac:dyDescent="0.35">
      <c r="B5" s="122"/>
      <c r="C5" s="267"/>
      <c r="D5" s="267" t="s">
        <v>775</v>
      </c>
      <c r="E5" s="231">
        <f t="shared" ref="E5:E19" si="0">ROW()-3</f>
        <v>2</v>
      </c>
      <c r="F5" s="97" t="s">
        <v>776</v>
      </c>
      <c r="G5" s="91" t="s">
        <v>777</v>
      </c>
      <c r="H5" s="81" t="s">
        <v>310</v>
      </c>
      <c r="I5" s="48" t="s">
        <v>71</v>
      </c>
      <c r="J5" s="81" t="s">
        <v>310</v>
      </c>
      <c r="K5" s="48" t="s">
        <v>71</v>
      </c>
      <c r="L5" s="48" t="s">
        <v>71</v>
      </c>
      <c r="M5" s="48" t="s">
        <v>71</v>
      </c>
      <c r="N5" s="48" t="s">
        <v>71</v>
      </c>
      <c r="O5" s="48" t="s">
        <v>71</v>
      </c>
      <c r="P5" s="62" t="s">
        <v>71</v>
      </c>
      <c r="Q5" s="83">
        <v>45686</v>
      </c>
      <c r="R5" s="59"/>
      <c r="S5" s="84"/>
      <c r="T5" s="85" t="s">
        <v>774</v>
      </c>
      <c r="U5" s="100"/>
    </row>
    <row r="6" spans="1:22" ht="28.2" customHeight="1" x14ac:dyDescent="0.35">
      <c r="B6" s="122"/>
      <c r="C6" s="267"/>
      <c r="D6" s="267"/>
      <c r="E6" s="231">
        <f t="shared" si="0"/>
        <v>3</v>
      </c>
      <c r="F6" s="97" t="s">
        <v>778</v>
      </c>
      <c r="G6" s="91" t="s">
        <v>779</v>
      </c>
      <c r="H6" s="81" t="s">
        <v>310</v>
      </c>
      <c r="I6" s="48" t="s">
        <v>71</v>
      </c>
      <c r="J6" s="81" t="s">
        <v>310</v>
      </c>
      <c r="K6" s="48" t="s">
        <v>71</v>
      </c>
      <c r="L6" s="48" t="s">
        <v>71</v>
      </c>
      <c r="M6" s="48" t="s">
        <v>71</v>
      </c>
      <c r="N6" s="48" t="s">
        <v>350</v>
      </c>
      <c r="O6" s="48" t="s">
        <v>71</v>
      </c>
      <c r="P6" s="62" t="s">
        <v>71</v>
      </c>
      <c r="Q6" s="83">
        <v>45686</v>
      </c>
      <c r="R6" s="59"/>
      <c r="S6" s="84"/>
      <c r="T6" s="85" t="s">
        <v>774</v>
      </c>
      <c r="U6" s="101"/>
    </row>
    <row r="7" spans="1:22" ht="28.2" customHeight="1" x14ac:dyDescent="0.35">
      <c r="B7" s="122"/>
      <c r="C7" s="267"/>
      <c r="D7" s="227"/>
      <c r="E7" s="231">
        <f t="shared" si="0"/>
        <v>4</v>
      </c>
      <c r="F7" s="97" t="s">
        <v>780</v>
      </c>
      <c r="G7" s="91" t="s">
        <v>781</v>
      </c>
      <c r="H7" s="81" t="s">
        <v>310</v>
      </c>
      <c r="I7" s="48" t="s">
        <v>71</v>
      </c>
      <c r="J7" s="81" t="s">
        <v>310</v>
      </c>
      <c r="K7" s="48" t="s">
        <v>71</v>
      </c>
      <c r="L7" s="48" t="s">
        <v>71</v>
      </c>
      <c r="M7" s="48" t="s">
        <v>71</v>
      </c>
      <c r="N7" s="48" t="s">
        <v>350</v>
      </c>
      <c r="O7" s="48" t="s">
        <v>71</v>
      </c>
      <c r="P7" s="62" t="s">
        <v>71</v>
      </c>
      <c r="Q7" s="83">
        <v>45686</v>
      </c>
      <c r="R7" s="59"/>
      <c r="S7" s="84"/>
      <c r="T7" s="85" t="s">
        <v>774</v>
      </c>
      <c r="U7" s="101"/>
    </row>
    <row r="8" spans="1:22" ht="28.2" customHeight="1" x14ac:dyDescent="0.35">
      <c r="B8" s="122"/>
      <c r="C8" s="267"/>
      <c r="D8" s="267" t="s">
        <v>782</v>
      </c>
      <c r="E8" s="231">
        <f t="shared" si="0"/>
        <v>5</v>
      </c>
      <c r="F8" s="97" t="s">
        <v>783</v>
      </c>
      <c r="G8" s="91" t="s">
        <v>777</v>
      </c>
      <c r="H8" s="81" t="s">
        <v>310</v>
      </c>
      <c r="I8" s="48" t="s">
        <v>71</v>
      </c>
      <c r="J8" s="81" t="s">
        <v>310</v>
      </c>
      <c r="K8" s="48" t="s">
        <v>71</v>
      </c>
      <c r="L8" s="48" t="s">
        <v>71</v>
      </c>
      <c r="M8" s="48" t="s">
        <v>71</v>
      </c>
      <c r="N8" s="48" t="s">
        <v>71</v>
      </c>
      <c r="O8" s="48" t="s">
        <v>71</v>
      </c>
      <c r="P8" s="62" t="s">
        <v>71</v>
      </c>
      <c r="Q8" s="83">
        <v>45686</v>
      </c>
      <c r="R8" s="59"/>
      <c r="S8" s="84"/>
      <c r="T8" s="85" t="s">
        <v>774</v>
      </c>
      <c r="U8" s="101"/>
    </row>
    <row r="9" spans="1:22" ht="28.2" customHeight="1" x14ac:dyDescent="0.35">
      <c r="B9" s="122"/>
      <c r="C9" s="267"/>
      <c r="D9" s="267"/>
      <c r="E9" s="231">
        <f t="shared" si="0"/>
        <v>6</v>
      </c>
      <c r="F9" s="97" t="s">
        <v>778</v>
      </c>
      <c r="G9" s="91" t="s">
        <v>779</v>
      </c>
      <c r="H9" s="81" t="s">
        <v>310</v>
      </c>
      <c r="I9" s="48" t="s">
        <v>71</v>
      </c>
      <c r="J9" s="81" t="s">
        <v>310</v>
      </c>
      <c r="K9" s="48" t="s">
        <v>71</v>
      </c>
      <c r="L9" s="48" t="s">
        <v>71</v>
      </c>
      <c r="M9" s="48" t="s">
        <v>71</v>
      </c>
      <c r="N9" s="48" t="s">
        <v>71</v>
      </c>
      <c r="O9" s="48" t="s">
        <v>71</v>
      </c>
      <c r="P9" s="62" t="s">
        <v>71</v>
      </c>
      <c r="Q9" s="83">
        <v>45686</v>
      </c>
      <c r="R9" s="59"/>
      <c r="S9" s="84"/>
      <c r="T9" s="85" t="s">
        <v>774</v>
      </c>
      <c r="U9" s="100"/>
    </row>
    <row r="10" spans="1:22" ht="28.2" customHeight="1" x14ac:dyDescent="0.35">
      <c r="B10" s="122"/>
      <c r="C10" s="267"/>
      <c r="D10" s="227"/>
      <c r="E10" s="231">
        <f t="shared" si="0"/>
        <v>7</v>
      </c>
      <c r="F10" s="97" t="s">
        <v>780</v>
      </c>
      <c r="G10" s="91" t="s">
        <v>781</v>
      </c>
      <c r="H10" s="81" t="s">
        <v>310</v>
      </c>
      <c r="I10" s="48" t="s">
        <v>71</v>
      </c>
      <c r="J10" s="81" t="s">
        <v>310</v>
      </c>
      <c r="K10" s="48" t="s">
        <v>71</v>
      </c>
      <c r="L10" s="48" t="s">
        <v>71</v>
      </c>
      <c r="M10" s="48" t="s">
        <v>71</v>
      </c>
      <c r="N10" s="48" t="s">
        <v>350</v>
      </c>
      <c r="O10" s="48" t="s">
        <v>71</v>
      </c>
      <c r="P10" s="62" t="s">
        <v>71</v>
      </c>
      <c r="Q10" s="83">
        <v>45686</v>
      </c>
      <c r="R10" s="59"/>
      <c r="S10" s="84"/>
      <c r="T10" s="85" t="s">
        <v>774</v>
      </c>
      <c r="U10" s="101"/>
    </row>
    <row r="11" spans="1:22" ht="28.2" customHeight="1" x14ac:dyDescent="0.35">
      <c r="B11" s="122"/>
      <c r="C11" s="267"/>
      <c r="D11" s="267" t="s">
        <v>784</v>
      </c>
      <c r="E11" s="231">
        <f t="shared" si="0"/>
        <v>8</v>
      </c>
      <c r="F11" s="97" t="s">
        <v>785</v>
      </c>
      <c r="G11" s="91" t="s">
        <v>777</v>
      </c>
      <c r="H11" s="81" t="s">
        <v>310</v>
      </c>
      <c r="I11" s="48" t="s">
        <v>71</v>
      </c>
      <c r="J11" s="81" t="s">
        <v>310</v>
      </c>
      <c r="K11" s="48" t="s">
        <v>71</v>
      </c>
      <c r="L11" s="48" t="s">
        <v>71</v>
      </c>
      <c r="M11" s="48" t="s">
        <v>71</v>
      </c>
      <c r="N11" s="48" t="s">
        <v>71</v>
      </c>
      <c r="O11" s="48" t="s">
        <v>71</v>
      </c>
      <c r="P11" s="62" t="s">
        <v>71</v>
      </c>
      <c r="Q11" s="83">
        <v>45686</v>
      </c>
      <c r="R11" s="59"/>
      <c r="S11" s="84"/>
      <c r="T11" s="85" t="s">
        <v>774</v>
      </c>
      <c r="U11" s="101"/>
    </row>
    <row r="12" spans="1:22" ht="28.2" customHeight="1" x14ac:dyDescent="0.35">
      <c r="B12" s="122"/>
      <c r="C12" s="266"/>
      <c r="D12" s="267"/>
      <c r="E12" s="231">
        <f t="shared" si="0"/>
        <v>9</v>
      </c>
      <c r="F12" s="97" t="s">
        <v>778</v>
      </c>
      <c r="G12" s="91" t="s">
        <v>779</v>
      </c>
      <c r="H12" s="81" t="s">
        <v>310</v>
      </c>
      <c r="I12" s="48" t="s">
        <v>71</v>
      </c>
      <c r="J12" s="81" t="s">
        <v>310</v>
      </c>
      <c r="K12" s="48" t="s">
        <v>71</v>
      </c>
      <c r="L12" s="48" t="s">
        <v>71</v>
      </c>
      <c r="M12" s="48" t="s">
        <v>71</v>
      </c>
      <c r="N12" s="48" t="s">
        <v>71</v>
      </c>
      <c r="O12" s="48" t="s">
        <v>71</v>
      </c>
      <c r="P12" s="62" t="s">
        <v>71</v>
      </c>
      <c r="Q12" s="83">
        <v>45686</v>
      </c>
      <c r="R12" s="59"/>
      <c r="S12" s="84"/>
      <c r="T12" s="85" t="s">
        <v>774</v>
      </c>
      <c r="U12" s="101"/>
      <c r="V12" s="126"/>
    </row>
    <row r="13" spans="1:22" ht="28.2" customHeight="1" x14ac:dyDescent="0.35">
      <c r="B13" s="122"/>
      <c r="C13" s="267"/>
      <c r="D13" s="227"/>
      <c r="E13" s="231">
        <f t="shared" si="0"/>
        <v>10</v>
      </c>
      <c r="F13" s="97" t="s">
        <v>780</v>
      </c>
      <c r="G13" s="91" t="s">
        <v>781</v>
      </c>
      <c r="H13" s="81" t="s">
        <v>310</v>
      </c>
      <c r="I13" s="48" t="s">
        <v>71</v>
      </c>
      <c r="J13" s="81" t="s">
        <v>310</v>
      </c>
      <c r="K13" s="48" t="s">
        <v>71</v>
      </c>
      <c r="L13" s="48" t="s">
        <v>71</v>
      </c>
      <c r="M13" s="48" t="s">
        <v>71</v>
      </c>
      <c r="N13" s="48" t="s">
        <v>350</v>
      </c>
      <c r="O13" s="48" t="s">
        <v>71</v>
      </c>
      <c r="P13" s="62" t="s">
        <v>71</v>
      </c>
      <c r="Q13" s="83">
        <v>45686</v>
      </c>
      <c r="R13" s="59"/>
      <c r="S13" s="84"/>
      <c r="T13" s="85" t="s">
        <v>774</v>
      </c>
      <c r="U13" s="101"/>
    </row>
    <row r="14" spans="1:22" ht="28.2" customHeight="1" x14ac:dyDescent="0.35">
      <c r="B14" s="122"/>
      <c r="C14" s="267"/>
      <c r="D14" s="267" t="s">
        <v>786</v>
      </c>
      <c r="E14" s="231">
        <f t="shared" si="0"/>
        <v>11</v>
      </c>
      <c r="F14" s="97" t="s">
        <v>787</v>
      </c>
      <c r="G14" s="91" t="s">
        <v>777</v>
      </c>
      <c r="H14" s="81" t="s">
        <v>310</v>
      </c>
      <c r="I14" s="48" t="s">
        <v>71</v>
      </c>
      <c r="J14" s="81" t="s">
        <v>310</v>
      </c>
      <c r="K14" s="48" t="s">
        <v>71</v>
      </c>
      <c r="L14" s="48" t="s">
        <v>71</v>
      </c>
      <c r="M14" s="48" t="s">
        <v>71</v>
      </c>
      <c r="N14" s="48" t="s">
        <v>71</v>
      </c>
      <c r="O14" s="48" t="s">
        <v>71</v>
      </c>
      <c r="P14" s="62" t="s">
        <v>71</v>
      </c>
      <c r="Q14" s="83">
        <v>45687</v>
      </c>
      <c r="R14" s="59"/>
      <c r="S14" s="84"/>
      <c r="T14" s="85" t="s">
        <v>774</v>
      </c>
      <c r="U14" s="101"/>
    </row>
    <row r="15" spans="1:22" ht="28.2" customHeight="1" x14ac:dyDescent="0.35">
      <c r="B15" s="122"/>
      <c r="C15" s="266"/>
      <c r="D15" s="267"/>
      <c r="E15" s="231">
        <f t="shared" si="0"/>
        <v>12</v>
      </c>
      <c r="F15" s="97" t="s">
        <v>778</v>
      </c>
      <c r="G15" s="91" t="s">
        <v>779</v>
      </c>
      <c r="H15" s="81" t="s">
        <v>310</v>
      </c>
      <c r="I15" s="48" t="s">
        <v>71</v>
      </c>
      <c r="J15" s="81" t="s">
        <v>310</v>
      </c>
      <c r="K15" s="48" t="s">
        <v>71</v>
      </c>
      <c r="L15" s="48" t="s">
        <v>71</v>
      </c>
      <c r="M15" s="48" t="s">
        <v>71</v>
      </c>
      <c r="N15" s="48" t="s">
        <v>71</v>
      </c>
      <c r="O15" s="48" t="s">
        <v>71</v>
      </c>
      <c r="P15" s="62" t="s">
        <v>71</v>
      </c>
      <c r="Q15" s="83">
        <v>45687</v>
      </c>
      <c r="R15" s="59"/>
      <c r="S15" s="84"/>
      <c r="T15" s="85" t="s">
        <v>774</v>
      </c>
      <c r="U15" s="101"/>
      <c r="V15" s="126"/>
    </row>
    <row r="16" spans="1:22" ht="28.2" customHeight="1" x14ac:dyDescent="0.35">
      <c r="B16" s="122"/>
      <c r="C16" s="267"/>
      <c r="D16" s="227"/>
      <c r="E16" s="231">
        <f t="shared" si="0"/>
        <v>13</v>
      </c>
      <c r="F16" s="97" t="s">
        <v>780</v>
      </c>
      <c r="G16" s="91" t="s">
        <v>781</v>
      </c>
      <c r="H16" s="81" t="s">
        <v>310</v>
      </c>
      <c r="I16" s="48" t="s">
        <v>71</v>
      </c>
      <c r="J16" s="81" t="s">
        <v>310</v>
      </c>
      <c r="K16" s="48" t="s">
        <v>71</v>
      </c>
      <c r="L16" s="48" t="s">
        <v>71</v>
      </c>
      <c r="M16" s="48" t="s">
        <v>71</v>
      </c>
      <c r="N16" s="48" t="s">
        <v>350</v>
      </c>
      <c r="O16" s="48" t="s">
        <v>71</v>
      </c>
      <c r="P16" s="62" t="s">
        <v>71</v>
      </c>
      <c r="Q16" s="83">
        <v>45687</v>
      </c>
      <c r="R16" s="59"/>
      <c r="S16" s="84"/>
      <c r="T16" s="85" t="s">
        <v>774</v>
      </c>
      <c r="U16" s="101"/>
    </row>
    <row r="17" spans="1:22" ht="28.2" customHeight="1" x14ac:dyDescent="0.35">
      <c r="B17" s="122"/>
      <c r="C17" s="267"/>
      <c r="D17" s="267" t="s">
        <v>788</v>
      </c>
      <c r="E17" s="231">
        <f t="shared" si="0"/>
        <v>14</v>
      </c>
      <c r="F17" s="97" t="s">
        <v>787</v>
      </c>
      <c r="G17" s="91" t="s">
        <v>777</v>
      </c>
      <c r="H17" s="81" t="s">
        <v>310</v>
      </c>
      <c r="I17" s="48" t="s">
        <v>71</v>
      </c>
      <c r="J17" s="81" t="s">
        <v>310</v>
      </c>
      <c r="K17" s="48" t="s">
        <v>71</v>
      </c>
      <c r="L17" s="48" t="s">
        <v>71</v>
      </c>
      <c r="M17" s="48" t="s">
        <v>71</v>
      </c>
      <c r="N17" s="48" t="s">
        <v>71</v>
      </c>
      <c r="O17" s="48" t="s">
        <v>71</v>
      </c>
      <c r="P17" s="62" t="s">
        <v>71</v>
      </c>
      <c r="Q17" s="83">
        <v>45692</v>
      </c>
      <c r="R17" s="59"/>
      <c r="S17" s="84"/>
      <c r="T17" s="85" t="s">
        <v>1009</v>
      </c>
      <c r="U17" s="101" t="s">
        <v>959</v>
      </c>
    </row>
    <row r="18" spans="1:22" ht="28.2" customHeight="1" x14ac:dyDescent="0.35">
      <c r="B18" s="122"/>
      <c r="C18" s="266"/>
      <c r="D18" s="267"/>
      <c r="E18" s="231">
        <f t="shared" si="0"/>
        <v>15</v>
      </c>
      <c r="F18" s="97" t="s">
        <v>778</v>
      </c>
      <c r="G18" s="91" t="s">
        <v>779</v>
      </c>
      <c r="H18" s="81" t="s">
        <v>310</v>
      </c>
      <c r="I18" s="48" t="s">
        <v>71</v>
      </c>
      <c r="J18" s="81" t="s">
        <v>310</v>
      </c>
      <c r="K18" s="48" t="s">
        <v>71</v>
      </c>
      <c r="L18" s="48" t="s">
        <v>71</v>
      </c>
      <c r="M18" s="48" t="s">
        <v>71</v>
      </c>
      <c r="N18" s="48" t="s">
        <v>71</v>
      </c>
      <c r="O18" s="48" t="s">
        <v>71</v>
      </c>
      <c r="P18" s="62" t="s">
        <v>71</v>
      </c>
      <c r="Q18" s="83">
        <v>45692</v>
      </c>
      <c r="R18" s="59"/>
      <c r="S18" s="84"/>
      <c r="T18" s="85" t="s">
        <v>1009</v>
      </c>
      <c r="U18" s="101" t="s">
        <v>959</v>
      </c>
      <c r="V18" s="126"/>
    </row>
    <row r="19" spans="1:22" ht="28.2" customHeight="1" x14ac:dyDescent="0.35">
      <c r="B19" s="122"/>
      <c r="C19" s="267"/>
      <c r="D19" s="227"/>
      <c r="E19" s="231">
        <f t="shared" si="0"/>
        <v>16</v>
      </c>
      <c r="F19" s="97" t="s">
        <v>780</v>
      </c>
      <c r="G19" s="91" t="s">
        <v>781</v>
      </c>
      <c r="H19" s="81" t="s">
        <v>310</v>
      </c>
      <c r="I19" s="48" t="s">
        <v>71</v>
      </c>
      <c r="J19" s="81" t="s">
        <v>310</v>
      </c>
      <c r="K19" s="48" t="s">
        <v>71</v>
      </c>
      <c r="L19" s="48" t="s">
        <v>71</v>
      </c>
      <c r="M19" s="48" t="s">
        <v>71</v>
      </c>
      <c r="N19" s="48" t="s">
        <v>350</v>
      </c>
      <c r="O19" s="48" t="s">
        <v>71</v>
      </c>
      <c r="P19" s="62" t="s">
        <v>71</v>
      </c>
      <c r="Q19" s="83">
        <v>45692</v>
      </c>
      <c r="R19" s="59"/>
      <c r="S19" s="84"/>
      <c r="T19" s="85" t="s">
        <v>1009</v>
      </c>
      <c r="U19" s="101" t="s">
        <v>959</v>
      </c>
    </row>
    <row r="20" spans="1:22" ht="28.2" customHeight="1" x14ac:dyDescent="0.35">
      <c r="B20" s="125"/>
      <c r="C20" s="270"/>
      <c r="D20" s="227"/>
      <c r="E20" s="231"/>
      <c r="F20" s="97"/>
      <c r="G20" s="91"/>
      <c r="H20" s="61" t="s">
        <v>71</v>
      </c>
      <c r="I20" s="48" t="s">
        <v>71</v>
      </c>
      <c r="J20" s="48" t="s">
        <v>71</v>
      </c>
      <c r="K20" s="47" t="s">
        <v>71</v>
      </c>
      <c r="L20" s="48" t="s">
        <v>71</v>
      </c>
      <c r="M20" s="48" t="s">
        <v>71</v>
      </c>
      <c r="N20" s="48" t="s">
        <v>71</v>
      </c>
      <c r="O20" s="48" t="s">
        <v>71</v>
      </c>
      <c r="P20" s="62" t="s">
        <v>71</v>
      </c>
      <c r="Q20" s="64"/>
      <c r="R20" s="49"/>
      <c r="S20" s="66"/>
      <c r="T20" s="85"/>
      <c r="U20" s="100"/>
    </row>
    <row r="21" spans="1:22" ht="28.2" customHeight="1" x14ac:dyDescent="0.35">
      <c r="B21" s="275"/>
      <c r="C21" s="124"/>
      <c r="D21" s="88"/>
      <c r="E21" s="89"/>
      <c r="F21" s="90"/>
      <c r="G21" s="91"/>
      <c r="H21" s="61" t="s">
        <v>71</v>
      </c>
      <c r="I21" s="48" t="s">
        <v>71</v>
      </c>
      <c r="J21" s="48" t="s">
        <v>71</v>
      </c>
      <c r="K21" s="47" t="s">
        <v>71</v>
      </c>
      <c r="L21" s="48" t="s">
        <v>71</v>
      </c>
      <c r="M21" s="48" t="s">
        <v>71</v>
      </c>
      <c r="N21" s="47" t="s">
        <v>71</v>
      </c>
      <c r="O21" s="47" t="s">
        <v>71</v>
      </c>
      <c r="P21" s="62" t="s">
        <v>71</v>
      </c>
      <c r="Q21" s="64"/>
      <c r="R21" s="49"/>
      <c r="S21" s="66"/>
      <c r="T21" s="68"/>
      <c r="U21" s="100"/>
    </row>
    <row r="22" spans="1:22" ht="28.2" customHeight="1" thickBot="1" x14ac:dyDescent="0.4">
      <c r="B22" s="122"/>
      <c r="C22" s="124"/>
      <c r="D22" s="153"/>
      <c r="E22" s="154"/>
      <c r="F22" s="155"/>
      <c r="G22" s="156"/>
      <c r="H22" s="80" t="s">
        <v>71</v>
      </c>
      <c r="I22" s="53" t="s">
        <v>71</v>
      </c>
      <c r="J22" s="53" t="s">
        <v>71</v>
      </c>
      <c r="K22" s="52" t="s">
        <v>71</v>
      </c>
      <c r="L22" s="53" t="s">
        <v>71</v>
      </c>
      <c r="M22" s="53" t="s">
        <v>71</v>
      </c>
      <c r="N22" s="52" t="s">
        <v>71</v>
      </c>
      <c r="O22" s="52" t="s">
        <v>71</v>
      </c>
      <c r="P22" s="72" t="s">
        <v>71</v>
      </c>
      <c r="Q22" s="73"/>
      <c r="R22" s="54"/>
      <c r="S22" s="74"/>
      <c r="T22" s="70"/>
      <c r="U22" s="104"/>
    </row>
    <row r="23" spans="1:22" ht="18" customHeight="1" x14ac:dyDescent="0.35">
      <c r="B23" s="524" t="s">
        <v>300</v>
      </c>
      <c r="C23" s="509"/>
      <c r="D23" s="509">
        <f>SUM(H25:P25)</f>
        <v>32</v>
      </c>
      <c r="E23" s="157"/>
      <c r="F23" s="158"/>
      <c r="G23" s="248" t="s">
        <v>301</v>
      </c>
      <c r="H23" s="160">
        <f>COUNTIF(H4:H22,"●")+COUNTIF(H4:H22,"■")+COUNTIF(H4:H22,"OK")</f>
        <v>16</v>
      </c>
      <c r="I23" s="160">
        <f t="shared" ref="I23:P23" si="1">COUNTIF(I4:I22,"●")+COUNTIF(I4:I22,"■")+COUNTIF(I4:I22,"OK")</f>
        <v>0</v>
      </c>
      <c r="J23" s="160">
        <f t="shared" si="1"/>
        <v>16</v>
      </c>
      <c r="K23" s="160">
        <f t="shared" si="1"/>
        <v>0</v>
      </c>
      <c r="L23" s="160">
        <f t="shared" si="1"/>
        <v>0</v>
      </c>
      <c r="M23" s="160">
        <f t="shared" si="1"/>
        <v>0</v>
      </c>
      <c r="N23" s="160">
        <f t="shared" si="1"/>
        <v>0</v>
      </c>
      <c r="O23" s="160">
        <f t="shared" si="1"/>
        <v>0</v>
      </c>
      <c r="P23" s="160">
        <f t="shared" si="1"/>
        <v>0</v>
      </c>
      <c r="Q23" s="511" t="s">
        <v>302</v>
      </c>
      <c r="R23" s="511"/>
      <c r="S23" s="511"/>
      <c r="T23" s="161"/>
      <c r="U23" s="162"/>
    </row>
    <row r="24" spans="1:22" ht="18" customHeight="1" x14ac:dyDescent="0.35">
      <c r="B24" s="525"/>
      <c r="C24" s="510"/>
      <c r="D24" s="510"/>
      <c r="E24" s="55"/>
      <c r="F24" s="56"/>
      <c r="G24" s="249" t="s">
        <v>303</v>
      </c>
      <c r="H24" s="75">
        <f t="shared" ref="H24:P24" si="2">COUNTIF(H4:H22,"×")+COUNTIF(H4:H22,"NG")</f>
        <v>0</v>
      </c>
      <c r="I24" s="76">
        <f t="shared" si="2"/>
        <v>0</v>
      </c>
      <c r="J24" s="76">
        <f t="shared" si="2"/>
        <v>0</v>
      </c>
      <c r="K24" s="76">
        <f t="shared" si="2"/>
        <v>0</v>
      </c>
      <c r="L24" s="76">
        <f t="shared" si="2"/>
        <v>0</v>
      </c>
      <c r="M24" s="76">
        <f t="shared" si="2"/>
        <v>0</v>
      </c>
      <c r="N24" s="76">
        <f t="shared" si="2"/>
        <v>0</v>
      </c>
      <c r="O24" s="76">
        <f t="shared" si="2"/>
        <v>0</v>
      </c>
      <c r="P24" s="77">
        <f t="shared" si="2"/>
        <v>0</v>
      </c>
      <c r="Q24" s="512"/>
      <c r="R24" s="512"/>
      <c r="S24" s="512"/>
      <c r="T24" s="71"/>
      <c r="U24" s="105"/>
    </row>
    <row r="25" spans="1:22" ht="18" customHeight="1" x14ac:dyDescent="0.35">
      <c r="B25" s="526" t="s">
        <v>304</v>
      </c>
      <c r="C25" s="507"/>
      <c r="D25" s="507">
        <f>SUM(H26:P26)</f>
        <v>32</v>
      </c>
      <c r="E25" s="45"/>
      <c r="F25" s="46"/>
      <c r="G25" s="249" t="s">
        <v>305</v>
      </c>
      <c r="H25" s="75">
        <f t="shared" ref="H25:P25" si="3">H23+H24</f>
        <v>16</v>
      </c>
      <c r="I25" s="76">
        <f t="shared" si="3"/>
        <v>0</v>
      </c>
      <c r="J25" s="76">
        <f t="shared" si="3"/>
        <v>16</v>
      </c>
      <c r="K25" s="76">
        <f t="shared" si="3"/>
        <v>0</v>
      </c>
      <c r="L25" s="76">
        <f t="shared" si="3"/>
        <v>0</v>
      </c>
      <c r="M25" s="76">
        <f t="shared" si="3"/>
        <v>0</v>
      </c>
      <c r="N25" s="76">
        <f t="shared" si="3"/>
        <v>0</v>
      </c>
      <c r="O25" s="76">
        <f t="shared" si="3"/>
        <v>0</v>
      </c>
      <c r="P25" s="77">
        <f t="shared" si="3"/>
        <v>0</v>
      </c>
      <c r="Q25" s="513">
        <f>COUNTA(Q4:Q22)</f>
        <v>16</v>
      </c>
      <c r="R25" s="515">
        <f>COUNTA(R4:R22)</f>
        <v>0</v>
      </c>
      <c r="S25" s="517">
        <f>COUNTA(S4:S22)</f>
        <v>0</v>
      </c>
      <c r="T25" s="71"/>
      <c r="U25" s="105"/>
    </row>
    <row r="26" spans="1:22" ht="18" customHeight="1" thickBot="1" x14ac:dyDescent="0.4">
      <c r="A26" s="118"/>
      <c r="B26" s="527"/>
      <c r="C26" s="508"/>
      <c r="D26" s="508"/>
      <c r="E26" s="106"/>
      <c r="F26" s="107"/>
      <c r="G26" s="250" t="s">
        <v>306</v>
      </c>
      <c r="H26" s="109">
        <f t="shared" ref="H26:P26" si="4">COUNTBLANK(H4:H22)+H25+COUNTIF(H4:H22,"□")</f>
        <v>16</v>
      </c>
      <c r="I26" s="110">
        <f t="shared" si="4"/>
        <v>0</v>
      </c>
      <c r="J26" s="110">
        <f t="shared" si="4"/>
        <v>16</v>
      </c>
      <c r="K26" s="110">
        <f t="shared" si="4"/>
        <v>0</v>
      </c>
      <c r="L26" s="110">
        <f t="shared" si="4"/>
        <v>0</v>
      </c>
      <c r="M26" s="110">
        <f t="shared" si="4"/>
        <v>0</v>
      </c>
      <c r="N26" s="110">
        <f t="shared" si="4"/>
        <v>0</v>
      </c>
      <c r="O26" s="110">
        <f t="shared" si="4"/>
        <v>0</v>
      </c>
      <c r="P26" s="111">
        <f t="shared" si="4"/>
        <v>0</v>
      </c>
      <c r="Q26" s="514"/>
      <c r="R26" s="516"/>
      <c r="S26" s="518"/>
      <c r="T26" s="112"/>
      <c r="U26" s="113"/>
    </row>
    <row r="27" spans="1:22" ht="24" customHeight="1" x14ac:dyDescent="0.35"/>
  </sheetData>
  <mergeCells count="16">
    <mergeCell ref="B25:C26"/>
    <mergeCell ref="D25:D26"/>
    <mergeCell ref="Q25:Q26"/>
    <mergeCell ref="R25:R26"/>
    <mergeCell ref="S25:S26"/>
    <mergeCell ref="T2:T3"/>
    <mergeCell ref="U2:U3"/>
    <mergeCell ref="B23:C24"/>
    <mergeCell ref="D23:D24"/>
    <mergeCell ref="Q23:S24"/>
    <mergeCell ref="B2:B3"/>
    <mergeCell ref="C2:C3"/>
    <mergeCell ref="D2:D3"/>
    <mergeCell ref="E2:G2"/>
    <mergeCell ref="H2:P2"/>
    <mergeCell ref="Q2:S2"/>
  </mergeCells>
  <phoneticPr fontId="23"/>
  <pageMargins left="0.25" right="0.25" top="0.75" bottom="0.75" header="0.3" footer="0.3"/>
  <pageSetup paperSize="8" scale="71" fitToHeight="0" orientation="landscape"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EEF85-3652-42FB-BF40-409516A16527}">
  <sheetPr codeName="Sheet1">
    <tabColor theme="7" tint="-0.499984740745262"/>
  </sheetPr>
  <dimension ref="B1:I17"/>
  <sheetViews>
    <sheetView topLeftCell="A4" workbookViewId="0">
      <selection activeCell="G27" sqref="G27"/>
    </sheetView>
  </sheetViews>
  <sheetFormatPr defaultRowHeight="13.2" x14ac:dyDescent="0.2"/>
  <cols>
    <col min="9" max="9" width="12.88671875" bestFit="1" customWidth="1"/>
  </cols>
  <sheetData>
    <row r="1" spans="2:9" x14ac:dyDescent="0.2">
      <c r="B1" t="s">
        <v>789</v>
      </c>
      <c r="I1" t="s">
        <v>790</v>
      </c>
    </row>
    <row r="2" spans="2:9" x14ac:dyDescent="0.2">
      <c r="B2">
        <v>2899999999994</v>
      </c>
      <c r="I2">
        <v>2818208658799</v>
      </c>
    </row>
    <row r="17" spans="2:2" x14ac:dyDescent="0.2">
      <c r="B17" t="s">
        <v>791</v>
      </c>
    </row>
  </sheetData>
  <phoneticPr fontId="23"/>
  <pageMargins left="0.7" right="0.7" top="0.75" bottom="0.75" header="0.3" footer="0.3"/>
  <drawing r:id="rId1"/>
  <legacyDrawing r:id="rId2"/>
  <controls>
    <mc:AlternateContent xmlns:mc="http://schemas.openxmlformats.org/markup-compatibility/2006">
      <mc:Choice Requires="x14">
        <control shapeId="13313" r:id="rId3" name="BarCodeCtrl1">
          <controlPr defaultSize="0" autoLine="0" r:id="rId4">
            <anchor moveWithCells="1">
              <from>
                <xdr:col>0</xdr:col>
                <xdr:colOff>342900</xdr:colOff>
                <xdr:row>3</xdr:row>
                <xdr:rowOff>7620</xdr:rowOff>
              </from>
              <to>
                <xdr:col>8</xdr:col>
                <xdr:colOff>45720</xdr:colOff>
                <xdr:row>11</xdr:row>
                <xdr:rowOff>137160</xdr:rowOff>
              </to>
            </anchor>
          </controlPr>
        </control>
      </mc:Choice>
      <mc:Fallback>
        <control shapeId="13313" r:id="rId3" name="BarCodeCtrl1"/>
      </mc:Fallback>
    </mc:AlternateContent>
    <mc:AlternateContent xmlns:mc="http://schemas.openxmlformats.org/markup-compatibility/2006">
      <mc:Choice Requires="x14">
        <control shapeId="13314" r:id="rId5" name="BarCodeCtrl2">
          <controlPr defaultSize="0" autoLine="0" r:id="rId6">
            <anchor moveWithCells="1">
              <from>
                <xdr:col>8</xdr:col>
                <xdr:colOff>312420</xdr:colOff>
                <xdr:row>3</xdr:row>
                <xdr:rowOff>53340</xdr:rowOff>
              </from>
              <to>
                <xdr:col>15</xdr:col>
                <xdr:colOff>198120</xdr:colOff>
                <xdr:row>11</xdr:row>
                <xdr:rowOff>106680</xdr:rowOff>
              </to>
            </anchor>
          </controlPr>
        </control>
      </mc:Choice>
      <mc:Fallback>
        <control shapeId="13314" r:id="rId5" name="BarCodeCtrl2"/>
      </mc:Fallback>
    </mc:AlternateContent>
    <mc:AlternateContent xmlns:mc="http://schemas.openxmlformats.org/markup-compatibility/2006">
      <mc:Choice Requires="x14">
        <control shapeId="13315" r:id="rId7" name="BarCodeCtrl3">
          <controlPr defaultSize="0" autoLine="0" autoPict="0" r:id="rId8">
            <anchor moveWithCells="1">
              <from>
                <xdr:col>0</xdr:col>
                <xdr:colOff>350520</xdr:colOff>
                <xdr:row>17</xdr:row>
                <xdr:rowOff>83820</xdr:rowOff>
              </from>
              <to>
                <xdr:col>5</xdr:col>
                <xdr:colOff>441960</xdr:colOff>
                <xdr:row>22</xdr:row>
                <xdr:rowOff>121920</xdr:rowOff>
              </to>
            </anchor>
          </controlPr>
        </control>
      </mc:Choice>
      <mc:Fallback>
        <control shapeId="13315" r:id="rId7" name="BarCodeCtrl3"/>
      </mc:Fallback>
    </mc:AlternateContent>
  </control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1">
    <tabColor theme="7" tint="-0.499984740745262"/>
    <pageSetUpPr fitToPage="1"/>
  </sheetPr>
  <dimension ref="A1:Y131"/>
  <sheetViews>
    <sheetView view="pageBreakPreview" zoomScale="80" zoomScaleNormal="70" zoomScaleSheetLayoutView="80" workbookViewId="0">
      <pane ySplit="3" topLeftCell="A4" activePane="bottomLeft" state="frozen"/>
      <selection pane="bottomLeft"/>
    </sheetView>
  </sheetViews>
  <sheetFormatPr defaultColWidth="8.6640625" defaultRowHeight="15" x14ac:dyDescent="0.4"/>
  <cols>
    <col min="1" max="1" width="3.109375" style="163" customWidth="1"/>
    <col min="2" max="2" width="12.88671875" style="163" customWidth="1"/>
    <col min="3" max="4" width="14.109375" style="163" bestFit="1" customWidth="1"/>
    <col min="5" max="5" width="4.33203125" style="163" customWidth="1"/>
    <col min="6" max="6" width="22.6640625" style="163" customWidth="1"/>
    <col min="7" max="7" width="21.33203125" style="163" bestFit="1" customWidth="1"/>
    <col min="8" max="8" width="11.88671875" style="163" customWidth="1"/>
    <col min="9" max="9" width="53.33203125" style="163" bestFit="1" customWidth="1"/>
    <col min="10" max="10" width="63.6640625" style="163" bestFit="1" customWidth="1"/>
    <col min="11" max="12" width="4.6640625" style="165" customWidth="1"/>
    <col min="13" max="13" width="5.33203125" style="165" customWidth="1"/>
    <col min="14" max="19" width="4.6640625" style="165" customWidth="1"/>
    <col min="20" max="22" width="4.33203125" style="165" customWidth="1"/>
    <col min="23" max="23" width="6" style="165" customWidth="1"/>
    <col min="24" max="24" width="28.88671875" style="166" customWidth="1"/>
    <col min="25" max="25" width="4.6640625" style="166" customWidth="1"/>
    <col min="26" max="16384" width="8.6640625" style="166"/>
  </cols>
  <sheetData>
    <row r="1" spans="1:24" s="120" customFormat="1" ht="20.399999999999999" thickBot="1" x14ac:dyDescent="0.4">
      <c r="A1" s="60"/>
      <c r="B1" s="121" t="s">
        <v>792</v>
      </c>
      <c r="C1" s="121"/>
      <c r="D1" s="60"/>
      <c r="E1" s="60"/>
      <c r="F1" s="119"/>
      <c r="G1" s="119"/>
      <c r="H1" s="119"/>
      <c r="I1" s="119"/>
      <c r="J1" s="119"/>
      <c r="K1" s="119"/>
      <c r="L1" s="119"/>
      <c r="M1" s="119"/>
      <c r="N1" s="119"/>
      <c r="O1" s="119"/>
      <c r="P1" s="119"/>
      <c r="Q1" s="119"/>
      <c r="R1" s="119"/>
      <c r="S1" s="119"/>
    </row>
    <row r="2" spans="1:24" s="120" customFormat="1" ht="24.6" customHeight="1" x14ac:dyDescent="0.35">
      <c r="A2" s="118"/>
      <c r="B2" s="522" t="s">
        <v>43</v>
      </c>
      <c r="C2" s="505" t="s">
        <v>44</v>
      </c>
      <c r="D2" s="505" t="s">
        <v>45</v>
      </c>
      <c r="E2" s="502" t="s">
        <v>46</v>
      </c>
      <c r="F2" s="502"/>
      <c r="G2" s="502"/>
      <c r="H2" s="502"/>
      <c r="I2" s="502"/>
      <c r="J2" s="565"/>
      <c r="K2" s="568" t="s">
        <v>793</v>
      </c>
      <c r="L2" s="569"/>
      <c r="M2" s="569"/>
      <c r="N2" s="569"/>
      <c r="O2" s="569"/>
      <c r="P2" s="569"/>
      <c r="Q2" s="569"/>
      <c r="R2" s="569"/>
      <c r="S2" s="569"/>
      <c r="T2" s="501" t="s">
        <v>48</v>
      </c>
      <c r="U2" s="502"/>
      <c r="V2" s="565"/>
      <c r="W2" s="505" t="s">
        <v>49</v>
      </c>
      <c r="X2" s="503" t="s">
        <v>50</v>
      </c>
    </row>
    <row r="3" spans="1:24" s="120" customFormat="1" ht="27" thickBot="1" x14ac:dyDescent="0.4">
      <c r="A3" s="118"/>
      <c r="B3" s="523"/>
      <c r="C3" s="506"/>
      <c r="D3" s="506"/>
      <c r="E3" s="262" t="s">
        <v>51</v>
      </c>
      <c r="F3" s="566" t="s">
        <v>794</v>
      </c>
      <c r="G3" s="567"/>
      <c r="H3" s="566" t="s">
        <v>795</v>
      </c>
      <c r="I3" s="567"/>
      <c r="J3" s="115" t="s">
        <v>53</v>
      </c>
      <c r="K3" s="127" t="s">
        <v>54</v>
      </c>
      <c r="L3" s="128" t="s">
        <v>55</v>
      </c>
      <c r="M3" s="128" t="s">
        <v>56</v>
      </c>
      <c r="N3" s="129" t="s">
        <v>57</v>
      </c>
      <c r="O3" s="129" t="s">
        <v>58</v>
      </c>
      <c r="P3" s="129" t="s">
        <v>59</v>
      </c>
      <c r="Q3" s="129" t="s">
        <v>60</v>
      </c>
      <c r="R3" s="128" t="s">
        <v>61</v>
      </c>
      <c r="S3" s="263" t="s">
        <v>62</v>
      </c>
      <c r="T3" s="114" t="s">
        <v>63</v>
      </c>
      <c r="U3" s="116" t="s">
        <v>64</v>
      </c>
      <c r="V3" s="264" t="s">
        <v>65</v>
      </c>
      <c r="W3" s="506"/>
      <c r="X3" s="504"/>
    </row>
    <row r="4" spans="1:24" ht="79.2" x14ac:dyDescent="0.4">
      <c r="B4" s="184" t="s">
        <v>796</v>
      </c>
      <c r="C4" s="183" t="s">
        <v>797</v>
      </c>
      <c r="D4" s="185" t="s">
        <v>798</v>
      </c>
      <c r="E4" s="252">
        <f>ROW()-3</f>
        <v>1</v>
      </c>
      <c r="F4" s="253" t="s">
        <v>799</v>
      </c>
      <c r="G4" s="254" t="s">
        <v>800</v>
      </c>
      <c r="H4" s="254" t="s">
        <v>801</v>
      </c>
      <c r="I4" s="255"/>
      <c r="J4" s="256" t="s">
        <v>802</v>
      </c>
      <c r="K4" s="81" t="s">
        <v>72</v>
      </c>
      <c r="L4" s="58" t="s">
        <v>71</v>
      </c>
      <c r="M4" s="58" t="s">
        <v>71</v>
      </c>
      <c r="N4" s="57" t="s">
        <v>72</v>
      </c>
      <c r="O4" s="58" t="s">
        <v>71</v>
      </c>
      <c r="P4" s="58" t="s">
        <v>71</v>
      </c>
      <c r="Q4" s="57" t="s">
        <v>72</v>
      </c>
      <c r="R4" s="58" t="s">
        <v>71</v>
      </c>
      <c r="S4" s="257" t="s">
        <v>71</v>
      </c>
      <c r="T4" s="258"/>
      <c r="U4" s="59"/>
      <c r="V4" s="259"/>
      <c r="W4" s="260"/>
      <c r="X4" s="261"/>
    </row>
    <row r="5" spans="1:24" ht="79.2" x14ac:dyDescent="0.4">
      <c r="B5" s="184"/>
      <c r="C5" s="183"/>
      <c r="D5" s="187"/>
      <c r="E5" s="188">
        <f t="shared" ref="E5:E72" si="0">ROW()-3</f>
        <v>2</v>
      </c>
      <c r="F5" s="174"/>
      <c r="G5" s="175"/>
      <c r="H5" s="175" t="s">
        <v>803</v>
      </c>
      <c r="I5" s="176" t="s">
        <v>804</v>
      </c>
      <c r="J5" s="177" t="s">
        <v>805</v>
      </c>
      <c r="K5" s="61" t="s">
        <v>72</v>
      </c>
      <c r="L5" s="48" t="s">
        <v>71</v>
      </c>
      <c r="M5" s="48" t="s">
        <v>71</v>
      </c>
      <c r="N5" s="47" t="s">
        <v>72</v>
      </c>
      <c r="O5" s="48" t="s">
        <v>71</v>
      </c>
      <c r="P5" s="48" t="s">
        <v>71</v>
      </c>
      <c r="Q5" s="47" t="s">
        <v>72</v>
      </c>
      <c r="R5" s="48" t="s">
        <v>71</v>
      </c>
      <c r="S5" s="178" t="s">
        <v>71</v>
      </c>
      <c r="T5" s="258"/>
      <c r="U5" s="49"/>
      <c r="V5" s="251"/>
      <c r="W5" s="260"/>
      <c r="X5" s="179"/>
    </row>
    <row r="6" spans="1:24" ht="92.4" x14ac:dyDescent="0.4">
      <c r="B6" s="184"/>
      <c r="C6" s="183"/>
      <c r="D6" s="187"/>
      <c r="E6" s="188">
        <f t="shared" si="0"/>
        <v>3</v>
      </c>
      <c r="F6" s="174"/>
      <c r="G6" s="175"/>
      <c r="H6" s="175" t="s">
        <v>803</v>
      </c>
      <c r="I6" s="176" t="s">
        <v>806</v>
      </c>
      <c r="J6" s="256" t="s">
        <v>807</v>
      </c>
      <c r="K6" s="47" t="s">
        <v>72</v>
      </c>
      <c r="L6" s="48" t="s">
        <v>71</v>
      </c>
      <c r="M6" s="48" t="s">
        <v>71</v>
      </c>
      <c r="N6" s="47" t="s">
        <v>72</v>
      </c>
      <c r="O6" s="48" t="s">
        <v>71</v>
      </c>
      <c r="P6" s="48" t="s">
        <v>71</v>
      </c>
      <c r="Q6" s="47" t="s">
        <v>72</v>
      </c>
      <c r="R6" s="48" t="s">
        <v>71</v>
      </c>
      <c r="S6" s="178" t="s">
        <v>71</v>
      </c>
      <c r="T6" s="258"/>
      <c r="U6" s="49"/>
      <c r="V6" s="251"/>
      <c r="W6" s="260"/>
      <c r="X6" s="179"/>
    </row>
    <row r="7" spans="1:24" ht="52.8" x14ac:dyDescent="0.4">
      <c r="B7" s="184"/>
      <c r="C7" s="183"/>
      <c r="D7" s="187"/>
      <c r="E7" s="188">
        <f t="shared" si="0"/>
        <v>4</v>
      </c>
      <c r="F7" s="174"/>
      <c r="G7" s="175"/>
      <c r="H7" s="175" t="s">
        <v>801</v>
      </c>
      <c r="I7" s="176" t="s">
        <v>808</v>
      </c>
      <c r="J7" s="177" t="s">
        <v>809</v>
      </c>
      <c r="K7" s="47" t="s">
        <v>72</v>
      </c>
      <c r="L7" s="48" t="s">
        <v>71</v>
      </c>
      <c r="M7" s="48" t="s">
        <v>71</v>
      </c>
      <c r="N7" s="47" t="s">
        <v>72</v>
      </c>
      <c r="O7" s="48" t="s">
        <v>71</v>
      </c>
      <c r="P7" s="48" t="s">
        <v>71</v>
      </c>
      <c r="Q7" s="47" t="s">
        <v>72</v>
      </c>
      <c r="R7" s="48" t="s">
        <v>71</v>
      </c>
      <c r="S7" s="178" t="s">
        <v>71</v>
      </c>
      <c r="T7" s="258"/>
      <c r="U7" s="49"/>
      <c r="V7" s="251"/>
      <c r="W7" s="260"/>
      <c r="X7" s="179"/>
    </row>
    <row r="8" spans="1:24" ht="92.4" x14ac:dyDescent="0.4">
      <c r="B8" s="184"/>
      <c r="C8" s="183"/>
      <c r="D8" s="187"/>
      <c r="E8" s="188">
        <f t="shared" si="0"/>
        <v>5</v>
      </c>
      <c r="F8" s="174"/>
      <c r="G8" s="175"/>
      <c r="H8" s="175" t="s">
        <v>801</v>
      </c>
      <c r="I8" s="176" t="s">
        <v>810</v>
      </c>
      <c r="J8" s="177" t="s">
        <v>811</v>
      </c>
      <c r="K8" s="47" t="s">
        <v>72</v>
      </c>
      <c r="L8" s="48" t="s">
        <v>71</v>
      </c>
      <c r="M8" s="48" t="s">
        <v>71</v>
      </c>
      <c r="N8" s="47" t="s">
        <v>72</v>
      </c>
      <c r="O8" s="48" t="s">
        <v>71</v>
      </c>
      <c r="P8" s="48" t="s">
        <v>71</v>
      </c>
      <c r="Q8" s="47" t="s">
        <v>72</v>
      </c>
      <c r="R8" s="48" t="s">
        <v>71</v>
      </c>
      <c r="S8" s="178" t="s">
        <v>71</v>
      </c>
      <c r="T8" s="258"/>
      <c r="U8" s="49"/>
      <c r="V8" s="251"/>
      <c r="W8" s="260"/>
      <c r="X8" s="179"/>
    </row>
    <row r="9" spans="1:24" ht="66" x14ac:dyDescent="0.4">
      <c r="B9" s="184"/>
      <c r="C9" s="183"/>
      <c r="D9" s="187"/>
      <c r="E9" s="188">
        <f t="shared" si="0"/>
        <v>6</v>
      </c>
      <c r="F9" s="174"/>
      <c r="G9" s="175"/>
      <c r="H9" s="175" t="s">
        <v>803</v>
      </c>
      <c r="I9" s="176" t="s">
        <v>812</v>
      </c>
      <c r="J9" s="177" t="s">
        <v>813</v>
      </c>
      <c r="K9" s="47" t="s">
        <v>72</v>
      </c>
      <c r="L9" s="48" t="s">
        <v>71</v>
      </c>
      <c r="M9" s="48" t="s">
        <v>71</v>
      </c>
      <c r="N9" s="47" t="s">
        <v>72</v>
      </c>
      <c r="O9" s="47" t="s">
        <v>72</v>
      </c>
      <c r="P9" s="47" t="s">
        <v>72</v>
      </c>
      <c r="Q9" s="47" t="s">
        <v>72</v>
      </c>
      <c r="R9" s="48" t="s">
        <v>71</v>
      </c>
      <c r="S9" s="178" t="s">
        <v>71</v>
      </c>
      <c r="T9" s="258"/>
      <c r="U9" s="49"/>
      <c r="V9" s="251"/>
      <c r="W9" s="260"/>
      <c r="X9" s="179"/>
    </row>
    <row r="10" spans="1:24" ht="66" x14ac:dyDescent="0.4">
      <c r="B10" s="184"/>
      <c r="C10" s="183"/>
      <c r="D10" s="187"/>
      <c r="E10" s="188">
        <f t="shared" si="0"/>
        <v>7</v>
      </c>
      <c r="F10" s="174"/>
      <c r="G10" s="175"/>
      <c r="H10" s="175" t="s">
        <v>803</v>
      </c>
      <c r="I10" s="176" t="s">
        <v>814</v>
      </c>
      <c r="J10" s="177" t="s">
        <v>815</v>
      </c>
      <c r="K10" s="47" t="s">
        <v>72</v>
      </c>
      <c r="L10" s="48" t="s">
        <v>71</v>
      </c>
      <c r="M10" s="48" t="s">
        <v>71</v>
      </c>
      <c r="N10" s="47" t="s">
        <v>72</v>
      </c>
      <c r="O10" s="47" t="s">
        <v>72</v>
      </c>
      <c r="P10" s="47" t="s">
        <v>72</v>
      </c>
      <c r="Q10" s="47" t="s">
        <v>72</v>
      </c>
      <c r="R10" s="48" t="s">
        <v>71</v>
      </c>
      <c r="S10" s="178" t="s">
        <v>71</v>
      </c>
      <c r="T10" s="258"/>
      <c r="U10" s="49"/>
      <c r="V10" s="251"/>
      <c r="W10" s="260"/>
      <c r="X10" s="179"/>
    </row>
    <row r="11" spans="1:24" ht="52.8" x14ac:dyDescent="0.4">
      <c r="B11" s="184"/>
      <c r="C11" s="183"/>
      <c r="D11" s="187"/>
      <c r="E11" s="188">
        <f t="shared" si="0"/>
        <v>8</v>
      </c>
      <c r="F11" s="174"/>
      <c r="G11" s="175"/>
      <c r="H11" s="175" t="s">
        <v>801</v>
      </c>
      <c r="I11" s="176" t="s">
        <v>816</v>
      </c>
      <c r="J11" s="177" t="s">
        <v>817</v>
      </c>
      <c r="K11" s="47" t="s">
        <v>72</v>
      </c>
      <c r="L11" s="48" t="s">
        <v>71</v>
      </c>
      <c r="M11" s="48" t="s">
        <v>71</v>
      </c>
      <c r="N11" s="47" t="s">
        <v>72</v>
      </c>
      <c r="O11" s="48" t="s">
        <v>71</v>
      </c>
      <c r="P11" s="48" t="s">
        <v>71</v>
      </c>
      <c r="Q11" s="47" t="s">
        <v>72</v>
      </c>
      <c r="R11" s="48" t="s">
        <v>71</v>
      </c>
      <c r="S11" s="178" t="s">
        <v>71</v>
      </c>
      <c r="T11" s="258"/>
      <c r="U11" s="49"/>
      <c r="V11" s="251"/>
      <c r="W11" s="260"/>
      <c r="X11" s="179"/>
    </row>
    <row r="12" spans="1:24" ht="66" x14ac:dyDescent="0.4">
      <c r="B12" s="184"/>
      <c r="C12" s="183"/>
      <c r="D12" s="185"/>
      <c r="E12" s="188">
        <f t="shared" si="0"/>
        <v>9</v>
      </c>
      <c r="F12" s="253" t="s">
        <v>799</v>
      </c>
      <c r="G12" s="254" t="s">
        <v>818</v>
      </c>
      <c r="H12" s="254" t="s">
        <v>801</v>
      </c>
      <c r="I12" s="255"/>
      <c r="J12" s="256" t="s">
        <v>819</v>
      </c>
      <c r="K12" s="47" t="s">
        <v>72</v>
      </c>
      <c r="L12" s="48" t="s">
        <v>71</v>
      </c>
      <c r="M12" s="48" t="s">
        <v>71</v>
      </c>
      <c r="N12" s="47" t="s">
        <v>72</v>
      </c>
      <c r="O12" s="58" t="s">
        <v>71</v>
      </c>
      <c r="P12" s="58" t="s">
        <v>71</v>
      </c>
      <c r="Q12" s="58" t="s">
        <v>71</v>
      </c>
      <c r="R12" s="58" t="s">
        <v>71</v>
      </c>
      <c r="S12" s="257" t="s">
        <v>71</v>
      </c>
      <c r="T12" s="258"/>
      <c r="U12" s="59"/>
      <c r="V12" s="259"/>
      <c r="W12" s="260"/>
      <c r="X12" s="179"/>
    </row>
    <row r="13" spans="1:24" ht="79.2" x14ac:dyDescent="0.4">
      <c r="B13" s="184"/>
      <c r="C13" s="183"/>
      <c r="D13" s="187"/>
      <c r="E13" s="188">
        <f t="shared" si="0"/>
        <v>10</v>
      </c>
      <c r="F13" s="174"/>
      <c r="G13" s="175"/>
      <c r="H13" s="175" t="s">
        <v>803</v>
      </c>
      <c r="I13" s="176" t="s">
        <v>804</v>
      </c>
      <c r="J13" s="177" t="s">
        <v>805</v>
      </c>
      <c r="K13" s="47" t="s">
        <v>72</v>
      </c>
      <c r="L13" s="48" t="s">
        <v>71</v>
      </c>
      <c r="M13" s="48" t="s">
        <v>71</v>
      </c>
      <c r="N13" s="47" t="s">
        <v>72</v>
      </c>
      <c r="O13" s="48" t="s">
        <v>71</v>
      </c>
      <c r="P13" s="48" t="s">
        <v>71</v>
      </c>
      <c r="Q13" s="47" t="s">
        <v>72</v>
      </c>
      <c r="R13" s="48" t="s">
        <v>71</v>
      </c>
      <c r="S13" s="178" t="s">
        <v>71</v>
      </c>
      <c r="T13" s="258"/>
      <c r="U13" s="59"/>
      <c r="V13" s="259"/>
      <c r="W13" s="260"/>
      <c r="X13" s="179"/>
    </row>
    <row r="14" spans="1:24" ht="66" x14ac:dyDescent="0.4">
      <c r="B14" s="184"/>
      <c r="C14" s="183"/>
      <c r="D14" s="187"/>
      <c r="E14" s="188">
        <f t="shared" si="0"/>
        <v>11</v>
      </c>
      <c r="F14" s="174"/>
      <c r="G14" s="175"/>
      <c r="H14" s="175" t="s">
        <v>803</v>
      </c>
      <c r="I14" s="176" t="s">
        <v>806</v>
      </c>
      <c r="J14" s="256" t="s">
        <v>820</v>
      </c>
      <c r="K14" s="47" t="s">
        <v>72</v>
      </c>
      <c r="L14" s="48" t="s">
        <v>71</v>
      </c>
      <c r="M14" s="48" t="s">
        <v>71</v>
      </c>
      <c r="N14" s="47" t="s">
        <v>72</v>
      </c>
      <c r="O14" s="48" t="s">
        <v>71</v>
      </c>
      <c r="P14" s="48" t="s">
        <v>71</v>
      </c>
      <c r="Q14" s="48" t="s">
        <v>71</v>
      </c>
      <c r="R14" s="48" t="s">
        <v>71</v>
      </c>
      <c r="S14" s="178" t="s">
        <v>71</v>
      </c>
      <c r="T14" s="258"/>
      <c r="U14" s="59"/>
      <c r="V14" s="259"/>
      <c r="W14" s="260"/>
      <c r="X14" s="179"/>
    </row>
    <row r="15" spans="1:24" ht="79.2" x14ac:dyDescent="0.4">
      <c r="B15" s="184"/>
      <c r="C15" s="183"/>
      <c r="D15" s="187"/>
      <c r="E15" s="188">
        <f t="shared" si="0"/>
        <v>12</v>
      </c>
      <c r="F15" s="174"/>
      <c r="G15" s="175"/>
      <c r="H15" s="175" t="s">
        <v>803</v>
      </c>
      <c r="I15" s="176" t="s">
        <v>821</v>
      </c>
      <c r="J15" s="177" t="s">
        <v>822</v>
      </c>
      <c r="K15" s="47" t="s">
        <v>72</v>
      </c>
      <c r="L15" s="48" t="s">
        <v>71</v>
      </c>
      <c r="M15" s="48" t="s">
        <v>71</v>
      </c>
      <c r="N15" s="47" t="s">
        <v>72</v>
      </c>
      <c r="O15" s="48" t="s">
        <v>71</v>
      </c>
      <c r="P15" s="48" t="s">
        <v>71</v>
      </c>
      <c r="Q15" s="48" t="s">
        <v>350</v>
      </c>
      <c r="R15" s="48" t="s">
        <v>71</v>
      </c>
      <c r="S15" s="178" t="s">
        <v>71</v>
      </c>
      <c r="T15" s="258"/>
      <c r="U15" s="59"/>
      <c r="V15" s="259"/>
      <c r="W15" s="260"/>
      <c r="X15" s="179"/>
    </row>
    <row r="16" spans="1:24" ht="92.4" x14ac:dyDescent="0.4">
      <c r="B16" s="184"/>
      <c r="C16" s="183"/>
      <c r="D16" s="187"/>
      <c r="E16" s="188">
        <f t="shared" si="0"/>
        <v>13</v>
      </c>
      <c r="F16" s="174"/>
      <c r="G16" s="175"/>
      <c r="H16" s="254" t="s">
        <v>801</v>
      </c>
      <c r="I16" s="176" t="s">
        <v>823</v>
      </c>
      <c r="J16" s="256" t="s">
        <v>807</v>
      </c>
      <c r="K16" s="47" t="s">
        <v>72</v>
      </c>
      <c r="L16" s="48" t="s">
        <v>71</v>
      </c>
      <c r="M16" s="48" t="s">
        <v>71</v>
      </c>
      <c r="N16" s="47" t="s">
        <v>72</v>
      </c>
      <c r="O16" s="48" t="s">
        <v>71</v>
      </c>
      <c r="P16" s="48" t="s">
        <v>71</v>
      </c>
      <c r="Q16" s="47" t="s">
        <v>72</v>
      </c>
      <c r="R16" s="48" t="s">
        <v>71</v>
      </c>
      <c r="S16" s="178" t="s">
        <v>71</v>
      </c>
      <c r="T16" s="258"/>
      <c r="U16" s="59"/>
      <c r="V16" s="259"/>
      <c r="W16" s="260"/>
      <c r="X16" s="179"/>
    </row>
    <row r="17" spans="2:24" ht="79.2" x14ac:dyDescent="0.4">
      <c r="B17" s="184"/>
      <c r="C17" s="183"/>
      <c r="D17" s="187"/>
      <c r="E17" s="188">
        <f t="shared" si="0"/>
        <v>14</v>
      </c>
      <c r="F17" s="174"/>
      <c r="G17" s="175"/>
      <c r="H17" s="175" t="s">
        <v>803</v>
      </c>
      <c r="I17" s="176" t="s">
        <v>824</v>
      </c>
      <c r="J17" s="177" t="s">
        <v>805</v>
      </c>
      <c r="K17" s="47" t="s">
        <v>72</v>
      </c>
      <c r="L17" s="48" t="s">
        <v>71</v>
      </c>
      <c r="M17" s="48" t="s">
        <v>71</v>
      </c>
      <c r="N17" s="47" t="s">
        <v>72</v>
      </c>
      <c r="O17" s="48" t="s">
        <v>71</v>
      </c>
      <c r="P17" s="48" t="s">
        <v>71</v>
      </c>
      <c r="Q17" s="47" t="s">
        <v>72</v>
      </c>
      <c r="R17" s="48" t="s">
        <v>71</v>
      </c>
      <c r="S17" s="178" t="s">
        <v>71</v>
      </c>
      <c r="T17" s="258"/>
      <c r="U17" s="59"/>
      <c r="V17" s="259"/>
      <c r="W17" s="260"/>
      <c r="X17" s="179"/>
    </row>
    <row r="18" spans="2:24" ht="92.4" x14ac:dyDescent="0.4">
      <c r="B18" s="184"/>
      <c r="C18" s="183"/>
      <c r="D18" s="187"/>
      <c r="E18" s="188">
        <f t="shared" si="0"/>
        <v>15</v>
      </c>
      <c r="F18" s="174"/>
      <c r="G18" s="175"/>
      <c r="H18" s="175" t="s">
        <v>803</v>
      </c>
      <c r="I18" s="176" t="s">
        <v>806</v>
      </c>
      <c r="J18" s="256" t="s">
        <v>807</v>
      </c>
      <c r="K18" s="47" t="s">
        <v>72</v>
      </c>
      <c r="L18" s="48" t="s">
        <v>71</v>
      </c>
      <c r="M18" s="48" t="s">
        <v>71</v>
      </c>
      <c r="N18" s="47" t="s">
        <v>72</v>
      </c>
      <c r="O18" s="48" t="s">
        <v>71</v>
      </c>
      <c r="P18" s="48" t="s">
        <v>71</v>
      </c>
      <c r="Q18" s="47" t="s">
        <v>72</v>
      </c>
      <c r="R18" s="48" t="s">
        <v>71</v>
      </c>
      <c r="S18" s="178" t="s">
        <v>71</v>
      </c>
      <c r="T18" s="258"/>
      <c r="U18" s="59"/>
      <c r="V18" s="259"/>
      <c r="W18" s="260"/>
      <c r="X18" s="179"/>
    </row>
    <row r="19" spans="2:24" ht="52.8" x14ac:dyDescent="0.4">
      <c r="B19" s="184"/>
      <c r="C19" s="183"/>
      <c r="D19" s="187"/>
      <c r="E19" s="188">
        <f t="shared" si="0"/>
        <v>16</v>
      </c>
      <c r="F19" s="174"/>
      <c r="G19" s="175"/>
      <c r="H19" s="175" t="s">
        <v>801</v>
      </c>
      <c r="I19" s="176" t="s">
        <v>808</v>
      </c>
      <c r="J19" s="177" t="s">
        <v>809</v>
      </c>
      <c r="K19" s="47" t="s">
        <v>72</v>
      </c>
      <c r="L19" s="48" t="s">
        <v>71</v>
      </c>
      <c r="M19" s="48" t="s">
        <v>71</v>
      </c>
      <c r="N19" s="47" t="s">
        <v>72</v>
      </c>
      <c r="O19" s="48" t="s">
        <v>71</v>
      </c>
      <c r="P19" s="48" t="s">
        <v>71</v>
      </c>
      <c r="Q19" s="47" t="s">
        <v>72</v>
      </c>
      <c r="R19" s="48" t="s">
        <v>71</v>
      </c>
      <c r="S19" s="178" t="s">
        <v>71</v>
      </c>
      <c r="T19" s="258"/>
      <c r="U19" s="49"/>
      <c r="V19" s="251"/>
      <c r="W19" s="260"/>
      <c r="X19" s="179"/>
    </row>
    <row r="20" spans="2:24" ht="92.4" x14ac:dyDescent="0.4">
      <c r="B20" s="184"/>
      <c r="C20" s="183"/>
      <c r="D20" s="187"/>
      <c r="E20" s="188">
        <f t="shared" si="0"/>
        <v>17</v>
      </c>
      <c r="F20" s="174"/>
      <c r="G20" s="175"/>
      <c r="H20" s="175" t="s">
        <v>801</v>
      </c>
      <c r="I20" s="176" t="s">
        <v>810</v>
      </c>
      <c r="J20" s="177" t="s">
        <v>825</v>
      </c>
      <c r="K20" s="47" t="s">
        <v>72</v>
      </c>
      <c r="L20" s="48" t="s">
        <v>71</v>
      </c>
      <c r="M20" s="48" t="s">
        <v>71</v>
      </c>
      <c r="N20" s="47" t="s">
        <v>72</v>
      </c>
      <c r="O20" s="48" t="s">
        <v>71</v>
      </c>
      <c r="P20" s="48" t="s">
        <v>71</v>
      </c>
      <c r="Q20" s="47" t="s">
        <v>72</v>
      </c>
      <c r="R20" s="48" t="s">
        <v>71</v>
      </c>
      <c r="S20" s="178" t="s">
        <v>71</v>
      </c>
      <c r="T20" s="258"/>
      <c r="U20" s="49"/>
      <c r="V20" s="251"/>
      <c r="W20" s="260"/>
      <c r="X20" s="179"/>
    </row>
    <row r="21" spans="2:24" ht="66" x14ac:dyDescent="0.4">
      <c r="B21" s="184"/>
      <c r="C21" s="183"/>
      <c r="D21" s="187"/>
      <c r="E21" s="188">
        <f t="shared" si="0"/>
        <v>18</v>
      </c>
      <c r="F21" s="174"/>
      <c r="G21" s="175"/>
      <c r="H21" s="175" t="s">
        <v>803</v>
      </c>
      <c r="I21" s="176" t="s">
        <v>812</v>
      </c>
      <c r="J21" s="177" t="s">
        <v>813</v>
      </c>
      <c r="K21" s="47" t="s">
        <v>72</v>
      </c>
      <c r="L21" s="48" t="s">
        <v>71</v>
      </c>
      <c r="M21" s="48" t="s">
        <v>71</v>
      </c>
      <c r="N21" s="47" t="s">
        <v>72</v>
      </c>
      <c r="O21" s="47" t="s">
        <v>72</v>
      </c>
      <c r="P21" s="47" t="s">
        <v>72</v>
      </c>
      <c r="Q21" s="47" t="s">
        <v>72</v>
      </c>
      <c r="R21" s="48" t="s">
        <v>71</v>
      </c>
      <c r="S21" s="178" t="s">
        <v>71</v>
      </c>
      <c r="T21" s="258"/>
      <c r="U21" s="49"/>
      <c r="V21" s="251"/>
      <c r="W21" s="260"/>
      <c r="X21" s="179"/>
    </row>
    <row r="22" spans="2:24" ht="66" x14ac:dyDescent="0.4">
      <c r="B22" s="184"/>
      <c r="C22" s="183"/>
      <c r="D22" s="187"/>
      <c r="E22" s="188">
        <f t="shared" si="0"/>
        <v>19</v>
      </c>
      <c r="F22" s="174"/>
      <c r="G22" s="175"/>
      <c r="H22" s="175" t="s">
        <v>803</v>
      </c>
      <c r="I22" s="176" t="s">
        <v>814</v>
      </c>
      <c r="J22" s="177" t="s">
        <v>815</v>
      </c>
      <c r="K22" s="47" t="s">
        <v>72</v>
      </c>
      <c r="L22" s="48" t="s">
        <v>71</v>
      </c>
      <c r="M22" s="48" t="s">
        <v>71</v>
      </c>
      <c r="N22" s="47" t="s">
        <v>72</v>
      </c>
      <c r="O22" s="47" t="s">
        <v>72</v>
      </c>
      <c r="P22" s="47" t="s">
        <v>72</v>
      </c>
      <c r="Q22" s="47" t="s">
        <v>72</v>
      </c>
      <c r="R22" s="48" t="s">
        <v>71</v>
      </c>
      <c r="S22" s="178" t="s">
        <v>71</v>
      </c>
      <c r="T22" s="258"/>
      <c r="U22" s="49"/>
      <c r="V22" s="251"/>
      <c r="W22" s="260"/>
      <c r="X22" s="179"/>
    </row>
    <row r="23" spans="2:24" ht="52.8" x14ac:dyDescent="0.4">
      <c r="B23" s="184"/>
      <c r="C23" s="183"/>
      <c r="D23" s="187"/>
      <c r="E23" s="188">
        <f t="shared" si="0"/>
        <v>20</v>
      </c>
      <c r="F23" s="174"/>
      <c r="G23" s="175"/>
      <c r="H23" s="175" t="s">
        <v>801</v>
      </c>
      <c r="I23" s="176" t="s">
        <v>816</v>
      </c>
      <c r="J23" s="177" t="s">
        <v>817</v>
      </c>
      <c r="K23" s="47" t="s">
        <v>72</v>
      </c>
      <c r="L23" s="48" t="s">
        <v>71</v>
      </c>
      <c r="M23" s="48" t="s">
        <v>71</v>
      </c>
      <c r="N23" s="47" t="s">
        <v>72</v>
      </c>
      <c r="O23" s="48" t="s">
        <v>71</v>
      </c>
      <c r="P23" s="48" t="s">
        <v>71</v>
      </c>
      <c r="Q23" s="47" t="s">
        <v>72</v>
      </c>
      <c r="R23" s="48" t="s">
        <v>71</v>
      </c>
      <c r="S23" s="178" t="s">
        <v>71</v>
      </c>
      <c r="T23" s="258"/>
      <c r="U23" s="49"/>
      <c r="V23" s="251"/>
      <c r="W23" s="260"/>
      <c r="X23" s="179"/>
    </row>
    <row r="24" spans="2:24" ht="92.4" x14ac:dyDescent="0.4">
      <c r="B24" s="184"/>
      <c r="C24" s="183"/>
      <c r="D24" s="190" t="s">
        <v>826</v>
      </c>
      <c r="E24" s="188">
        <f t="shared" si="0"/>
        <v>21</v>
      </c>
      <c r="F24" s="253" t="s">
        <v>799</v>
      </c>
      <c r="G24" s="254" t="s">
        <v>800</v>
      </c>
      <c r="H24" s="254" t="s">
        <v>801</v>
      </c>
      <c r="I24" s="255"/>
      <c r="J24" s="256" t="s">
        <v>807</v>
      </c>
      <c r="K24" s="47" t="s">
        <v>72</v>
      </c>
      <c r="L24" s="48" t="s">
        <v>71</v>
      </c>
      <c r="M24" s="48" t="s">
        <v>71</v>
      </c>
      <c r="N24" s="47" t="s">
        <v>72</v>
      </c>
      <c r="O24" s="48" t="s">
        <v>71</v>
      </c>
      <c r="P24" s="48" t="s">
        <v>71</v>
      </c>
      <c r="Q24" s="47" t="s">
        <v>72</v>
      </c>
      <c r="R24" s="58" t="s">
        <v>71</v>
      </c>
      <c r="S24" s="257" t="s">
        <v>71</v>
      </c>
      <c r="T24" s="258"/>
      <c r="U24" s="59"/>
      <c r="V24" s="259"/>
      <c r="W24" s="260"/>
      <c r="X24" s="179"/>
    </row>
    <row r="25" spans="2:24" ht="79.2" x14ac:dyDescent="0.4">
      <c r="B25" s="184"/>
      <c r="C25" s="183"/>
      <c r="D25" s="187"/>
      <c r="E25" s="188">
        <f t="shared" si="0"/>
        <v>22</v>
      </c>
      <c r="F25" s="174"/>
      <c r="G25" s="175"/>
      <c r="H25" s="175" t="s">
        <v>803</v>
      </c>
      <c r="I25" s="176" t="s">
        <v>804</v>
      </c>
      <c r="J25" s="177" t="s">
        <v>805</v>
      </c>
      <c r="K25" s="47" t="s">
        <v>72</v>
      </c>
      <c r="L25" s="48" t="s">
        <v>71</v>
      </c>
      <c r="M25" s="48" t="s">
        <v>71</v>
      </c>
      <c r="N25" s="47" t="s">
        <v>72</v>
      </c>
      <c r="O25" s="48" t="s">
        <v>71</v>
      </c>
      <c r="P25" s="48" t="s">
        <v>71</v>
      </c>
      <c r="Q25" s="47" t="s">
        <v>72</v>
      </c>
      <c r="R25" s="48" t="s">
        <v>71</v>
      </c>
      <c r="S25" s="178" t="s">
        <v>71</v>
      </c>
      <c r="T25" s="258"/>
      <c r="U25" s="49"/>
      <c r="V25" s="251"/>
      <c r="W25" s="260"/>
      <c r="X25" s="179"/>
    </row>
    <row r="26" spans="2:24" ht="92.4" x14ac:dyDescent="0.4">
      <c r="B26" s="184"/>
      <c r="C26" s="183"/>
      <c r="D26" s="187"/>
      <c r="E26" s="188">
        <f t="shared" si="0"/>
        <v>23</v>
      </c>
      <c r="F26" s="174"/>
      <c r="G26" s="175"/>
      <c r="H26" s="175" t="s">
        <v>803</v>
      </c>
      <c r="I26" s="176" t="s">
        <v>806</v>
      </c>
      <c r="J26" s="256" t="s">
        <v>807</v>
      </c>
      <c r="K26" s="47" t="s">
        <v>72</v>
      </c>
      <c r="L26" s="48" t="s">
        <v>71</v>
      </c>
      <c r="M26" s="48" t="s">
        <v>71</v>
      </c>
      <c r="N26" s="47" t="s">
        <v>72</v>
      </c>
      <c r="O26" s="48" t="s">
        <v>71</v>
      </c>
      <c r="P26" s="48" t="s">
        <v>71</v>
      </c>
      <c r="Q26" s="47" t="s">
        <v>72</v>
      </c>
      <c r="R26" s="48" t="s">
        <v>71</v>
      </c>
      <c r="S26" s="178" t="s">
        <v>71</v>
      </c>
      <c r="T26" s="258"/>
      <c r="U26" s="49"/>
      <c r="V26" s="251"/>
      <c r="W26" s="260"/>
      <c r="X26" s="179"/>
    </row>
    <row r="27" spans="2:24" ht="52.8" x14ac:dyDescent="0.4">
      <c r="B27" s="184"/>
      <c r="C27" s="183"/>
      <c r="D27" s="187"/>
      <c r="E27" s="188">
        <f t="shared" si="0"/>
        <v>24</v>
      </c>
      <c r="F27" s="174"/>
      <c r="G27" s="175"/>
      <c r="H27" s="175" t="s">
        <v>801</v>
      </c>
      <c r="I27" s="176" t="s">
        <v>827</v>
      </c>
      <c r="J27" s="177" t="s">
        <v>828</v>
      </c>
      <c r="K27" s="47" t="s">
        <v>72</v>
      </c>
      <c r="L27" s="48" t="s">
        <v>71</v>
      </c>
      <c r="M27" s="48" t="s">
        <v>71</v>
      </c>
      <c r="N27" s="47" t="s">
        <v>72</v>
      </c>
      <c r="O27" s="48" t="s">
        <v>71</v>
      </c>
      <c r="P27" s="48" t="s">
        <v>71</v>
      </c>
      <c r="Q27" s="47" t="s">
        <v>72</v>
      </c>
      <c r="R27" s="48" t="s">
        <v>71</v>
      </c>
      <c r="S27" s="178" t="s">
        <v>71</v>
      </c>
      <c r="T27" s="258"/>
      <c r="U27" s="49"/>
      <c r="V27" s="251"/>
      <c r="W27" s="260"/>
      <c r="X27" s="179"/>
    </row>
    <row r="28" spans="2:24" ht="66" x14ac:dyDescent="0.4">
      <c r="B28" s="184"/>
      <c r="C28" s="183"/>
      <c r="D28" s="187"/>
      <c r="E28" s="188">
        <f t="shared" si="0"/>
        <v>25</v>
      </c>
      <c r="F28" s="174"/>
      <c r="G28" s="175"/>
      <c r="H28" s="175" t="s">
        <v>829</v>
      </c>
      <c r="I28" s="176" t="s">
        <v>830</v>
      </c>
      <c r="J28" s="177" t="s">
        <v>831</v>
      </c>
      <c r="K28" s="47" t="s">
        <v>72</v>
      </c>
      <c r="L28" s="48" t="s">
        <v>71</v>
      </c>
      <c r="M28" s="48" t="s">
        <v>71</v>
      </c>
      <c r="N28" s="47" t="s">
        <v>72</v>
      </c>
      <c r="O28" s="48" t="s">
        <v>71</v>
      </c>
      <c r="P28" s="48" t="s">
        <v>71</v>
      </c>
      <c r="Q28" s="47" t="s">
        <v>72</v>
      </c>
      <c r="R28" s="48" t="s">
        <v>71</v>
      </c>
      <c r="S28" s="178" t="s">
        <v>71</v>
      </c>
      <c r="T28" s="258"/>
      <c r="U28" s="49"/>
      <c r="V28" s="251"/>
      <c r="W28" s="260"/>
      <c r="X28" s="179"/>
    </row>
    <row r="29" spans="2:24" ht="52.8" x14ac:dyDescent="0.4">
      <c r="B29" s="184"/>
      <c r="C29" s="183"/>
      <c r="D29" s="187"/>
      <c r="E29" s="188">
        <f t="shared" si="0"/>
        <v>26</v>
      </c>
      <c r="F29" s="174"/>
      <c r="G29" s="175"/>
      <c r="H29" s="175" t="s">
        <v>829</v>
      </c>
      <c r="I29" s="176" t="s">
        <v>832</v>
      </c>
      <c r="J29" s="177" t="s">
        <v>833</v>
      </c>
      <c r="K29" s="47" t="s">
        <v>72</v>
      </c>
      <c r="L29" s="48" t="s">
        <v>71</v>
      </c>
      <c r="M29" s="48" t="s">
        <v>71</v>
      </c>
      <c r="N29" s="47" t="s">
        <v>72</v>
      </c>
      <c r="O29" s="48" t="s">
        <v>71</v>
      </c>
      <c r="P29" s="48" t="s">
        <v>71</v>
      </c>
      <c r="Q29" s="48" t="s">
        <v>71</v>
      </c>
      <c r="R29" s="48" t="s">
        <v>71</v>
      </c>
      <c r="S29" s="178" t="s">
        <v>71</v>
      </c>
      <c r="T29" s="258"/>
      <c r="U29" s="49"/>
      <c r="V29" s="251"/>
      <c r="W29" s="260"/>
      <c r="X29" s="179"/>
    </row>
    <row r="30" spans="2:24" ht="79.2" x14ac:dyDescent="0.4">
      <c r="B30" s="184"/>
      <c r="C30" s="183"/>
      <c r="D30" s="187"/>
      <c r="E30" s="188">
        <f t="shared" si="0"/>
        <v>27</v>
      </c>
      <c r="F30" s="174"/>
      <c r="G30" s="175"/>
      <c r="H30" s="175" t="s">
        <v>829</v>
      </c>
      <c r="I30" s="176" t="s">
        <v>834</v>
      </c>
      <c r="J30" s="256" t="s">
        <v>835</v>
      </c>
      <c r="K30" s="47" t="s">
        <v>72</v>
      </c>
      <c r="L30" s="48" t="s">
        <v>71</v>
      </c>
      <c r="M30" s="48" t="s">
        <v>71</v>
      </c>
      <c r="N30" s="47" t="s">
        <v>72</v>
      </c>
      <c r="O30" s="48" t="s">
        <v>71</v>
      </c>
      <c r="P30" s="48" t="s">
        <v>71</v>
      </c>
      <c r="Q30" s="47" t="s">
        <v>72</v>
      </c>
      <c r="R30" s="48" t="s">
        <v>71</v>
      </c>
      <c r="S30" s="178" t="s">
        <v>71</v>
      </c>
      <c r="T30" s="258"/>
      <c r="U30" s="49"/>
      <c r="V30" s="251"/>
      <c r="W30" s="260"/>
      <c r="X30" s="179"/>
    </row>
    <row r="31" spans="2:24" ht="52.8" x14ac:dyDescent="0.4">
      <c r="B31" s="184"/>
      <c r="C31" s="183"/>
      <c r="D31" s="187"/>
      <c r="E31" s="188">
        <f t="shared" si="0"/>
        <v>28</v>
      </c>
      <c r="F31" s="174"/>
      <c r="G31" s="175"/>
      <c r="H31" s="175" t="s">
        <v>801</v>
      </c>
      <c r="I31" s="176" t="s">
        <v>836</v>
      </c>
      <c r="J31" s="177" t="s">
        <v>828</v>
      </c>
      <c r="K31" s="47" t="s">
        <v>72</v>
      </c>
      <c r="L31" s="48" t="s">
        <v>71</v>
      </c>
      <c r="M31" s="48" t="s">
        <v>71</v>
      </c>
      <c r="N31" s="47" t="s">
        <v>72</v>
      </c>
      <c r="O31" s="48" t="s">
        <v>71</v>
      </c>
      <c r="P31" s="48" t="s">
        <v>71</v>
      </c>
      <c r="Q31" s="47" t="s">
        <v>72</v>
      </c>
      <c r="R31" s="48" t="s">
        <v>71</v>
      </c>
      <c r="S31" s="178" t="s">
        <v>71</v>
      </c>
      <c r="T31" s="258"/>
      <c r="U31" s="49"/>
      <c r="V31" s="251"/>
      <c r="W31" s="260"/>
      <c r="X31" s="179"/>
    </row>
    <row r="32" spans="2:24" ht="92.4" x14ac:dyDescent="0.4">
      <c r="B32" s="184"/>
      <c r="C32" s="183"/>
      <c r="D32" s="187"/>
      <c r="E32" s="188">
        <f t="shared" si="0"/>
        <v>29</v>
      </c>
      <c r="F32" s="174"/>
      <c r="G32" s="175"/>
      <c r="H32" s="175" t="s">
        <v>801</v>
      </c>
      <c r="I32" s="176" t="s">
        <v>837</v>
      </c>
      <c r="J32" s="177" t="s">
        <v>825</v>
      </c>
      <c r="K32" s="47" t="s">
        <v>72</v>
      </c>
      <c r="L32" s="48" t="s">
        <v>71</v>
      </c>
      <c r="M32" s="48" t="s">
        <v>71</v>
      </c>
      <c r="N32" s="47" t="s">
        <v>72</v>
      </c>
      <c r="O32" s="48" t="s">
        <v>71</v>
      </c>
      <c r="P32" s="48" t="s">
        <v>71</v>
      </c>
      <c r="Q32" s="47" t="s">
        <v>72</v>
      </c>
      <c r="R32" s="48" t="s">
        <v>71</v>
      </c>
      <c r="S32" s="178" t="s">
        <v>71</v>
      </c>
      <c r="T32" s="258"/>
      <c r="U32" s="49"/>
      <c r="V32" s="251"/>
      <c r="W32" s="260"/>
      <c r="X32" s="179"/>
    </row>
    <row r="33" spans="2:24" ht="66" x14ac:dyDescent="0.4">
      <c r="B33" s="184"/>
      <c r="C33" s="183"/>
      <c r="D33" s="187"/>
      <c r="E33" s="188">
        <f t="shared" si="0"/>
        <v>30</v>
      </c>
      <c r="F33" s="174"/>
      <c r="G33" s="175"/>
      <c r="H33" s="175" t="s">
        <v>803</v>
      </c>
      <c r="I33" s="176" t="s">
        <v>838</v>
      </c>
      <c r="J33" s="177" t="s">
        <v>813</v>
      </c>
      <c r="K33" s="47" t="s">
        <v>72</v>
      </c>
      <c r="L33" s="48" t="s">
        <v>71</v>
      </c>
      <c r="M33" s="48" t="s">
        <v>71</v>
      </c>
      <c r="N33" s="47" t="s">
        <v>72</v>
      </c>
      <c r="O33" s="48" t="s">
        <v>71</v>
      </c>
      <c r="P33" s="48" t="s">
        <v>71</v>
      </c>
      <c r="Q33" s="47" t="s">
        <v>72</v>
      </c>
      <c r="R33" s="48" t="s">
        <v>71</v>
      </c>
      <c r="S33" s="178" t="s">
        <v>71</v>
      </c>
      <c r="T33" s="258"/>
      <c r="U33" s="49"/>
      <c r="V33" s="251"/>
      <c r="W33" s="260"/>
      <c r="X33" s="179"/>
    </row>
    <row r="34" spans="2:24" ht="92.4" x14ac:dyDescent="0.4">
      <c r="B34" s="184"/>
      <c r="C34" s="190" t="s">
        <v>839</v>
      </c>
      <c r="D34" s="190" t="s">
        <v>798</v>
      </c>
      <c r="E34" s="252">
        <f>ROW()-3</f>
        <v>31</v>
      </c>
      <c r="F34" s="253" t="s">
        <v>799</v>
      </c>
      <c r="G34" s="254" t="s">
        <v>840</v>
      </c>
      <c r="H34" s="254" t="s">
        <v>801</v>
      </c>
      <c r="I34" s="255"/>
      <c r="J34" s="256" t="s">
        <v>807</v>
      </c>
      <c r="K34" s="47" t="s">
        <v>72</v>
      </c>
      <c r="L34" s="48" t="s">
        <v>71</v>
      </c>
      <c r="M34" s="48" t="s">
        <v>71</v>
      </c>
      <c r="N34" s="47" t="s">
        <v>72</v>
      </c>
      <c r="O34" s="48" t="s">
        <v>71</v>
      </c>
      <c r="P34" s="48" t="s">
        <v>71</v>
      </c>
      <c r="Q34" s="47" t="s">
        <v>72</v>
      </c>
      <c r="R34" s="58" t="s">
        <v>71</v>
      </c>
      <c r="S34" s="257" t="s">
        <v>71</v>
      </c>
      <c r="T34" s="258"/>
      <c r="U34" s="59"/>
      <c r="V34" s="259"/>
      <c r="W34" s="260"/>
      <c r="X34" s="261"/>
    </row>
    <row r="35" spans="2:24" ht="79.2" x14ac:dyDescent="0.4">
      <c r="B35" s="184"/>
      <c r="C35" s="183"/>
      <c r="D35" s="187"/>
      <c r="E35" s="188">
        <f t="shared" si="0"/>
        <v>32</v>
      </c>
      <c r="F35" s="174"/>
      <c r="G35" s="175"/>
      <c r="H35" s="175" t="s">
        <v>803</v>
      </c>
      <c r="I35" s="176" t="s">
        <v>804</v>
      </c>
      <c r="J35" s="177" t="s">
        <v>805</v>
      </c>
      <c r="K35" s="47" t="s">
        <v>72</v>
      </c>
      <c r="L35" s="48" t="s">
        <v>71</v>
      </c>
      <c r="M35" s="48" t="s">
        <v>71</v>
      </c>
      <c r="N35" s="47" t="s">
        <v>72</v>
      </c>
      <c r="O35" s="48" t="s">
        <v>71</v>
      </c>
      <c r="P35" s="48" t="s">
        <v>71</v>
      </c>
      <c r="Q35" s="47" t="s">
        <v>72</v>
      </c>
      <c r="R35" s="48" t="s">
        <v>71</v>
      </c>
      <c r="S35" s="178" t="s">
        <v>71</v>
      </c>
      <c r="T35" s="258"/>
      <c r="U35" s="49"/>
      <c r="V35" s="251"/>
      <c r="W35" s="260"/>
      <c r="X35" s="179"/>
    </row>
    <row r="36" spans="2:24" ht="92.4" x14ac:dyDescent="0.4">
      <c r="B36" s="184"/>
      <c r="C36" s="183"/>
      <c r="D36" s="187"/>
      <c r="E36" s="188">
        <f t="shared" si="0"/>
        <v>33</v>
      </c>
      <c r="F36" s="174"/>
      <c r="G36" s="175"/>
      <c r="H36" s="175" t="s">
        <v>803</v>
      </c>
      <c r="I36" s="176" t="s">
        <v>806</v>
      </c>
      <c r="J36" s="256" t="s">
        <v>807</v>
      </c>
      <c r="K36" s="47" t="s">
        <v>72</v>
      </c>
      <c r="L36" s="48" t="s">
        <v>71</v>
      </c>
      <c r="M36" s="48" t="s">
        <v>71</v>
      </c>
      <c r="N36" s="47" t="s">
        <v>72</v>
      </c>
      <c r="O36" s="48" t="s">
        <v>71</v>
      </c>
      <c r="P36" s="48" t="s">
        <v>71</v>
      </c>
      <c r="Q36" s="47" t="s">
        <v>72</v>
      </c>
      <c r="R36" s="48" t="s">
        <v>71</v>
      </c>
      <c r="S36" s="178" t="s">
        <v>71</v>
      </c>
      <c r="T36" s="258"/>
      <c r="U36" s="49"/>
      <c r="V36" s="251"/>
      <c r="W36" s="260"/>
      <c r="X36" s="179"/>
    </row>
    <row r="37" spans="2:24" ht="52.8" x14ac:dyDescent="0.4">
      <c r="B37" s="184"/>
      <c r="C37" s="183"/>
      <c r="D37" s="187"/>
      <c r="E37" s="188">
        <f t="shared" si="0"/>
        <v>34</v>
      </c>
      <c r="F37" s="174"/>
      <c r="G37" s="175"/>
      <c r="H37" s="175" t="s">
        <v>801</v>
      </c>
      <c r="I37" s="176" t="s">
        <v>841</v>
      </c>
      <c r="J37" s="177" t="s">
        <v>809</v>
      </c>
      <c r="K37" s="47" t="s">
        <v>72</v>
      </c>
      <c r="L37" s="48" t="s">
        <v>71</v>
      </c>
      <c r="M37" s="48" t="s">
        <v>71</v>
      </c>
      <c r="N37" s="47" t="s">
        <v>72</v>
      </c>
      <c r="O37" s="48" t="s">
        <v>71</v>
      </c>
      <c r="P37" s="48" t="s">
        <v>71</v>
      </c>
      <c r="Q37" s="47" t="s">
        <v>72</v>
      </c>
      <c r="R37" s="48" t="s">
        <v>71</v>
      </c>
      <c r="S37" s="178" t="s">
        <v>71</v>
      </c>
      <c r="T37" s="258"/>
      <c r="U37" s="49"/>
      <c r="V37" s="251"/>
      <c r="W37" s="180"/>
      <c r="X37" s="179"/>
    </row>
    <row r="38" spans="2:24" ht="52.8" x14ac:dyDescent="0.4">
      <c r="B38" s="184"/>
      <c r="C38" s="183"/>
      <c r="D38" s="187"/>
      <c r="E38" s="188">
        <f t="shared" si="0"/>
        <v>35</v>
      </c>
      <c r="F38" s="174"/>
      <c r="G38" s="175"/>
      <c r="H38" s="175" t="s">
        <v>801</v>
      </c>
      <c r="I38" s="176"/>
      <c r="J38" s="177" t="s">
        <v>842</v>
      </c>
      <c r="K38" s="47" t="s">
        <v>72</v>
      </c>
      <c r="L38" s="48" t="s">
        <v>71</v>
      </c>
      <c r="M38" s="48" t="s">
        <v>71</v>
      </c>
      <c r="N38" s="47" t="s">
        <v>72</v>
      </c>
      <c r="O38" s="48" t="s">
        <v>71</v>
      </c>
      <c r="P38" s="48" t="s">
        <v>71</v>
      </c>
      <c r="Q38" s="48" t="s">
        <v>71</v>
      </c>
      <c r="R38" s="48" t="s">
        <v>71</v>
      </c>
      <c r="S38" s="178" t="s">
        <v>71</v>
      </c>
      <c r="T38" s="258"/>
      <c r="U38" s="49"/>
      <c r="V38" s="251"/>
      <c r="W38" s="180"/>
      <c r="X38" s="179"/>
    </row>
    <row r="39" spans="2:24" ht="92.4" x14ac:dyDescent="0.4">
      <c r="B39" s="184"/>
      <c r="C39" s="183"/>
      <c r="D39" s="187"/>
      <c r="E39" s="188">
        <f t="shared" si="0"/>
        <v>36</v>
      </c>
      <c r="F39" s="174"/>
      <c r="G39" s="175"/>
      <c r="H39" s="175" t="s">
        <v>801</v>
      </c>
      <c r="I39" s="176" t="s">
        <v>810</v>
      </c>
      <c r="J39" s="177" t="s">
        <v>825</v>
      </c>
      <c r="K39" s="47" t="s">
        <v>72</v>
      </c>
      <c r="L39" s="48" t="s">
        <v>71</v>
      </c>
      <c r="M39" s="48" t="s">
        <v>71</v>
      </c>
      <c r="N39" s="47" t="s">
        <v>72</v>
      </c>
      <c r="O39" s="48" t="s">
        <v>71</v>
      </c>
      <c r="P39" s="48" t="s">
        <v>71</v>
      </c>
      <c r="Q39" s="47" t="s">
        <v>72</v>
      </c>
      <c r="R39" s="48" t="s">
        <v>71</v>
      </c>
      <c r="S39" s="178" t="s">
        <v>71</v>
      </c>
      <c r="T39" s="258"/>
      <c r="U39" s="49"/>
      <c r="V39" s="251"/>
      <c r="W39" s="180"/>
      <c r="X39" s="179"/>
    </row>
    <row r="40" spans="2:24" ht="66" x14ac:dyDescent="0.4">
      <c r="B40" s="184"/>
      <c r="C40" s="183"/>
      <c r="D40" s="187"/>
      <c r="E40" s="188">
        <f t="shared" si="0"/>
        <v>37</v>
      </c>
      <c r="F40" s="174"/>
      <c r="G40" s="175"/>
      <c r="H40" s="175" t="s">
        <v>803</v>
      </c>
      <c r="I40" s="176" t="s">
        <v>812</v>
      </c>
      <c r="J40" s="177" t="s">
        <v>813</v>
      </c>
      <c r="K40" s="47" t="s">
        <v>72</v>
      </c>
      <c r="L40" s="48" t="s">
        <v>71</v>
      </c>
      <c r="M40" s="48" t="s">
        <v>71</v>
      </c>
      <c r="N40" s="47" t="s">
        <v>72</v>
      </c>
      <c r="O40" s="47" t="s">
        <v>72</v>
      </c>
      <c r="P40" s="47" t="s">
        <v>72</v>
      </c>
      <c r="Q40" s="47" t="s">
        <v>72</v>
      </c>
      <c r="R40" s="48" t="s">
        <v>71</v>
      </c>
      <c r="S40" s="178" t="s">
        <v>71</v>
      </c>
      <c r="T40" s="258"/>
      <c r="U40" s="49"/>
      <c r="V40" s="251"/>
      <c r="W40" s="180"/>
      <c r="X40" s="179"/>
    </row>
    <row r="41" spans="2:24" ht="66" x14ac:dyDescent="0.4">
      <c r="B41" s="184"/>
      <c r="C41" s="183"/>
      <c r="D41" s="187"/>
      <c r="E41" s="188">
        <f t="shared" si="0"/>
        <v>38</v>
      </c>
      <c r="F41" s="174"/>
      <c r="G41" s="175"/>
      <c r="H41" s="175" t="s">
        <v>803</v>
      </c>
      <c r="I41" s="176" t="s">
        <v>814</v>
      </c>
      <c r="J41" s="177" t="s">
        <v>815</v>
      </c>
      <c r="K41" s="47" t="s">
        <v>72</v>
      </c>
      <c r="L41" s="48" t="s">
        <v>71</v>
      </c>
      <c r="M41" s="48" t="s">
        <v>71</v>
      </c>
      <c r="N41" s="47" t="s">
        <v>72</v>
      </c>
      <c r="O41" s="47" t="s">
        <v>72</v>
      </c>
      <c r="P41" s="47" t="s">
        <v>72</v>
      </c>
      <c r="Q41" s="47" t="s">
        <v>72</v>
      </c>
      <c r="R41" s="48" t="s">
        <v>71</v>
      </c>
      <c r="S41" s="178" t="s">
        <v>71</v>
      </c>
      <c r="T41" s="258"/>
      <c r="U41" s="49"/>
      <c r="V41" s="251"/>
      <c r="W41" s="180"/>
      <c r="X41" s="179"/>
    </row>
    <row r="42" spans="2:24" ht="52.8" x14ac:dyDescent="0.4">
      <c r="B42" s="184"/>
      <c r="C42" s="183"/>
      <c r="D42" s="187"/>
      <c r="E42" s="188">
        <f t="shared" si="0"/>
        <v>39</v>
      </c>
      <c r="F42" s="174"/>
      <c r="G42" s="175"/>
      <c r="H42" s="175" t="s">
        <v>801</v>
      </c>
      <c r="I42" s="176" t="s">
        <v>816</v>
      </c>
      <c r="J42" s="177" t="s">
        <v>817</v>
      </c>
      <c r="K42" s="47" t="s">
        <v>72</v>
      </c>
      <c r="L42" s="48" t="s">
        <v>71</v>
      </c>
      <c r="M42" s="48" t="s">
        <v>71</v>
      </c>
      <c r="N42" s="47" t="s">
        <v>72</v>
      </c>
      <c r="O42" s="48" t="s">
        <v>71</v>
      </c>
      <c r="P42" s="48" t="s">
        <v>71</v>
      </c>
      <c r="Q42" s="47" t="s">
        <v>72</v>
      </c>
      <c r="R42" s="48" t="s">
        <v>71</v>
      </c>
      <c r="S42" s="178" t="s">
        <v>71</v>
      </c>
      <c r="T42" s="258"/>
      <c r="U42" s="49"/>
      <c r="V42" s="251"/>
      <c r="W42" s="180"/>
      <c r="X42" s="179"/>
    </row>
    <row r="43" spans="2:24" ht="92.4" x14ac:dyDescent="0.4">
      <c r="B43" s="184"/>
      <c r="C43" s="183"/>
      <c r="D43" s="185"/>
      <c r="E43" s="188">
        <f t="shared" si="0"/>
        <v>40</v>
      </c>
      <c r="F43" s="253" t="s">
        <v>799</v>
      </c>
      <c r="G43" s="254" t="s">
        <v>843</v>
      </c>
      <c r="H43" s="254" t="s">
        <v>801</v>
      </c>
      <c r="I43" s="255"/>
      <c r="J43" s="256" t="s">
        <v>807</v>
      </c>
      <c r="K43" s="47" t="s">
        <v>72</v>
      </c>
      <c r="L43" s="48" t="s">
        <v>71</v>
      </c>
      <c r="M43" s="48" t="s">
        <v>71</v>
      </c>
      <c r="N43" s="47" t="s">
        <v>72</v>
      </c>
      <c r="O43" s="58" t="s">
        <v>71</v>
      </c>
      <c r="P43" s="58" t="s">
        <v>71</v>
      </c>
      <c r="Q43" s="58" t="s">
        <v>71</v>
      </c>
      <c r="R43" s="58" t="s">
        <v>71</v>
      </c>
      <c r="S43" s="257" t="s">
        <v>71</v>
      </c>
      <c r="T43" s="258"/>
      <c r="U43" s="49"/>
      <c r="V43" s="251"/>
      <c r="W43" s="180"/>
      <c r="X43" s="179"/>
    </row>
    <row r="44" spans="2:24" ht="79.2" x14ac:dyDescent="0.4">
      <c r="B44" s="184"/>
      <c r="C44" s="183"/>
      <c r="D44" s="187"/>
      <c r="E44" s="188">
        <f t="shared" si="0"/>
        <v>41</v>
      </c>
      <c r="F44" s="174"/>
      <c r="G44" s="175"/>
      <c r="H44" s="175" t="s">
        <v>803</v>
      </c>
      <c r="I44" s="176" t="s">
        <v>804</v>
      </c>
      <c r="J44" s="177" t="s">
        <v>805</v>
      </c>
      <c r="K44" s="47" t="s">
        <v>72</v>
      </c>
      <c r="L44" s="48" t="s">
        <v>71</v>
      </c>
      <c r="M44" s="48" t="s">
        <v>71</v>
      </c>
      <c r="N44" s="47" t="s">
        <v>72</v>
      </c>
      <c r="O44" s="48" t="s">
        <v>71</v>
      </c>
      <c r="P44" s="48" t="s">
        <v>71</v>
      </c>
      <c r="Q44" s="47" t="s">
        <v>72</v>
      </c>
      <c r="R44" s="48" t="s">
        <v>71</v>
      </c>
      <c r="S44" s="178" t="s">
        <v>71</v>
      </c>
      <c r="T44" s="258"/>
      <c r="U44" s="49"/>
      <c r="V44" s="251"/>
      <c r="W44" s="180"/>
      <c r="X44" s="179"/>
    </row>
    <row r="45" spans="2:24" ht="92.4" x14ac:dyDescent="0.4">
      <c r="B45" s="184"/>
      <c r="C45" s="183"/>
      <c r="D45" s="187"/>
      <c r="E45" s="188">
        <f t="shared" si="0"/>
        <v>42</v>
      </c>
      <c r="F45" s="174"/>
      <c r="G45" s="175"/>
      <c r="H45" s="175" t="s">
        <v>803</v>
      </c>
      <c r="I45" s="176" t="s">
        <v>806</v>
      </c>
      <c r="J45" s="256" t="s">
        <v>807</v>
      </c>
      <c r="K45" s="47" t="s">
        <v>72</v>
      </c>
      <c r="L45" s="48" t="s">
        <v>71</v>
      </c>
      <c r="M45" s="48" t="s">
        <v>71</v>
      </c>
      <c r="N45" s="47" t="s">
        <v>72</v>
      </c>
      <c r="O45" s="48" t="s">
        <v>71</v>
      </c>
      <c r="P45" s="48" t="s">
        <v>71</v>
      </c>
      <c r="Q45" s="47" t="s">
        <v>72</v>
      </c>
      <c r="R45" s="48" t="s">
        <v>71</v>
      </c>
      <c r="S45" s="178" t="s">
        <v>71</v>
      </c>
      <c r="T45" s="258"/>
      <c r="U45" s="49"/>
      <c r="V45" s="251"/>
      <c r="W45" s="180"/>
      <c r="X45" s="179"/>
    </row>
    <row r="46" spans="2:24" ht="79.2" x14ac:dyDescent="0.4">
      <c r="B46" s="184"/>
      <c r="C46" s="183"/>
      <c r="D46" s="187"/>
      <c r="E46" s="188">
        <f t="shared" si="0"/>
        <v>43</v>
      </c>
      <c r="F46" s="174"/>
      <c r="G46" s="175"/>
      <c r="H46" s="175" t="s">
        <v>803</v>
      </c>
      <c r="I46" s="176" t="s">
        <v>821</v>
      </c>
      <c r="J46" s="177" t="s">
        <v>844</v>
      </c>
      <c r="K46" s="47" t="s">
        <v>72</v>
      </c>
      <c r="L46" s="48" t="s">
        <v>71</v>
      </c>
      <c r="M46" s="48" t="s">
        <v>71</v>
      </c>
      <c r="N46" s="47" t="s">
        <v>72</v>
      </c>
      <c r="O46" s="48" t="s">
        <v>71</v>
      </c>
      <c r="P46" s="48" t="s">
        <v>71</v>
      </c>
      <c r="Q46" s="48" t="s">
        <v>350</v>
      </c>
      <c r="R46" s="48" t="s">
        <v>71</v>
      </c>
      <c r="S46" s="178" t="s">
        <v>71</v>
      </c>
      <c r="T46" s="258"/>
      <c r="U46" s="49"/>
      <c r="V46" s="251"/>
      <c r="W46" s="180"/>
      <c r="X46" s="179"/>
    </row>
    <row r="47" spans="2:24" ht="92.4" x14ac:dyDescent="0.4">
      <c r="B47" s="184"/>
      <c r="C47" s="183"/>
      <c r="D47" s="187"/>
      <c r="E47" s="188">
        <f t="shared" si="0"/>
        <v>44</v>
      </c>
      <c r="F47" s="174"/>
      <c r="G47" s="175"/>
      <c r="H47" s="254" t="s">
        <v>801</v>
      </c>
      <c r="I47" s="176" t="s">
        <v>845</v>
      </c>
      <c r="J47" s="256" t="s">
        <v>807</v>
      </c>
      <c r="K47" s="47" t="s">
        <v>72</v>
      </c>
      <c r="L47" s="48" t="s">
        <v>71</v>
      </c>
      <c r="M47" s="48" t="s">
        <v>71</v>
      </c>
      <c r="N47" s="47" t="s">
        <v>72</v>
      </c>
      <c r="O47" s="48" t="s">
        <v>71</v>
      </c>
      <c r="P47" s="48" t="s">
        <v>71</v>
      </c>
      <c r="Q47" s="47" t="s">
        <v>72</v>
      </c>
      <c r="R47" s="48" t="s">
        <v>71</v>
      </c>
      <c r="S47" s="178" t="s">
        <v>71</v>
      </c>
      <c r="T47" s="258"/>
      <c r="U47" s="49"/>
      <c r="V47" s="251"/>
      <c r="W47" s="180"/>
      <c r="X47" s="179"/>
    </row>
    <row r="48" spans="2:24" ht="79.2" x14ac:dyDescent="0.4">
      <c r="B48" s="184"/>
      <c r="C48" s="183"/>
      <c r="D48" s="187"/>
      <c r="E48" s="188">
        <f t="shared" si="0"/>
        <v>45</v>
      </c>
      <c r="F48" s="174"/>
      <c r="G48" s="175"/>
      <c r="H48" s="175" t="s">
        <v>803</v>
      </c>
      <c r="I48" s="176" t="s">
        <v>824</v>
      </c>
      <c r="J48" s="177" t="s">
        <v>805</v>
      </c>
      <c r="K48" s="47" t="s">
        <v>72</v>
      </c>
      <c r="L48" s="48" t="s">
        <v>71</v>
      </c>
      <c r="M48" s="48" t="s">
        <v>71</v>
      </c>
      <c r="N48" s="47" t="s">
        <v>72</v>
      </c>
      <c r="O48" s="48" t="s">
        <v>71</v>
      </c>
      <c r="P48" s="48" t="s">
        <v>71</v>
      </c>
      <c r="Q48" s="47" t="s">
        <v>72</v>
      </c>
      <c r="R48" s="48" t="s">
        <v>71</v>
      </c>
      <c r="S48" s="178" t="s">
        <v>71</v>
      </c>
      <c r="T48" s="258"/>
      <c r="U48" s="49"/>
      <c r="V48" s="251"/>
      <c r="W48" s="180"/>
      <c r="X48" s="179"/>
    </row>
    <row r="49" spans="2:24" ht="92.4" x14ac:dyDescent="0.4">
      <c r="B49" s="184"/>
      <c r="C49" s="183"/>
      <c r="D49" s="187"/>
      <c r="E49" s="188">
        <f t="shared" si="0"/>
        <v>46</v>
      </c>
      <c r="F49" s="174"/>
      <c r="G49" s="175"/>
      <c r="H49" s="175" t="s">
        <v>803</v>
      </c>
      <c r="I49" s="176" t="s">
        <v>806</v>
      </c>
      <c r="J49" s="256" t="s">
        <v>807</v>
      </c>
      <c r="K49" s="47" t="s">
        <v>72</v>
      </c>
      <c r="L49" s="48" t="s">
        <v>71</v>
      </c>
      <c r="M49" s="48" t="s">
        <v>71</v>
      </c>
      <c r="N49" s="47" t="s">
        <v>72</v>
      </c>
      <c r="O49" s="48" t="s">
        <v>71</v>
      </c>
      <c r="P49" s="48" t="s">
        <v>71</v>
      </c>
      <c r="Q49" s="47" t="s">
        <v>72</v>
      </c>
      <c r="R49" s="48" t="s">
        <v>71</v>
      </c>
      <c r="S49" s="178" t="s">
        <v>71</v>
      </c>
      <c r="T49" s="258"/>
      <c r="U49" s="49"/>
      <c r="V49" s="251"/>
      <c r="W49" s="180"/>
      <c r="X49" s="179"/>
    </row>
    <row r="50" spans="2:24" ht="52.8" x14ac:dyDescent="0.4">
      <c r="B50" s="184"/>
      <c r="C50" s="183"/>
      <c r="D50" s="187"/>
      <c r="E50" s="188">
        <f t="shared" si="0"/>
        <v>47</v>
      </c>
      <c r="F50" s="174"/>
      <c r="G50" s="175"/>
      <c r="H50" s="175" t="s">
        <v>801</v>
      </c>
      <c r="I50" s="176" t="s">
        <v>841</v>
      </c>
      <c r="J50" s="177" t="s">
        <v>809</v>
      </c>
      <c r="K50" s="47" t="s">
        <v>72</v>
      </c>
      <c r="L50" s="48" t="s">
        <v>71</v>
      </c>
      <c r="M50" s="48" t="s">
        <v>71</v>
      </c>
      <c r="N50" s="47" t="s">
        <v>72</v>
      </c>
      <c r="O50" s="48" t="s">
        <v>71</v>
      </c>
      <c r="P50" s="48" t="s">
        <v>71</v>
      </c>
      <c r="Q50" s="47" t="s">
        <v>72</v>
      </c>
      <c r="R50" s="48" t="s">
        <v>71</v>
      </c>
      <c r="S50" s="178" t="s">
        <v>71</v>
      </c>
      <c r="T50" s="258"/>
      <c r="U50" s="49"/>
      <c r="V50" s="251"/>
      <c r="W50" s="180"/>
      <c r="X50" s="179"/>
    </row>
    <row r="51" spans="2:24" ht="52.8" x14ac:dyDescent="0.4">
      <c r="B51" s="184"/>
      <c r="C51" s="183"/>
      <c r="D51" s="187"/>
      <c r="E51" s="188">
        <f t="shared" si="0"/>
        <v>48</v>
      </c>
      <c r="F51" s="174"/>
      <c r="G51" s="175"/>
      <c r="H51" s="175" t="s">
        <v>801</v>
      </c>
      <c r="I51" s="176"/>
      <c r="J51" s="177" t="s">
        <v>842</v>
      </c>
      <c r="K51" s="47" t="s">
        <v>72</v>
      </c>
      <c r="L51" s="48" t="s">
        <v>71</v>
      </c>
      <c r="M51" s="48" t="s">
        <v>71</v>
      </c>
      <c r="N51" s="47" t="s">
        <v>72</v>
      </c>
      <c r="O51" s="48" t="s">
        <v>71</v>
      </c>
      <c r="P51" s="48" t="s">
        <v>71</v>
      </c>
      <c r="Q51" s="48" t="s">
        <v>71</v>
      </c>
      <c r="R51" s="48" t="s">
        <v>71</v>
      </c>
      <c r="S51" s="178" t="s">
        <v>71</v>
      </c>
      <c r="T51" s="258"/>
      <c r="U51" s="49"/>
      <c r="V51" s="251"/>
      <c r="W51" s="180"/>
      <c r="X51" s="179"/>
    </row>
    <row r="52" spans="2:24" ht="92.4" x14ac:dyDescent="0.4">
      <c r="B52" s="184"/>
      <c r="C52" s="183"/>
      <c r="D52" s="187"/>
      <c r="E52" s="188">
        <f t="shared" si="0"/>
        <v>49</v>
      </c>
      <c r="F52" s="174"/>
      <c r="G52" s="175"/>
      <c r="H52" s="175" t="s">
        <v>801</v>
      </c>
      <c r="I52" s="176" t="s">
        <v>810</v>
      </c>
      <c r="J52" s="177" t="s">
        <v>825</v>
      </c>
      <c r="K52" s="47" t="s">
        <v>72</v>
      </c>
      <c r="L52" s="48" t="s">
        <v>71</v>
      </c>
      <c r="M52" s="48" t="s">
        <v>71</v>
      </c>
      <c r="N52" s="47" t="s">
        <v>72</v>
      </c>
      <c r="O52" s="48" t="s">
        <v>71</v>
      </c>
      <c r="P52" s="48" t="s">
        <v>71</v>
      </c>
      <c r="Q52" s="47" t="s">
        <v>72</v>
      </c>
      <c r="R52" s="48" t="s">
        <v>71</v>
      </c>
      <c r="S52" s="178" t="s">
        <v>71</v>
      </c>
      <c r="T52" s="258"/>
      <c r="U52" s="49"/>
      <c r="V52" s="251"/>
      <c r="W52" s="180"/>
      <c r="X52" s="179"/>
    </row>
    <row r="53" spans="2:24" ht="66" x14ac:dyDescent="0.4">
      <c r="B53" s="184"/>
      <c r="C53" s="183"/>
      <c r="D53" s="187"/>
      <c r="E53" s="188">
        <f t="shared" si="0"/>
        <v>50</v>
      </c>
      <c r="F53" s="174"/>
      <c r="G53" s="175"/>
      <c r="H53" s="175" t="s">
        <v>803</v>
      </c>
      <c r="I53" s="176" t="s">
        <v>812</v>
      </c>
      <c r="J53" s="177" t="s">
        <v>813</v>
      </c>
      <c r="K53" s="47" t="s">
        <v>72</v>
      </c>
      <c r="L53" s="48" t="s">
        <v>71</v>
      </c>
      <c r="M53" s="48" t="s">
        <v>71</v>
      </c>
      <c r="N53" s="47" t="s">
        <v>72</v>
      </c>
      <c r="O53" s="47" t="s">
        <v>72</v>
      </c>
      <c r="P53" s="47" t="s">
        <v>72</v>
      </c>
      <c r="Q53" s="47" t="s">
        <v>72</v>
      </c>
      <c r="R53" s="48" t="s">
        <v>71</v>
      </c>
      <c r="S53" s="178" t="s">
        <v>71</v>
      </c>
      <c r="T53" s="258"/>
      <c r="U53" s="49"/>
      <c r="V53" s="251"/>
      <c r="W53" s="180"/>
      <c r="X53" s="179"/>
    </row>
    <row r="54" spans="2:24" ht="66" x14ac:dyDescent="0.4">
      <c r="B54" s="184"/>
      <c r="C54" s="183"/>
      <c r="D54" s="187"/>
      <c r="E54" s="188">
        <f t="shared" si="0"/>
        <v>51</v>
      </c>
      <c r="F54" s="174"/>
      <c r="G54" s="175"/>
      <c r="H54" s="175" t="s">
        <v>803</v>
      </c>
      <c r="I54" s="176" t="s">
        <v>846</v>
      </c>
      <c r="J54" s="177" t="s">
        <v>815</v>
      </c>
      <c r="K54" s="47" t="s">
        <v>72</v>
      </c>
      <c r="L54" s="48" t="s">
        <v>71</v>
      </c>
      <c r="M54" s="48" t="s">
        <v>71</v>
      </c>
      <c r="N54" s="47" t="s">
        <v>72</v>
      </c>
      <c r="O54" s="47" t="s">
        <v>72</v>
      </c>
      <c r="P54" s="47" t="s">
        <v>72</v>
      </c>
      <c r="Q54" s="47" t="s">
        <v>72</v>
      </c>
      <c r="R54" s="48" t="s">
        <v>71</v>
      </c>
      <c r="S54" s="178" t="s">
        <v>71</v>
      </c>
      <c r="T54" s="258"/>
      <c r="U54" s="49"/>
      <c r="V54" s="251"/>
      <c r="W54" s="180"/>
      <c r="X54" s="179"/>
    </row>
    <row r="55" spans="2:24" ht="52.8" x14ac:dyDescent="0.4">
      <c r="B55" s="184"/>
      <c r="C55" s="183"/>
      <c r="D55" s="187"/>
      <c r="E55" s="188">
        <f t="shared" si="0"/>
        <v>52</v>
      </c>
      <c r="F55" s="174"/>
      <c r="G55" s="175"/>
      <c r="H55" s="175" t="s">
        <v>801</v>
      </c>
      <c r="I55" s="176" t="s">
        <v>816</v>
      </c>
      <c r="J55" s="177" t="s">
        <v>817</v>
      </c>
      <c r="K55" s="47" t="s">
        <v>72</v>
      </c>
      <c r="L55" s="48" t="s">
        <v>71</v>
      </c>
      <c r="M55" s="48" t="s">
        <v>71</v>
      </c>
      <c r="N55" s="47" t="s">
        <v>72</v>
      </c>
      <c r="O55" s="48" t="s">
        <v>71</v>
      </c>
      <c r="P55" s="48" t="s">
        <v>71</v>
      </c>
      <c r="Q55" s="47" t="s">
        <v>72</v>
      </c>
      <c r="R55" s="48" t="s">
        <v>71</v>
      </c>
      <c r="S55" s="178" t="s">
        <v>71</v>
      </c>
      <c r="T55" s="258"/>
      <c r="U55" s="49"/>
      <c r="V55" s="251"/>
      <c r="W55" s="180"/>
      <c r="X55" s="179"/>
    </row>
    <row r="56" spans="2:24" ht="92.4" x14ac:dyDescent="0.4">
      <c r="B56" s="184"/>
      <c r="C56" s="183"/>
      <c r="D56" s="190" t="s">
        <v>826</v>
      </c>
      <c r="E56" s="188">
        <f t="shared" si="0"/>
        <v>53</v>
      </c>
      <c r="F56" s="253" t="s">
        <v>799</v>
      </c>
      <c r="G56" s="254" t="s">
        <v>847</v>
      </c>
      <c r="H56" s="254" t="s">
        <v>801</v>
      </c>
      <c r="I56" s="255"/>
      <c r="J56" s="256" t="s">
        <v>807</v>
      </c>
      <c r="K56" s="47" t="s">
        <v>72</v>
      </c>
      <c r="L56" s="48" t="s">
        <v>71</v>
      </c>
      <c r="M56" s="48" t="s">
        <v>71</v>
      </c>
      <c r="N56" s="47" t="s">
        <v>72</v>
      </c>
      <c r="O56" s="48" t="s">
        <v>71</v>
      </c>
      <c r="P56" s="48" t="s">
        <v>71</v>
      </c>
      <c r="Q56" s="47" t="s">
        <v>72</v>
      </c>
      <c r="R56" s="58" t="s">
        <v>71</v>
      </c>
      <c r="S56" s="257" t="s">
        <v>71</v>
      </c>
      <c r="T56" s="258"/>
      <c r="U56" s="49"/>
      <c r="V56" s="251"/>
      <c r="W56" s="260"/>
      <c r="X56" s="179"/>
    </row>
    <row r="57" spans="2:24" ht="79.2" x14ac:dyDescent="0.4">
      <c r="B57" s="184"/>
      <c r="C57" s="183"/>
      <c r="D57" s="187"/>
      <c r="E57" s="188">
        <f t="shared" si="0"/>
        <v>54</v>
      </c>
      <c r="F57" s="174"/>
      <c r="G57" s="175"/>
      <c r="H57" s="175" t="s">
        <v>803</v>
      </c>
      <c r="I57" s="176" t="s">
        <v>804</v>
      </c>
      <c r="J57" s="177" t="s">
        <v>805</v>
      </c>
      <c r="K57" s="47" t="s">
        <v>72</v>
      </c>
      <c r="L57" s="48" t="s">
        <v>71</v>
      </c>
      <c r="M57" s="48" t="s">
        <v>71</v>
      </c>
      <c r="N57" s="47" t="s">
        <v>72</v>
      </c>
      <c r="O57" s="48" t="s">
        <v>71</v>
      </c>
      <c r="P57" s="48" t="s">
        <v>71</v>
      </c>
      <c r="Q57" s="47" t="s">
        <v>72</v>
      </c>
      <c r="R57" s="48" t="s">
        <v>71</v>
      </c>
      <c r="S57" s="178" t="s">
        <v>71</v>
      </c>
      <c r="T57" s="258"/>
      <c r="U57" s="49"/>
      <c r="V57" s="251"/>
      <c r="W57" s="260"/>
      <c r="X57" s="179"/>
    </row>
    <row r="58" spans="2:24" ht="92.4" x14ac:dyDescent="0.4">
      <c r="B58" s="184"/>
      <c r="C58" s="183"/>
      <c r="D58" s="187"/>
      <c r="E58" s="188">
        <f t="shared" si="0"/>
        <v>55</v>
      </c>
      <c r="F58" s="174"/>
      <c r="G58" s="175"/>
      <c r="H58" s="175" t="s">
        <v>803</v>
      </c>
      <c r="I58" s="176" t="s">
        <v>806</v>
      </c>
      <c r="J58" s="256" t="s">
        <v>807</v>
      </c>
      <c r="K58" s="47" t="s">
        <v>72</v>
      </c>
      <c r="L58" s="48" t="s">
        <v>71</v>
      </c>
      <c r="M58" s="48" t="s">
        <v>71</v>
      </c>
      <c r="N58" s="47" t="s">
        <v>72</v>
      </c>
      <c r="O58" s="48" t="s">
        <v>71</v>
      </c>
      <c r="P58" s="48" t="s">
        <v>71</v>
      </c>
      <c r="Q58" s="47" t="s">
        <v>72</v>
      </c>
      <c r="R58" s="48" t="s">
        <v>71</v>
      </c>
      <c r="S58" s="178" t="s">
        <v>71</v>
      </c>
      <c r="T58" s="258"/>
      <c r="U58" s="49"/>
      <c r="V58" s="251"/>
      <c r="W58" s="260"/>
      <c r="X58" s="179"/>
    </row>
    <row r="59" spans="2:24" ht="52.8" x14ac:dyDescent="0.4">
      <c r="B59" s="184"/>
      <c r="C59" s="183"/>
      <c r="D59" s="187"/>
      <c r="E59" s="188">
        <f t="shared" si="0"/>
        <v>56</v>
      </c>
      <c r="F59" s="174"/>
      <c r="G59" s="175"/>
      <c r="H59" s="175" t="s">
        <v>801</v>
      </c>
      <c r="I59" s="176" t="s">
        <v>827</v>
      </c>
      <c r="J59" s="177" t="s">
        <v>828</v>
      </c>
      <c r="K59" s="47" t="s">
        <v>72</v>
      </c>
      <c r="L59" s="48" t="s">
        <v>71</v>
      </c>
      <c r="M59" s="48" t="s">
        <v>71</v>
      </c>
      <c r="N59" s="47" t="s">
        <v>72</v>
      </c>
      <c r="O59" s="48" t="s">
        <v>71</v>
      </c>
      <c r="P59" s="48" t="s">
        <v>71</v>
      </c>
      <c r="Q59" s="47" t="s">
        <v>72</v>
      </c>
      <c r="R59" s="48" t="s">
        <v>71</v>
      </c>
      <c r="S59" s="178" t="s">
        <v>71</v>
      </c>
      <c r="T59" s="258"/>
      <c r="U59" s="49"/>
      <c r="V59" s="251"/>
      <c r="W59" s="180"/>
      <c r="X59" s="179"/>
    </row>
    <row r="60" spans="2:24" ht="52.8" x14ac:dyDescent="0.4">
      <c r="B60" s="184"/>
      <c r="C60" s="183"/>
      <c r="D60" s="187"/>
      <c r="E60" s="188">
        <f t="shared" si="0"/>
        <v>57</v>
      </c>
      <c r="F60" s="174"/>
      <c r="G60" s="175"/>
      <c r="H60" s="175" t="s">
        <v>801</v>
      </c>
      <c r="I60" s="176"/>
      <c r="J60" s="177" t="s">
        <v>848</v>
      </c>
      <c r="K60" s="47" t="s">
        <v>72</v>
      </c>
      <c r="L60" s="48" t="s">
        <v>71</v>
      </c>
      <c r="M60" s="48" t="s">
        <v>71</v>
      </c>
      <c r="N60" s="47" t="s">
        <v>72</v>
      </c>
      <c r="O60" s="48" t="s">
        <v>71</v>
      </c>
      <c r="P60" s="48" t="s">
        <v>71</v>
      </c>
      <c r="Q60" s="47" t="s">
        <v>72</v>
      </c>
      <c r="R60" s="48" t="s">
        <v>71</v>
      </c>
      <c r="S60" s="178" t="s">
        <v>71</v>
      </c>
      <c r="T60" s="258"/>
      <c r="U60" s="49"/>
      <c r="V60" s="251"/>
      <c r="W60" s="180"/>
      <c r="X60" s="179"/>
    </row>
    <row r="61" spans="2:24" ht="92.4" x14ac:dyDescent="0.4">
      <c r="B61" s="184"/>
      <c r="C61" s="183"/>
      <c r="D61" s="187"/>
      <c r="E61" s="188">
        <f t="shared" si="0"/>
        <v>58</v>
      </c>
      <c r="F61" s="174"/>
      <c r="G61" s="175"/>
      <c r="H61" s="175" t="s">
        <v>801</v>
      </c>
      <c r="I61" s="176" t="s">
        <v>849</v>
      </c>
      <c r="J61" s="177" t="s">
        <v>825</v>
      </c>
      <c r="K61" s="47" t="s">
        <v>72</v>
      </c>
      <c r="L61" s="48" t="s">
        <v>71</v>
      </c>
      <c r="M61" s="48" t="s">
        <v>71</v>
      </c>
      <c r="N61" s="47" t="s">
        <v>72</v>
      </c>
      <c r="O61" s="48" t="s">
        <v>71</v>
      </c>
      <c r="P61" s="48" t="s">
        <v>71</v>
      </c>
      <c r="Q61" s="47" t="s">
        <v>72</v>
      </c>
      <c r="R61" s="48" t="s">
        <v>71</v>
      </c>
      <c r="S61" s="178" t="s">
        <v>71</v>
      </c>
      <c r="T61" s="258"/>
      <c r="U61" s="49"/>
      <c r="V61" s="251"/>
      <c r="W61" s="180"/>
      <c r="X61" s="179"/>
    </row>
    <row r="62" spans="2:24" ht="66" x14ac:dyDescent="0.4">
      <c r="B62" s="184"/>
      <c r="C62" s="183"/>
      <c r="D62" s="187"/>
      <c r="E62" s="188">
        <f t="shared" si="0"/>
        <v>59</v>
      </c>
      <c r="F62" s="174"/>
      <c r="G62" s="175"/>
      <c r="H62" s="175" t="s">
        <v>803</v>
      </c>
      <c r="I62" s="176" t="s">
        <v>838</v>
      </c>
      <c r="J62" s="177" t="s">
        <v>813</v>
      </c>
      <c r="K62" s="47" t="s">
        <v>72</v>
      </c>
      <c r="L62" s="48" t="s">
        <v>71</v>
      </c>
      <c r="M62" s="48" t="s">
        <v>71</v>
      </c>
      <c r="N62" s="47" t="s">
        <v>72</v>
      </c>
      <c r="O62" s="47" t="s">
        <v>72</v>
      </c>
      <c r="P62" s="47" t="s">
        <v>72</v>
      </c>
      <c r="Q62" s="47" t="s">
        <v>72</v>
      </c>
      <c r="R62" s="48" t="s">
        <v>71</v>
      </c>
      <c r="S62" s="178" t="s">
        <v>71</v>
      </c>
      <c r="T62" s="258"/>
      <c r="U62" s="49"/>
      <c r="V62" s="251"/>
      <c r="W62" s="180"/>
      <c r="X62" s="179"/>
    </row>
    <row r="63" spans="2:24" ht="79.2" x14ac:dyDescent="0.4">
      <c r="B63" s="189" t="s">
        <v>850</v>
      </c>
      <c r="C63" s="190" t="s">
        <v>797</v>
      </c>
      <c r="D63" s="190" t="s">
        <v>798</v>
      </c>
      <c r="E63" s="252">
        <f>ROW()-3</f>
        <v>60</v>
      </c>
      <c r="F63" s="253" t="s">
        <v>851</v>
      </c>
      <c r="G63" s="254" t="s">
        <v>800</v>
      </c>
      <c r="H63" s="254" t="s">
        <v>801</v>
      </c>
      <c r="I63" s="255"/>
      <c r="J63" s="256" t="s">
        <v>835</v>
      </c>
      <c r="K63" s="47" t="s">
        <v>72</v>
      </c>
      <c r="L63" s="48" t="s">
        <v>71</v>
      </c>
      <c r="M63" s="48" t="s">
        <v>71</v>
      </c>
      <c r="N63" s="47" t="s">
        <v>72</v>
      </c>
      <c r="O63" s="48" t="s">
        <v>71</v>
      </c>
      <c r="P63" s="48" t="s">
        <v>71</v>
      </c>
      <c r="Q63" s="47" t="s">
        <v>72</v>
      </c>
      <c r="R63" s="58" t="s">
        <v>71</v>
      </c>
      <c r="S63" s="257" t="s">
        <v>71</v>
      </c>
      <c r="T63" s="258"/>
      <c r="U63" s="49"/>
      <c r="V63" s="251"/>
      <c r="W63" s="180"/>
      <c r="X63" s="261"/>
    </row>
    <row r="64" spans="2:24" ht="79.2" x14ac:dyDescent="0.4">
      <c r="B64" s="184"/>
      <c r="C64" s="183"/>
      <c r="D64" s="187"/>
      <c r="E64" s="188">
        <f t="shared" si="0"/>
        <v>61</v>
      </c>
      <c r="F64" s="174"/>
      <c r="G64" s="175"/>
      <c r="H64" s="175" t="s">
        <v>803</v>
      </c>
      <c r="I64" s="176" t="s">
        <v>804</v>
      </c>
      <c r="J64" s="177" t="s">
        <v>805</v>
      </c>
      <c r="K64" s="47" t="s">
        <v>72</v>
      </c>
      <c r="L64" s="48" t="s">
        <v>71</v>
      </c>
      <c r="M64" s="48" t="s">
        <v>71</v>
      </c>
      <c r="N64" s="47" t="s">
        <v>72</v>
      </c>
      <c r="O64" s="48" t="s">
        <v>71</v>
      </c>
      <c r="P64" s="48" t="s">
        <v>71</v>
      </c>
      <c r="Q64" s="47" t="s">
        <v>72</v>
      </c>
      <c r="R64" s="48" t="s">
        <v>71</v>
      </c>
      <c r="S64" s="178" t="s">
        <v>71</v>
      </c>
      <c r="T64" s="258"/>
      <c r="U64" s="49"/>
      <c r="V64" s="251"/>
      <c r="W64" s="180"/>
      <c r="X64" s="179"/>
    </row>
    <row r="65" spans="2:24" ht="79.2" x14ac:dyDescent="0.4">
      <c r="B65" s="184"/>
      <c r="C65" s="183"/>
      <c r="D65" s="187"/>
      <c r="E65" s="188">
        <f t="shared" si="0"/>
        <v>62</v>
      </c>
      <c r="F65" s="174"/>
      <c r="G65" s="175"/>
      <c r="H65" s="175" t="s">
        <v>803</v>
      </c>
      <c r="I65" s="176" t="s">
        <v>806</v>
      </c>
      <c r="J65" s="256" t="s">
        <v>835</v>
      </c>
      <c r="K65" s="47" t="s">
        <v>72</v>
      </c>
      <c r="L65" s="48" t="s">
        <v>71</v>
      </c>
      <c r="M65" s="48" t="s">
        <v>71</v>
      </c>
      <c r="N65" s="47" t="s">
        <v>72</v>
      </c>
      <c r="O65" s="48" t="s">
        <v>71</v>
      </c>
      <c r="P65" s="48" t="s">
        <v>71</v>
      </c>
      <c r="Q65" s="47" t="s">
        <v>72</v>
      </c>
      <c r="R65" s="48" t="s">
        <v>71</v>
      </c>
      <c r="S65" s="178" t="s">
        <v>71</v>
      </c>
      <c r="T65" s="258"/>
      <c r="U65" s="49"/>
      <c r="V65" s="251"/>
      <c r="W65" s="180"/>
      <c r="X65" s="179"/>
    </row>
    <row r="66" spans="2:24" ht="52.8" x14ac:dyDescent="0.4">
      <c r="B66" s="184"/>
      <c r="C66" s="183"/>
      <c r="D66" s="187"/>
      <c r="E66" s="188">
        <f t="shared" si="0"/>
        <v>63</v>
      </c>
      <c r="F66" s="174"/>
      <c r="G66" s="175"/>
      <c r="H66" s="175" t="s">
        <v>801</v>
      </c>
      <c r="I66" s="176" t="s">
        <v>852</v>
      </c>
      <c r="J66" s="177" t="s">
        <v>809</v>
      </c>
      <c r="K66" s="47" t="s">
        <v>72</v>
      </c>
      <c r="L66" s="48" t="s">
        <v>71</v>
      </c>
      <c r="M66" s="48" t="s">
        <v>71</v>
      </c>
      <c r="N66" s="47" t="s">
        <v>72</v>
      </c>
      <c r="O66" s="48" t="s">
        <v>71</v>
      </c>
      <c r="P66" s="48" t="s">
        <v>71</v>
      </c>
      <c r="Q66" s="47" t="s">
        <v>72</v>
      </c>
      <c r="R66" s="48" t="s">
        <v>71</v>
      </c>
      <c r="S66" s="178" t="s">
        <v>71</v>
      </c>
      <c r="T66" s="258"/>
      <c r="U66" s="49"/>
      <c r="V66" s="251"/>
      <c r="W66" s="180"/>
      <c r="X66" s="179"/>
    </row>
    <row r="67" spans="2:24" ht="92.4" x14ac:dyDescent="0.4">
      <c r="B67" s="184"/>
      <c r="C67" s="183"/>
      <c r="D67" s="187"/>
      <c r="E67" s="188">
        <f t="shared" si="0"/>
        <v>64</v>
      </c>
      <c r="F67" s="174"/>
      <c r="G67" s="175"/>
      <c r="H67" s="175" t="s">
        <v>801</v>
      </c>
      <c r="I67" s="176" t="s">
        <v>810</v>
      </c>
      <c r="J67" s="177" t="s">
        <v>825</v>
      </c>
      <c r="K67" s="47" t="s">
        <v>72</v>
      </c>
      <c r="L67" s="48" t="s">
        <v>71</v>
      </c>
      <c r="M67" s="48" t="s">
        <v>71</v>
      </c>
      <c r="N67" s="47" t="s">
        <v>72</v>
      </c>
      <c r="O67" s="48" t="s">
        <v>71</v>
      </c>
      <c r="P67" s="48" t="s">
        <v>71</v>
      </c>
      <c r="Q67" s="47" t="s">
        <v>72</v>
      </c>
      <c r="R67" s="48" t="s">
        <v>71</v>
      </c>
      <c r="S67" s="178" t="s">
        <v>71</v>
      </c>
      <c r="T67" s="258"/>
      <c r="U67" s="49"/>
      <c r="V67" s="251"/>
      <c r="W67" s="180"/>
      <c r="X67" s="179"/>
    </row>
    <row r="68" spans="2:24" ht="66" x14ac:dyDescent="0.4">
      <c r="B68" s="184"/>
      <c r="C68" s="183"/>
      <c r="D68" s="187"/>
      <c r="E68" s="188">
        <f t="shared" si="0"/>
        <v>65</v>
      </c>
      <c r="F68" s="174"/>
      <c r="G68" s="175"/>
      <c r="H68" s="175" t="s">
        <v>803</v>
      </c>
      <c r="I68" s="176" t="s">
        <v>812</v>
      </c>
      <c r="J68" s="177" t="s">
        <v>813</v>
      </c>
      <c r="K68" s="47" t="s">
        <v>72</v>
      </c>
      <c r="L68" s="48" t="s">
        <v>71</v>
      </c>
      <c r="M68" s="48" t="s">
        <v>71</v>
      </c>
      <c r="N68" s="47" t="s">
        <v>72</v>
      </c>
      <c r="O68" s="47" t="s">
        <v>72</v>
      </c>
      <c r="P68" s="47" t="s">
        <v>72</v>
      </c>
      <c r="Q68" s="47" t="s">
        <v>72</v>
      </c>
      <c r="R68" s="48" t="s">
        <v>71</v>
      </c>
      <c r="S68" s="178" t="s">
        <v>71</v>
      </c>
      <c r="T68" s="258"/>
      <c r="U68" s="49"/>
      <c r="V68" s="251"/>
      <c r="W68" s="180"/>
      <c r="X68" s="179"/>
    </row>
    <row r="69" spans="2:24" ht="66" x14ac:dyDescent="0.4">
      <c r="B69" s="184"/>
      <c r="C69" s="183"/>
      <c r="D69" s="187"/>
      <c r="E69" s="188">
        <f t="shared" si="0"/>
        <v>66</v>
      </c>
      <c r="F69" s="174"/>
      <c r="G69" s="175"/>
      <c r="H69" s="175" t="s">
        <v>803</v>
      </c>
      <c r="I69" s="176" t="s">
        <v>814</v>
      </c>
      <c r="J69" s="177" t="s">
        <v>815</v>
      </c>
      <c r="K69" s="47" t="s">
        <v>72</v>
      </c>
      <c r="L69" s="48" t="s">
        <v>71</v>
      </c>
      <c r="M69" s="48" t="s">
        <v>71</v>
      </c>
      <c r="N69" s="47" t="s">
        <v>72</v>
      </c>
      <c r="O69" s="47" t="s">
        <v>72</v>
      </c>
      <c r="P69" s="47" t="s">
        <v>72</v>
      </c>
      <c r="Q69" s="47" t="s">
        <v>72</v>
      </c>
      <c r="R69" s="48" t="s">
        <v>71</v>
      </c>
      <c r="S69" s="178" t="s">
        <v>71</v>
      </c>
      <c r="T69" s="258"/>
      <c r="U69" s="49"/>
      <c r="V69" s="251"/>
      <c r="W69" s="180"/>
      <c r="X69" s="179"/>
    </row>
    <row r="70" spans="2:24" ht="52.8" x14ac:dyDescent="0.4">
      <c r="B70" s="184"/>
      <c r="C70" s="183"/>
      <c r="D70" s="187"/>
      <c r="E70" s="188">
        <f t="shared" si="0"/>
        <v>67</v>
      </c>
      <c r="F70" s="174"/>
      <c r="G70" s="175"/>
      <c r="H70" s="175" t="s">
        <v>801</v>
      </c>
      <c r="I70" s="176" t="s">
        <v>816</v>
      </c>
      <c r="J70" s="177" t="s">
        <v>817</v>
      </c>
      <c r="K70" s="47" t="s">
        <v>72</v>
      </c>
      <c r="L70" s="48" t="s">
        <v>71</v>
      </c>
      <c r="M70" s="48" t="s">
        <v>71</v>
      </c>
      <c r="N70" s="47" t="s">
        <v>72</v>
      </c>
      <c r="O70" s="48" t="s">
        <v>71</v>
      </c>
      <c r="P70" s="48" t="s">
        <v>71</v>
      </c>
      <c r="Q70" s="47" t="s">
        <v>72</v>
      </c>
      <c r="R70" s="48" t="s">
        <v>71</v>
      </c>
      <c r="S70" s="178" t="s">
        <v>71</v>
      </c>
      <c r="T70" s="258"/>
      <c r="U70" s="49"/>
      <c r="V70" s="251"/>
      <c r="W70" s="180"/>
      <c r="X70" s="179"/>
    </row>
    <row r="71" spans="2:24" ht="79.2" x14ac:dyDescent="0.4">
      <c r="B71" s="184"/>
      <c r="C71" s="183"/>
      <c r="D71" s="190" t="s">
        <v>826</v>
      </c>
      <c r="E71" s="188">
        <f t="shared" si="0"/>
        <v>68</v>
      </c>
      <c r="F71" s="253" t="s">
        <v>851</v>
      </c>
      <c r="G71" s="254" t="s">
        <v>800</v>
      </c>
      <c r="H71" s="254" t="s">
        <v>801</v>
      </c>
      <c r="I71" s="255"/>
      <c r="J71" s="256" t="s">
        <v>835</v>
      </c>
      <c r="K71" s="47" t="s">
        <v>72</v>
      </c>
      <c r="L71" s="48" t="s">
        <v>71</v>
      </c>
      <c r="M71" s="48" t="s">
        <v>71</v>
      </c>
      <c r="N71" s="47" t="s">
        <v>72</v>
      </c>
      <c r="O71" s="48" t="s">
        <v>71</v>
      </c>
      <c r="P71" s="48" t="s">
        <v>71</v>
      </c>
      <c r="Q71" s="47" t="s">
        <v>72</v>
      </c>
      <c r="R71" s="58" t="s">
        <v>71</v>
      </c>
      <c r="S71" s="257" t="s">
        <v>71</v>
      </c>
      <c r="T71" s="258"/>
      <c r="U71" s="49"/>
      <c r="V71" s="251"/>
      <c r="W71" s="180"/>
      <c r="X71" s="179"/>
    </row>
    <row r="72" spans="2:24" ht="79.2" x14ac:dyDescent="0.4">
      <c r="B72" s="184"/>
      <c r="C72" s="183"/>
      <c r="D72" s="187"/>
      <c r="E72" s="188">
        <f t="shared" si="0"/>
        <v>69</v>
      </c>
      <c r="F72" s="174"/>
      <c r="G72" s="175"/>
      <c r="H72" s="175" t="s">
        <v>803</v>
      </c>
      <c r="I72" s="176" t="s">
        <v>804</v>
      </c>
      <c r="J72" s="177" t="s">
        <v>805</v>
      </c>
      <c r="K72" s="47" t="s">
        <v>72</v>
      </c>
      <c r="L72" s="48" t="s">
        <v>71</v>
      </c>
      <c r="M72" s="48" t="s">
        <v>71</v>
      </c>
      <c r="N72" s="47" t="s">
        <v>72</v>
      </c>
      <c r="O72" s="48" t="s">
        <v>71</v>
      </c>
      <c r="P72" s="48" t="s">
        <v>71</v>
      </c>
      <c r="Q72" s="47" t="s">
        <v>72</v>
      </c>
      <c r="R72" s="48" t="s">
        <v>71</v>
      </c>
      <c r="S72" s="178" t="s">
        <v>71</v>
      </c>
      <c r="T72" s="258"/>
      <c r="U72" s="49"/>
      <c r="V72" s="251"/>
      <c r="W72" s="180"/>
      <c r="X72" s="179"/>
    </row>
    <row r="73" spans="2:24" ht="79.2" x14ac:dyDescent="0.4">
      <c r="B73" s="184"/>
      <c r="C73" s="183"/>
      <c r="D73" s="187"/>
      <c r="E73" s="188">
        <f t="shared" ref="E73:E76" si="1">ROW()-3</f>
        <v>70</v>
      </c>
      <c r="F73" s="174"/>
      <c r="G73" s="175"/>
      <c r="H73" s="175" t="s">
        <v>803</v>
      </c>
      <c r="I73" s="176" t="s">
        <v>806</v>
      </c>
      <c r="J73" s="256" t="s">
        <v>835</v>
      </c>
      <c r="K73" s="47" t="s">
        <v>72</v>
      </c>
      <c r="L73" s="48" t="s">
        <v>71</v>
      </c>
      <c r="M73" s="48" t="s">
        <v>71</v>
      </c>
      <c r="N73" s="47" t="s">
        <v>72</v>
      </c>
      <c r="O73" s="48" t="s">
        <v>71</v>
      </c>
      <c r="P73" s="48" t="s">
        <v>71</v>
      </c>
      <c r="Q73" s="47" t="s">
        <v>72</v>
      </c>
      <c r="R73" s="48" t="s">
        <v>71</v>
      </c>
      <c r="S73" s="178" t="s">
        <v>71</v>
      </c>
      <c r="T73" s="258"/>
      <c r="U73" s="49"/>
      <c r="V73" s="251"/>
      <c r="W73" s="180"/>
      <c r="X73" s="179"/>
    </row>
    <row r="74" spans="2:24" ht="52.8" x14ac:dyDescent="0.4">
      <c r="B74" s="184"/>
      <c r="C74" s="183"/>
      <c r="D74" s="187"/>
      <c r="E74" s="188">
        <f t="shared" si="1"/>
        <v>71</v>
      </c>
      <c r="F74" s="174"/>
      <c r="G74" s="175"/>
      <c r="H74" s="175" t="s">
        <v>801</v>
      </c>
      <c r="I74" s="176" t="s">
        <v>836</v>
      </c>
      <c r="J74" s="177" t="s">
        <v>828</v>
      </c>
      <c r="K74" s="47" t="s">
        <v>72</v>
      </c>
      <c r="L74" s="48" t="s">
        <v>71</v>
      </c>
      <c r="M74" s="48" t="s">
        <v>71</v>
      </c>
      <c r="N74" s="47" t="s">
        <v>72</v>
      </c>
      <c r="O74" s="48" t="s">
        <v>71</v>
      </c>
      <c r="P74" s="48" t="s">
        <v>71</v>
      </c>
      <c r="Q74" s="47" t="s">
        <v>72</v>
      </c>
      <c r="R74" s="48" t="s">
        <v>71</v>
      </c>
      <c r="S74" s="178" t="s">
        <v>71</v>
      </c>
      <c r="T74" s="258"/>
      <c r="U74" s="49"/>
      <c r="V74" s="251"/>
      <c r="W74" s="180"/>
      <c r="X74" s="179"/>
    </row>
    <row r="75" spans="2:24" ht="92.4" x14ac:dyDescent="0.4">
      <c r="B75" s="184"/>
      <c r="C75" s="183"/>
      <c r="D75" s="187"/>
      <c r="E75" s="188">
        <f t="shared" si="1"/>
        <v>72</v>
      </c>
      <c r="F75" s="174"/>
      <c r="G75" s="175"/>
      <c r="H75" s="175" t="s">
        <v>801</v>
      </c>
      <c r="I75" s="176" t="s">
        <v>849</v>
      </c>
      <c r="J75" s="177" t="s">
        <v>825</v>
      </c>
      <c r="K75" s="47" t="s">
        <v>72</v>
      </c>
      <c r="L75" s="48" t="s">
        <v>71</v>
      </c>
      <c r="M75" s="48" t="s">
        <v>71</v>
      </c>
      <c r="N75" s="47" t="s">
        <v>72</v>
      </c>
      <c r="O75" s="48" t="s">
        <v>71</v>
      </c>
      <c r="P75" s="48" t="s">
        <v>71</v>
      </c>
      <c r="Q75" s="47" t="s">
        <v>72</v>
      </c>
      <c r="R75" s="48" t="s">
        <v>71</v>
      </c>
      <c r="S75" s="178" t="s">
        <v>71</v>
      </c>
      <c r="T75" s="258"/>
      <c r="U75" s="49"/>
      <c r="V75" s="251"/>
      <c r="W75" s="180"/>
      <c r="X75" s="179"/>
    </row>
    <row r="76" spans="2:24" ht="66" x14ac:dyDescent="0.4">
      <c r="B76" s="184"/>
      <c r="C76" s="183"/>
      <c r="D76" s="187"/>
      <c r="E76" s="188">
        <f t="shared" si="1"/>
        <v>73</v>
      </c>
      <c r="F76" s="174"/>
      <c r="G76" s="175"/>
      <c r="H76" s="175" t="s">
        <v>803</v>
      </c>
      <c r="I76" s="176" t="s">
        <v>838</v>
      </c>
      <c r="J76" s="177" t="s">
        <v>813</v>
      </c>
      <c r="K76" s="47" t="s">
        <v>72</v>
      </c>
      <c r="L76" s="48" t="s">
        <v>71</v>
      </c>
      <c r="M76" s="48" t="s">
        <v>71</v>
      </c>
      <c r="N76" s="47" t="s">
        <v>72</v>
      </c>
      <c r="O76" s="47" t="s">
        <v>72</v>
      </c>
      <c r="P76" s="47" t="s">
        <v>72</v>
      </c>
      <c r="Q76" s="47" t="s">
        <v>72</v>
      </c>
      <c r="R76" s="48" t="s">
        <v>71</v>
      </c>
      <c r="S76" s="178" t="s">
        <v>71</v>
      </c>
      <c r="T76" s="258"/>
      <c r="U76" s="49"/>
      <c r="V76" s="251"/>
      <c r="W76" s="180"/>
      <c r="X76" s="179"/>
    </row>
    <row r="77" spans="2:24" ht="79.2" x14ac:dyDescent="0.4">
      <c r="B77" s="184"/>
      <c r="C77" s="190" t="s">
        <v>839</v>
      </c>
      <c r="D77" s="190" t="s">
        <v>798</v>
      </c>
      <c r="E77" s="252">
        <f>ROW()-3</f>
        <v>74</v>
      </c>
      <c r="F77" s="253" t="s">
        <v>851</v>
      </c>
      <c r="G77" s="254" t="s">
        <v>840</v>
      </c>
      <c r="H77" s="254" t="s">
        <v>801</v>
      </c>
      <c r="I77" s="255"/>
      <c r="J77" s="256" t="s">
        <v>835</v>
      </c>
      <c r="K77" s="47" t="s">
        <v>72</v>
      </c>
      <c r="L77" s="48" t="s">
        <v>71</v>
      </c>
      <c r="M77" s="48" t="s">
        <v>71</v>
      </c>
      <c r="N77" s="47" t="s">
        <v>72</v>
      </c>
      <c r="O77" s="48" t="s">
        <v>71</v>
      </c>
      <c r="P77" s="48" t="s">
        <v>71</v>
      </c>
      <c r="Q77" s="47" t="s">
        <v>72</v>
      </c>
      <c r="R77" s="58" t="s">
        <v>71</v>
      </c>
      <c r="S77" s="257" t="s">
        <v>71</v>
      </c>
      <c r="T77" s="258"/>
      <c r="U77" s="49"/>
      <c r="V77" s="251"/>
      <c r="W77" s="180"/>
      <c r="X77" s="261"/>
    </row>
    <row r="78" spans="2:24" ht="79.2" x14ac:dyDescent="0.4">
      <c r="B78" s="184"/>
      <c r="C78" s="183"/>
      <c r="D78" s="187"/>
      <c r="E78" s="188">
        <f t="shared" ref="E78:E92" si="2">ROW()-3</f>
        <v>75</v>
      </c>
      <c r="F78" s="174"/>
      <c r="G78" s="175"/>
      <c r="H78" s="175" t="s">
        <v>803</v>
      </c>
      <c r="I78" s="176" t="s">
        <v>804</v>
      </c>
      <c r="J78" s="177" t="s">
        <v>805</v>
      </c>
      <c r="K78" s="47" t="s">
        <v>72</v>
      </c>
      <c r="L78" s="48" t="s">
        <v>71</v>
      </c>
      <c r="M78" s="48" t="s">
        <v>71</v>
      </c>
      <c r="N78" s="47" t="s">
        <v>72</v>
      </c>
      <c r="O78" s="48" t="s">
        <v>71</v>
      </c>
      <c r="P78" s="48" t="s">
        <v>71</v>
      </c>
      <c r="Q78" s="47" t="s">
        <v>72</v>
      </c>
      <c r="R78" s="48" t="s">
        <v>71</v>
      </c>
      <c r="S78" s="178" t="s">
        <v>71</v>
      </c>
      <c r="T78" s="258"/>
      <c r="U78" s="49"/>
      <c r="V78" s="251"/>
      <c r="W78" s="180"/>
      <c r="X78" s="179"/>
    </row>
    <row r="79" spans="2:24" ht="79.2" x14ac:dyDescent="0.4">
      <c r="B79" s="184"/>
      <c r="C79" s="183"/>
      <c r="D79" s="187"/>
      <c r="E79" s="188">
        <f t="shared" si="2"/>
        <v>76</v>
      </c>
      <c r="F79" s="174"/>
      <c r="G79" s="175"/>
      <c r="H79" s="175" t="s">
        <v>803</v>
      </c>
      <c r="I79" s="176" t="s">
        <v>806</v>
      </c>
      <c r="J79" s="256" t="s">
        <v>835</v>
      </c>
      <c r="K79" s="47" t="s">
        <v>72</v>
      </c>
      <c r="L79" s="48" t="s">
        <v>71</v>
      </c>
      <c r="M79" s="48" t="s">
        <v>71</v>
      </c>
      <c r="N79" s="47" t="s">
        <v>72</v>
      </c>
      <c r="O79" s="48" t="s">
        <v>71</v>
      </c>
      <c r="P79" s="48" t="s">
        <v>71</v>
      </c>
      <c r="Q79" s="47" t="s">
        <v>72</v>
      </c>
      <c r="R79" s="48" t="s">
        <v>71</v>
      </c>
      <c r="S79" s="178" t="s">
        <v>71</v>
      </c>
      <c r="T79" s="258"/>
      <c r="U79" s="49"/>
      <c r="V79" s="251"/>
      <c r="W79" s="180"/>
      <c r="X79" s="179"/>
    </row>
    <row r="80" spans="2:24" ht="52.8" x14ac:dyDescent="0.4">
      <c r="B80" s="184"/>
      <c r="C80" s="183"/>
      <c r="D80" s="187"/>
      <c r="E80" s="188">
        <f t="shared" si="2"/>
        <v>77</v>
      </c>
      <c r="F80" s="174"/>
      <c r="G80" s="175"/>
      <c r="H80" s="175" t="s">
        <v>801</v>
      </c>
      <c r="I80" s="176" t="s">
        <v>852</v>
      </c>
      <c r="J80" s="177" t="s">
        <v>809</v>
      </c>
      <c r="K80" s="47" t="s">
        <v>72</v>
      </c>
      <c r="L80" s="48" t="s">
        <v>71</v>
      </c>
      <c r="M80" s="48" t="s">
        <v>71</v>
      </c>
      <c r="N80" s="47" t="s">
        <v>72</v>
      </c>
      <c r="O80" s="48" t="s">
        <v>71</v>
      </c>
      <c r="P80" s="48" t="s">
        <v>71</v>
      </c>
      <c r="Q80" s="47" t="s">
        <v>72</v>
      </c>
      <c r="R80" s="48" t="s">
        <v>71</v>
      </c>
      <c r="S80" s="178" t="s">
        <v>71</v>
      </c>
      <c r="T80" s="258"/>
      <c r="U80" s="49"/>
      <c r="V80" s="251"/>
      <c r="W80" s="180"/>
      <c r="X80" s="179"/>
    </row>
    <row r="81" spans="2:24" ht="52.8" x14ac:dyDescent="0.4">
      <c r="B81" s="184"/>
      <c r="C81" s="183"/>
      <c r="D81" s="187"/>
      <c r="E81" s="188">
        <f t="shared" si="2"/>
        <v>78</v>
      </c>
      <c r="F81" s="174"/>
      <c r="G81" s="175"/>
      <c r="H81" s="175" t="s">
        <v>801</v>
      </c>
      <c r="I81" s="176"/>
      <c r="J81" s="177" t="s">
        <v>842</v>
      </c>
      <c r="K81" s="47" t="s">
        <v>72</v>
      </c>
      <c r="L81" s="48" t="s">
        <v>71</v>
      </c>
      <c r="M81" s="48" t="s">
        <v>71</v>
      </c>
      <c r="N81" s="47" t="s">
        <v>72</v>
      </c>
      <c r="O81" s="48" t="s">
        <v>71</v>
      </c>
      <c r="P81" s="48" t="s">
        <v>71</v>
      </c>
      <c r="Q81" s="47" t="s">
        <v>72</v>
      </c>
      <c r="R81" s="48" t="s">
        <v>71</v>
      </c>
      <c r="S81" s="178" t="s">
        <v>71</v>
      </c>
      <c r="T81" s="258"/>
      <c r="U81" s="49"/>
      <c r="V81" s="251"/>
      <c r="W81" s="180"/>
      <c r="X81" s="179"/>
    </row>
    <row r="82" spans="2:24" ht="92.4" x14ac:dyDescent="0.4">
      <c r="B82" s="184"/>
      <c r="C82" s="183"/>
      <c r="D82" s="187"/>
      <c r="E82" s="188">
        <f t="shared" si="2"/>
        <v>79</v>
      </c>
      <c r="F82" s="174"/>
      <c r="G82" s="175"/>
      <c r="H82" s="175" t="s">
        <v>801</v>
      </c>
      <c r="I82" s="176" t="s">
        <v>810</v>
      </c>
      <c r="J82" s="177" t="s">
        <v>825</v>
      </c>
      <c r="K82" s="47" t="s">
        <v>72</v>
      </c>
      <c r="L82" s="48" t="s">
        <v>71</v>
      </c>
      <c r="M82" s="48" t="s">
        <v>71</v>
      </c>
      <c r="N82" s="47" t="s">
        <v>72</v>
      </c>
      <c r="O82" s="48" t="s">
        <v>71</v>
      </c>
      <c r="P82" s="48" t="s">
        <v>71</v>
      </c>
      <c r="Q82" s="47" t="s">
        <v>72</v>
      </c>
      <c r="R82" s="48" t="s">
        <v>71</v>
      </c>
      <c r="S82" s="178" t="s">
        <v>71</v>
      </c>
      <c r="T82" s="258"/>
      <c r="U82" s="49"/>
      <c r="V82" s="251"/>
      <c r="W82" s="180"/>
      <c r="X82" s="179"/>
    </row>
    <row r="83" spans="2:24" ht="66" x14ac:dyDescent="0.4">
      <c r="B83" s="184"/>
      <c r="C83" s="183"/>
      <c r="D83" s="187"/>
      <c r="E83" s="188">
        <f t="shared" si="2"/>
        <v>80</v>
      </c>
      <c r="F83" s="174"/>
      <c r="G83" s="175"/>
      <c r="H83" s="175" t="s">
        <v>803</v>
      </c>
      <c r="I83" s="176" t="s">
        <v>812</v>
      </c>
      <c r="J83" s="177" t="s">
        <v>813</v>
      </c>
      <c r="K83" s="47" t="s">
        <v>72</v>
      </c>
      <c r="L83" s="48" t="s">
        <v>71</v>
      </c>
      <c r="M83" s="48" t="s">
        <v>71</v>
      </c>
      <c r="N83" s="47" t="s">
        <v>72</v>
      </c>
      <c r="O83" s="47" t="s">
        <v>72</v>
      </c>
      <c r="P83" s="47" t="s">
        <v>72</v>
      </c>
      <c r="Q83" s="47" t="s">
        <v>72</v>
      </c>
      <c r="R83" s="48" t="s">
        <v>71</v>
      </c>
      <c r="S83" s="178" t="s">
        <v>71</v>
      </c>
      <c r="T83" s="258"/>
      <c r="U83" s="49"/>
      <c r="V83" s="251"/>
      <c r="W83" s="180"/>
      <c r="X83" s="179"/>
    </row>
    <row r="84" spans="2:24" ht="66" x14ac:dyDescent="0.4">
      <c r="B84" s="184"/>
      <c r="C84" s="183"/>
      <c r="D84" s="187"/>
      <c r="E84" s="188">
        <f t="shared" si="2"/>
        <v>81</v>
      </c>
      <c r="F84" s="174"/>
      <c r="G84" s="175"/>
      <c r="H84" s="175" t="s">
        <v>803</v>
      </c>
      <c r="I84" s="176" t="s">
        <v>814</v>
      </c>
      <c r="J84" s="177" t="s">
        <v>815</v>
      </c>
      <c r="K84" s="47" t="s">
        <v>72</v>
      </c>
      <c r="L84" s="48" t="s">
        <v>71</v>
      </c>
      <c r="M84" s="48" t="s">
        <v>71</v>
      </c>
      <c r="N84" s="47" t="s">
        <v>72</v>
      </c>
      <c r="O84" s="47" t="s">
        <v>72</v>
      </c>
      <c r="P84" s="47" t="s">
        <v>72</v>
      </c>
      <c r="Q84" s="47" t="s">
        <v>72</v>
      </c>
      <c r="R84" s="48" t="s">
        <v>71</v>
      </c>
      <c r="S84" s="178" t="s">
        <v>71</v>
      </c>
      <c r="T84" s="258"/>
      <c r="U84" s="49"/>
      <c r="V84" s="251"/>
      <c r="W84" s="180"/>
      <c r="X84" s="179"/>
    </row>
    <row r="85" spans="2:24" ht="52.8" x14ac:dyDescent="0.4">
      <c r="B85" s="184"/>
      <c r="C85" s="183"/>
      <c r="D85" s="187"/>
      <c r="E85" s="188">
        <f t="shared" si="2"/>
        <v>82</v>
      </c>
      <c r="F85" s="174"/>
      <c r="G85" s="175"/>
      <c r="H85" s="175" t="s">
        <v>801</v>
      </c>
      <c r="I85" s="176" t="s">
        <v>816</v>
      </c>
      <c r="J85" s="177" t="s">
        <v>817</v>
      </c>
      <c r="K85" s="47" t="s">
        <v>72</v>
      </c>
      <c r="L85" s="48" t="s">
        <v>71</v>
      </c>
      <c r="M85" s="48" t="s">
        <v>71</v>
      </c>
      <c r="N85" s="47" t="s">
        <v>72</v>
      </c>
      <c r="O85" s="48" t="s">
        <v>71</v>
      </c>
      <c r="P85" s="48" t="s">
        <v>71</v>
      </c>
      <c r="Q85" s="47" t="s">
        <v>72</v>
      </c>
      <c r="R85" s="48" t="s">
        <v>71</v>
      </c>
      <c r="S85" s="178" t="s">
        <v>71</v>
      </c>
      <c r="T85" s="258"/>
      <c r="U85" s="49"/>
      <c r="V85" s="251"/>
      <c r="W85" s="180"/>
      <c r="X85" s="179"/>
    </row>
    <row r="86" spans="2:24" ht="79.2" x14ac:dyDescent="0.4">
      <c r="B86" s="184"/>
      <c r="C86" s="183"/>
      <c r="D86" s="190" t="s">
        <v>826</v>
      </c>
      <c r="E86" s="188">
        <f t="shared" si="2"/>
        <v>83</v>
      </c>
      <c r="F86" s="253" t="s">
        <v>851</v>
      </c>
      <c r="G86" s="254" t="s">
        <v>847</v>
      </c>
      <c r="H86" s="254" t="s">
        <v>801</v>
      </c>
      <c r="I86" s="255"/>
      <c r="J86" s="256" t="s">
        <v>835</v>
      </c>
      <c r="K86" s="47" t="s">
        <v>72</v>
      </c>
      <c r="L86" s="48" t="s">
        <v>71</v>
      </c>
      <c r="M86" s="48" t="s">
        <v>71</v>
      </c>
      <c r="N86" s="47" t="s">
        <v>72</v>
      </c>
      <c r="O86" s="48" t="s">
        <v>71</v>
      </c>
      <c r="P86" s="48" t="s">
        <v>71</v>
      </c>
      <c r="Q86" s="47" t="s">
        <v>72</v>
      </c>
      <c r="R86" s="58" t="s">
        <v>71</v>
      </c>
      <c r="S86" s="257" t="s">
        <v>71</v>
      </c>
      <c r="T86" s="258"/>
      <c r="U86" s="49"/>
      <c r="V86" s="251"/>
      <c r="W86" s="180"/>
      <c r="X86" s="179"/>
    </row>
    <row r="87" spans="2:24" ht="79.2" x14ac:dyDescent="0.4">
      <c r="B87" s="184"/>
      <c r="C87" s="183"/>
      <c r="D87" s="187"/>
      <c r="E87" s="188">
        <f t="shared" si="2"/>
        <v>84</v>
      </c>
      <c r="F87" s="174"/>
      <c r="G87" s="175"/>
      <c r="H87" s="175" t="s">
        <v>803</v>
      </c>
      <c r="I87" s="176" t="s">
        <v>804</v>
      </c>
      <c r="J87" s="177" t="s">
        <v>805</v>
      </c>
      <c r="K87" s="47" t="s">
        <v>72</v>
      </c>
      <c r="L87" s="48" t="s">
        <v>71</v>
      </c>
      <c r="M87" s="48" t="s">
        <v>71</v>
      </c>
      <c r="N87" s="47" t="s">
        <v>72</v>
      </c>
      <c r="O87" s="48" t="s">
        <v>71</v>
      </c>
      <c r="P87" s="48" t="s">
        <v>71</v>
      </c>
      <c r="Q87" s="47" t="s">
        <v>72</v>
      </c>
      <c r="R87" s="48" t="s">
        <v>71</v>
      </c>
      <c r="S87" s="178" t="s">
        <v>71</v>
      </c>
      <c r="T87" s="258"/>
      <c r="U87" s="49"/>
      <c r="V87" s="251"/>
      <c r="W87" s="180"/>
      <c r="X87" s="179"/>
    </row>
    <row r="88" spans="2:24" ht="79.2" x14ac:dyDescent="0.4">
      <c r="B88" s="184"/>
      <c r="C88" s="183"/>
      <c r="D88" s="187"/>
      <c r="E88" s="188">
        <f t="shared" si="2"/>
        <v>85</v>
      </c>
      <c r="F88" s="174"/>
      <c r="G88" s="175"/>
      <c r="H88" s="175" t="s">
        <v>803</v>
      </c>
      <c r="I88" s="176" t="s">
        <v>806</v>
      </c>
      <c r="J88" s="256" t="s">
        <v>835</v>
      </c>
      <c r="K88" s="47" t="s">
        <v>72</v>
      </c>
      <c r="L88" s="48" t="s">
        <v>71</v>
      </c>
      <c r="M88" s="48" t="s">
        <v>71</v>
      </c>
      <c r="N88" s="47" t="s">
        <v>72</v>
      </c>
      <c r="O88" s="48" t="s">
        <v>71</v>
      </c>
      <c r="P88" s="48" t="s">
        <v>71</v>
      </c>
      <c r="Q88" s="47" t="s">
        <v>72</v>
      </c>
      <c r="R88" s="48" t="s">
        <v>71</v>
      </c>
      <c r="S88" s="178" t="s">
        <v>71</v>
      </c>
      <c r="T88" s="258"/>
      <c r="U88" s="49"/>
      <c r="V88" s="251"/>
      <c r="W88" s="180"/>
      <c r="X88" s="179"/>
    </row>
    <row r="89" spans="2:24" ht="52.8" x14ac:dyDescent="0.4">
      <c r="B89" s="184"/>
      <c r="C89" s="183"/>
      <c r="D89" s="187"/>
      <c r="E89" s="188">
        <f t="shared" si="2"/>
        <v>86</v>
      </c>
      <c r="F89" s="334"/>
      <c r="G89" s="175"/>
      <c r="H89" s="175" t="s">
        <v>801</v>
      </c>
      <c r="I89" s="176" t="s">
        <v>836</v>
      </c>
      <c r="J89" s="177" t="s">
        <v>828</v>
      </c>
      <c r="K89" s="47" t="s">
        <v>72</v>
      </c>
      <c r="L89" s="48" t="s">
        <v>71</v>
      </c>
      <c r="M89" s="48" t="s">
        <v>71</v>
      </c>
      <c r="N89" s="47" t="s">
        <v>72</v>
      </c>
      <c r="O89" s="48" t="s">
        <v>71</v>
      </c>
      <c r="P89" s="48" t="s">
        <v>71</v>
      </c>
      <c r="Q89" s="47" t="s">
        <v>72</v>
      </c>
      <c r="R89" s="48" t="s">
        <v>71</v>
      </c>
      <c r="S89" s="178" t="s">
        <v>71</v>
      </c>
      <c r="T89" s="258"/>
      <c r="U89" s="49"/>
      <c r="V89" s="251"/>
      <c r="W89" s="180"/>
      <c r="X89" s="179"/>
    </row>
    <row r="90" spans="2:24" ht="52.8" x14ac:dyDescent="0.4">
      <c r="B90" s="184"/>
      <c r="C90" s="183"/>
      <c r="D90" s="187"/>
      <c r="E90" s="188">
        <f t="shared" si="2"/>
        <v>87</v>
      </c>
      <c r="F90" s="174"/>
      <c r="G90" s="175"/>
      <c r="H90" s="175" t="s">
        <v>801</v>
      </c>
      <c r="I90" s="176"/>
      <c r="J90" s="177" t="s">
        <v>848</v>
      </c>
      <c r="K90" s="47" t="s">
        <v>72</v>
      </c>
      <c r="L90" s="48" t="s">
        <v>71</v>
      </c>
      <c r="M90" s="48" t="s">
        <v>71</v>
      </c>
      <c r="N90" s="47" t="s">
        <v>72</v>
      </c>
      <c r="O90" s="48" t="s">
        <v>71</v>
      </c>
      <c r="P90" s="48" t="s">
        <v>71</v>
      </c>
      <c r="Q90" s="47" t="s">
        <v>72</v>
      </c>
      <c r="R90" s="48" t="s">
        <v>71</v>
      </c>
      <c r="S90" s="178" t="s">
        <v>71</v>
      </c>
      <c r="T90" s="258"/>
      <c r="U90" s="49"/>
      <c r="V90" s="251"/>
      <c r="W90" s="180"/>
      <c r="X90" s="179"/>
    </row>
    <row r="91" spans="2:24" ht="92.4" x14ac:dyDescent="0.4">
      <c r="B91" s="184"/>
      <c r="C91" s="183"/>
      <c r="D91" s="187"/>
      <c r="E91" s="188">
        <f t="shared" si="2"/>
        <v>88</v>
      </c>
      <c r="F91" s="174"/>
      <c r="G91" s="175"/>
      <c r="H91" s="175" t="s">
        <v>801</v>
      </c>
      <c r="I91" s="176" t="s">
        <v>849</v>
      </c>
      <c r="J91" s="177" t="s">
        <v>825</v>
      </c>
      <c r="K91" s="47" t="s">
        <v>72</v>
      </c>
      <c r="L91" s="48" t="s">
        <v>71</v>
      </c>
      <c r="M91" s="48" t="s">
        <v>71</v>
      </c>
      <c r="N91" s="47" t="s">
        <v>72</v>
      </c>
      <c r="O91" s="48" t="s">
        <v>71</v>
      </c>
      <c r="P91" s="48" t="s">
        <v>71</v>
      </c>
      <c r="Q91" s="47" t="s">
        <v>72</v>
      </c>
      <c r="R91" s="48" t="s">
        <v>71</v>
      </c>
      <c r="S91" s="178" t="s">
        <v>71</v>
      </c>
      <c r="T91" s="258"/>
      <c r="U91" s="49"/>
      <c r="V91" s="251"/>
      <c r="W91" s="180"/>
      <c r="X91" s="179"/>
    </row>
    <row r="92" spans="2:24" ht="66" x14ac:dyDescent="0.4">
      <c r="B92" s="184"/>
      <c r="C92" s="183"/>
      <c r="D92" s="187"/>
      <c r="E92" s="188">
        <f t="shared" si="2"/>
        <v>89</v>
      </c>
      <c r="F92" s="174"/>
      <c r="G92" s="175"/>
      <c r="H92" s="175" t="s">
        <v>803</v>
      </c>
      <c r="I92" s="176" t="s">
        <v>838</v>
      </c>
      <c r="J92" s="177" t="s">
        <v>813</v>
      </c>
      <c r="K92" s="47" t="s">
        <v>72</v>
      </c>
      <c r="L92" s="48" t="s">
        <v>71</v>
      </c>
      <c r="M92" s="48" t="s">
        <v>71</v>
      </c>
      <c r="N92" s="47" t="s">
        <v>72</v>
      </c>
      <c r="O92" s="47" t="s">
        <v>72</v>
      </c>
      <c r="P92" s="47" t="s">
        <v>72</v>
      </c>
      <c r="Q92" s="47" t="s">
        <v>72</v>
      </c>
      <c r="R92" s="48" t="s">
        <v>71</v>
      </c>
      <c r="S92" s="178" t="s">
        <v>71</v>
      </c>
      <c r="T92" s="258"/>
      <c r="U92" s="49"/>
      <c r="V92" s="251"/>
      <c r="W92" s="180"/>
      <c r="X92" s="179"/>
    </row>
    <row r="93" spans="2:24" ht="79.2" x14ac:dyDescent="0.4">
      <c r="B93" s="189" t="s">
        <v>853</v>
      </c>
      <c r="C93" s="190" t="s">
        <v>797</v>
      </c>
      <c r="D93" s="190" t="s">
        <v>798</v>
      </c>
      <c r="E93" s="252">
        <f>ROW()-3</f>
        <v>90</v>
      </c>
      <c r="F93" s="253" t="s">
        <v>854</v>
      </c>
      <c r="G93" s="254" t="s">
        <v>800</v>
      </c>
      <c r="H93" s="254" t="s">
        <v>801</v>
      </c>
      <c r="I93" s="255"/>
      <c r="J93" s="256" t="s">
        <v>835</v>
      </c>
      <c r="K93" s="47" t="s">
        <v>72</v>
      </c>
      <c r="L93" s="48" t="s">
        <v>71</v>
      </c>
      <c r="M93" s="48" t="s">
        <v>71</v>
      </c>
      <c r="N93" s="47" t="s">
        <v>72</v>
      </c>
      <c r="O93" s="48" t="s">
        <v>71</v>
      </c>
      <c r="P93" s="48" t="s">
        <v>71</v>
      </c>
      <c r="Q93" s="47" t="s">
        <v>72</v>
      </c>
      <c r="R93" s="58" t="s">
        <v>71</v>
      </c>
      <c r="S93" s="257" t="s">
        <v>71</v>
      </c>
      <c r="T93" s="258"/>
      <c r="U93" s="49"/>
      <c r="V93" s="251"/>
      <c r="W93" s="180"/>
      <c r="X93" s="261"/>
    </row>
    <row r="94" spans="2:24" ht="79.2" x14ac:dyDescent="0.4">
      <c r="B94" s="184"/>
      <c r="C94" s="183"/>
      <c r="D94" s="187"/>
      <c r="E94" s="188">
        <f t="shared" ref="E94:E106" si="3">ROW()-3</f>
        <v>91</v>
      </c>
      <c r="F94" s="174"/>
      <c r="G94" s="175"/>
      <c r="H94" s="175" t="s">
        <v>803</v>
      </c>
      <c r="I94" s="176" t="s">
        <v>804</v>
      </c>
      <c r="J94" s="177" t="s">
        <v>805</v>
      </c>
      <c r="K94" s="47" t="s">
        <v>72</v>
      </c>
      <c r="L94" s="48" t="s">
        <v>71</v>
      </c>
      <c r="M94" s="48" t="s">
        <v>71</v>
      </c>
      <c r="N94" s="47" t="s">
        <v>72</v>
      </c>
      <c r="O94" s="48" t="s">
        <v>71</v>
      </c>
      <c r="P94" s="48" t="s">
        <v>71</v>
      </c>
      <c r="Q94" s="47" t="s">
        <v>72</v>
      </c>
      <c r="R94" s="48" t="s">
        <v>71</v>
      </c>
      <c r="S94" s="178" t="s">
        <v>71</v>
      </c>
      <c r="T94" s="258"/>
      <c r="U94" s="49"/>
      <c r="V94" s="251"/>
      <c r="W94" s="180"/>
      <c r="X94" s="179"/>
    </row>
    <row r="95" spans="2:24" ht="79.2" x14ac:dyDescent="0.4">
      <c r="B95" s="184"/>
      <c r="C95" s="183"/>
      <c r="D95" s="187"/>
      <c r="E95" s="188">
        <f t="shared" si="3"/>
        <v>92</v>
      </c>
      <c r="F95" s="174"/>
      <c r="G95" s="175"/>
      <c r="H95" s="175" t="s">
        <v>803</v>
      </c>
      <c r="I95" s="176" t="s">
        <v>806</v>
      </c>
      <c r="J95" s="256" t="s">
        <v>835</v>
      </c>
      <c r="K95" s="47" t="s">
        <v>72</v>
      </c>
      <c r="L95" s="48" t="s">
        <v>71</v>
      </c>
      <c r="M95" s="48" t="s">
        <v>71</v>
      </c>
      <c r="N95" s="47" t="s">
        <v>72</v>
      </c>
      <c r="O95" s="48" t="s">
        <v>71</v>
      </c>
      <c r="P95" s="48" t="s">
        <v>71</v>
      </c>
      <c r="Q95" s="47" t="s">
        <v>72</v>
      </c>
      <c r="R95" s="48" t="s">
        <v>71</v>
      </c>
      <c r="S95" s="178" t="s">
        <v>71</v>
      </c>
      <c r="T95" s="258"/>
      <c r="U95" s="49"/>
      <c r="V95" s="251"/>
      <c r="W95" s="180"/>
      <c r="X95" s="179"/>
    </row>
    <row r="96" spans="2:24" ht="52.8" x14ac:dyDescent="0.4">
      <c r="B96" s="184"/>
      <c r="C96" s="183"/>
      <c r="D96" s="187"/>
      <c r="E96" s="188">
        <f t="shared" si="3"/>
        <v>93</v>
      </c>
      <c r="F96" s="174"/>
      <c r="G96" s="175"/>
      <c r="H96" s="175" t="s">
        <v>801</v>
      </c>
      <c r="I96" s="176" t="s">
        <v>852</v>
      </c>
      <c r="J96" s="177" t="s">
        <v>809</v>
      </c>
      <c r="K96" s="47" t="s">
        <v>72</v>
      </c>
      <c r="L96" s="48" t="s">
        <v>71</v>
      </c>
      <c r="M96" s="48" t="s">
        <v>71</v>
      </c>
      <c r="N96" s="47" t="s">
        <v>72</v>
      </c>
      <c r="O96" s="48" t="s">
        <v>71</v>
      </c>
      <c r="P96" s="48" t="s">
        <v>71</v>
      </c>
      <c r="Q96" s="47" t="s">
        <v>72</v>
      </c>
      <c r="R96" s="48" t="s">
        <v>71</v>
      </c>
      <c r="S96" s="178" t="s">
        <v>71</v>
      </c>
      <c r="T96" s="258"/>
      <c r="U96" s="49"/>
      <c r="V96" s="251"/>
      <c r="W96" s="180"/>
      <c r="X96" s="179"/>
    </row>
    <row r="97" spans="2:24" ht="92.4" x14ac:dyDescent="0.4">
      <c r="B97" s="184"/>
      <c r="C97" s="183"/>
      <c r="D97" s="187"/>
      <c r="E97" s="188">
        <f t="shared" si="3"/>
        <v>94</v>
      </c>
      <c r="F97" s="174"/>
      <c r="G97" s="175"/>
      <c r="H97" s="175" t="s">
        <v>801</v>
      </c>
      <c r="I97" s="176" t="s">
        <v>810</v>
      </c>
      <c r="J97" s="177" t="s">
        <v>825</v>
      </c>
      <c r="K97" s="47" t="s">
        <v>72</v>
      </c>
      <c r="L97" s="48" t="s">
        <v>71</v>
      </c>
      <c r="M97" s="48" t="s">
        <v>71</v>
      </c>
      <c r="N97" s="47" t="s">
        <v>72</v>
      </c>
      <c r="O97" s="48" t="s">
        <v>71</v>
      </c>
      <c r="P97" s="48" t="s">
        <v>71</v>
      </c>
      <c r="Q97" s="47" t="s">
        <v>72</v>
      </c>
      <c r="R97" s="48" t="s">
        <v>71</v>
      </c>
      <c r="S97" s="178" t="s">
        <v>71</v>
      </c>
      <c r="T97" s="258"/>
      <c r="U97" s="49"/>
      <c r="V97" s="251"/>
      <c r="W97" s="180"/>
      <c r="X97" s="179"/>
    </row>
    <row r="98" spans="2:24" ht="66" x14ac:dyDescent="0.4">
      <c r="B98" s="184"/>
      <c r="C98" s="183"/>
      <c r="D98" s="187"/>
      <c r="E98" s="188">
        <f t="shared" si="3"/>
        <v>95</v>
      </c>
      <c r="F98" s="174"/>
      <c r="G98" s="175"/>
      <c r="H98" s="175" t="s">
        <v>803</v>
      </c>
      <c r="I98" s="176" t="s">
        <v>812</v>
      </c>
      <c r="J98" s="177" t="s">
        <v>813</v>
      </c>
      <c r="K98" s="47" t="s">
        <v>72</v>
      </c>
      <c r="L98" s="48" t="s">
        <v>71</v>
      </c>
      <c r="M98" s="48" t="s">
        <v>71</v>
      </c>
      <c r="N98" s="47" t="s">
        <v>72</v>
      </c>
      <c r="O98" s="47" t="s">
        <v>72</v>
      </c>
      <c r="P98" s="47" t="s">
        <v>72</v>
      </c>
      <c r="Q98" s="47" t="s">
        <v>72</v>
      </c>
      <c r="R98" s="48" t="s">
        <v>71</v>
      </c>
      <c r="S98" s="178" t="s">
        <v>71</v>
      </c>
      <c r="T98" s="258"/>
      <c r="U98" s="49"/>
      <c r="V98" s="251"/>
      <c r="W98" s="180"/>
      <c r="X98" s="179"/>
    </row>
    <row r="99" spans="2:24" ht="66" x14ac:dyDescent="0.4">
      <c r="B99" s="184"/>
      <c r="C99" s="183"/>
      <c r="D99" s="187"/>
      <c r="E99" s="188">
        <f t="shared" si="3"/>
        <v>96</v>
      </c>
      <c r="F99" s="174"/>
      <c r="G99" s="175"/>
      <c r="H99" s="175" t="s">
        <v>803</v>
      </c>
      <c r="I99" s="176" t="s">
        <v>814</v>
      </c>
      <c r="J99" s="177" t="s">
        <v>815</v>
      </c>
      <c r="K99" s="47" t="s">
        <v>72</v>
      </c>
      <c r="L99" s="48" t="s">
        <v>71</v>
      </c>
      <c r="M99" s="48" t="s">
        <v>71</v>
      </c>
      <c r="N99" s="47" t="s">
        <v>72</v>
      </c>
      <c r="O99" s="47" t="s">
        <v>72</v>
      </c>
      <c r="P99" s="47" t="s">
        <v>72</v>
      </c>
      <c r="Q99" s="47" t="s">
        <v>72</v>
      </c>
      <c r="R99" s="48" t="s">
        <v>71</v>
      </c>
      <c r="S99" s="178" t="s">
        <v>71</v>
      </c>
      <c r="T99" s="258"/>
      <c r="U99" s="49"/>
      <c r="V99" s="251"/>
      <c r="W99" s="180"/>
      <c r="X99" s="179"/>
    </row>
    <row r="100" spans="2:24" ht="52.8" x14ac:dyDescent="0.4">
      <c r="B100" s="184"/>
      <c r="C100" s="183"/>
      <c r="D100" s="187"/>
      <c r="E100" s="188">
        <f t="shared" si="3"/>
        <v>97</v>
      </c>
      <c r="F100" s="174"/>
      <c r="G100" s="175"/>
      <c r="H100" s="175" t="s">
        <v>801</v>
      </c>
      <c r="I100" s="176" t="s">
        <v>816</v>
      </c>
      <c r="J100" s="177" t="s">
        <v>817</v>
      </c>
      <c r="K100" s="47" t="s">
        <v>72</v>
      </c>
      <c r="L100" s="48" t="s">
        <v>71</v>
      </c>
      <c r="M100" s="48" t="s">
        <v>71</v>
      </c>
      <c r="N100" s="47" t="s">
        <v>72</v>
      </c>
      <c r="O100" s="48" t="s">
        <v>71</v>
      </c>
      <c r="P100" s="48" t="s">
        <v>71</v>
      </c>
      <c r="Q100" s="47" t="s">
        <v>72</v>
      </c>
      <c r="R100" s="48" t="s">
        <v>71</v>
      </c>
      <c r="S100" s="178" t="s">
        <v>71</v>
      </c>
      <c r="T100" s="258"/>
      <c r="U100" s="49"/>
      <c r="V100" s="251"/>
      <c r="W100" s="180"/>
      <c r="X100" s="179"/>
    </row>
    <row r="101" spans="2:24" ht="79.2" x14ac:dyDescent="0.4">
      <c r="B101" s="184"/>
      <c r="C101" s="183"/>
      <c r="D101" s="190" t="s">
        <v>826</v>
      </c>
      <c r="E101" s="188">
        <f t="shared" si="3"/>
        <v>98</v>
      </c>
      <c r="F101" s="253" t="s">
        <v>855</v>
      </c>
      <c r="G101" s="254" t="s">
        <v>800</v>
      </c>
      <c r="H101" s="254" t="s">
        <v>801</v>
      </c>
      <c r="I101" s="255"/>
      <c r="J101" s="256" t="s">
        <v>835</v>
      </c>
      <c r="K101" s="47" t="s">
        <v>72</v>
      </c>
      <c r="L101" s="48" t="s">
        <v>71</v>
      </c>
      <c r="M101" s="48" t="s">
        <v>71</v>
      </c>
      <c r="N101" s="47" t="s">
        <v>72</v>
      </c>
      <c r="O101" s="48" t="s">
        <v>71</v>
      </c>
      <c r="P101" s="48" t="s">
        <v>71</v>
      </c>
      <c r="Q101" s="47" t="s">
        <v>72</v>
      </c>
      <c r="R101" s="58" t="s">
        <v>71</v>
      </c>
      <c r="S101" s="257" t="s">
        <v>71</v>
      </c>
      <c r="T101" s="258"/>
      <c r="U101" s="49"/>
      <c r="V101" s="251"/>
      <c r="W101" s="180"/>
      <c r="X101" s="179"/>
    </row>
    <row r="102" spans="2:24" ht="79.2" x14ac:dyDescent="0.4">
      <c r="B102" s="184"/>
      <c r="C102" s="183"/>
      <c r="D102" s="187"/>
      <c r="E102" s="188">
        <f t="shared" si="3"/>
        <v>99</v>
      </c>
      <c r="F102" s="174"/>
      <c r="G102" s="175"/>
      <c r="H102" s="175" t="s">
        <v>803</v>
      </c>
      <c r="I102" s="176" t="s">
        <v>804</v>
      </c>
      <c r="J102" s="177" t="s">
        <v>805</v>
      </c>
      <c r="K102" s="47" t="s">
        <v>72</v>
      </c>
      <c r="L102" s="48" t="s">
        <v>71</v>
      </c>
      <c r="M102" s="48" t="s">
        <v>71</v>
      </c>
      <c r="N102" s="47" t="s">
        <v>72</v>
      </c>
      <c r="O102" s="48" t="s">
        <v>71</v>
      </c>
      <c r="P102" s="48" t="s">
        <v>71</v>
      </c>
      <c r="Q102" s="47" t="s">
        <v>72</v>
      </c>
      <c r="R102" s="48" t="s">
        <v>71</v>
      </c>
      <c r="S102" s="178" t="s">
        <v>71</v>
      </c>
      <c r="T102" s="258"/>
      <c r="U102" s="49"/>
      <c r="V102" s="251"/>
      <c r="W102" s="180"/>
      <c r="X102" s="179"/>
    </row>
    <row r="103" spans="2:24" ht="79.2" x14ac:dyDescent="0.4">
      <c r="B103" s="184"/>
      <c r="C103" s="183"/>
      <c r="D103" s="187"/>
      <c r="E103" s="188">
        <f t="shared" si="3"/>
        <v>100</v>
      </c>
      <c r="F103" s="174"/>
      <c r="G103" s="175"/>
      <c r="H103" s="175" t="s">
        <v>803</v>
      </c>
      <c r="I103" s="176" t="s">
        <v>806</v>
      </c>
      <c r="J103" s="256" t="s">
        <v>835</v>
      </c>
      <c r="K103" s="47" t="s">
        <v>72</v>
      </c>
      <c r="L103" s="48" t="s">
        <v>71</v>
      </c>
      <c r="M103" s="48" t="s">
        <v>71</v>
      </c>
      <c r="N103" s="47" t="s">
        <v>72</v>
      </c>
      <c r="O103" s="48" t="s">
        <v>71</v>
      </c>
      <c r="P103" s="48" t="s">
        <v>71</v>
      </c>
      <c r="Q103" s="47" t="s">
        <v>72</v>
      </c>
      <c r="R103" s="48" t="s">
        <v>71</v>
      </c>
      <c r="S103" s="178" t="s">
        <v>71</v>
      </c>
      <c r="T103" s="258"/>
      <c r="U103" s="49"/>
      <c r="V103" s="251"/>
      <c r="W103" s="180"/>
      <c r="X103" s="179"/>
    </row>
    <row r="104" spans="2:24" ht="52.8" x14ac:dyDescent="0.4">
      <c r="B104" s="184"/>
      <c r="C104" s="183"/>
      <c r="D104" s="187"/>
      <c r="E104" s="188">
        <f t="shared" si="3"/>
        <v>101</v>
      </c>
      <c r="F104" s="174"/>
      <c r="G104" s="175"/>
      <c r="H104" s="175" t="s">
        <v>801</v>
      </c>
      <c r="I104" s="176" t="s">
        <v>836</v>
      </c>
      <c r="J104" s="177" t="s">
        <v>828</v>
      </c>
      <c r="K104" s="47" t="s">
        <v>72</v>
      </c>
      <c r="L104" s="48" t="s">
        <v>71</v>
      </c>
      <c r="M104" s="48" t="s">
        <v>71</v>
      </c>
      <c r="N104" s="47" t="s">
        <v>72</v>
      </c>
      <c r="O104" s="48" t="s">
        <v>71</v>
      </c>
      <c r="P104" s="48" t="s">
        <v>71</v>
      </c>
      <c r="Q104" s="47" t="s">
        <v>72</v>
      </c>
      <c r="R104" s="48" t="s">
        <v>71</v>
      </c>
      <c r="S104" s="178" t="s">
        <v>71</v>
      </c>
      <c r="T104" s="258"/>
      <c r="U104" s="49"/>
      <c r="V104" s="251"/>
      <c r="W104" s="180"/>
      <c r="X104" s="179"/>
    </row>
    <row r="105" spans="2:24" ht="92.4" x14ac:dyDescent="0.4">
      <c r="B105" s="184"/>
      <c r="C105" s="183"/>
      <c r="D105" s="187"/>
      <c r="E105" s="188">
        <f t="shared" si="3"/>
        <v>102</v>
      </c>
      <c r="F105" s="174"/>
      <c r="G105" s="175"/>
      <c r="H105" s="175" t="s">
        <v>801</v>
      </c>
      <c r="I105" s="176" t="s">
        <v>849</v>
      </c>
      <c r="J105" s="177" t="s">
        <v>825</v>
      </c>
      <c r="K105" s="47" t="s">
        <v>72</v>
      </c>
      <c r="L105" s="48" t="s">
        <v>71</v>
      </c>
      <c r="M105" s="48" t="s">
        <v>71</v>
      </c>
      <c r="N105" s="47" t="s">
        <v>72</v>
      </c>
      <c r="O105" s="48" t="s">
        <v>71</v>
      </c>
      <c r="P105" s="48" t="s">
        <v>71</v>
      </c>
      <c r="Q105" s="47" t="s">
        <v>72</v>
      </c>
      <c r="R105" s="48" t="s">
        <v>71</v>
      </c>
      <c r="S105" s="178" t="s">
        <v>71</v>
      </c>
      <c r="T105" s="258"/>
      <c r="U105" s="49"/>
      <c r="V105" s="251"/>
      <c r="W105" s="180"/>
      <c r="X105" s="179"/>
    </row>
    <row r="106" spans="2:24" ht="66" x14ac:dyDescent="0.4">
      <c r="B106" s="184"/>
      <c r="C106" s="183"/>
      <c r="D106" s="187"/>
      <c r="E106" s="188">
        <f t="shared" si="3"/>
        <v>103</v>
      </c>
      <c r="F106" s="174"/>
      <c r="G106" s="175"/>
      <c r="H106" s="175" t="s">
        <v>803</v>
      </c>
      <c r="I106" s="176" t="s">
        <v>838</v>
      </c>
      <c r="J106" s="177" t="s">
        <v>813</v>
      </c>
      <c r="K106" s="47" t="s">
        <v>72</v>
      </c>
      <c r="L106" s="48" t="s">
        <v>71</v>
      </c>
      <c r="M106" s="48" t="s">
        <v>71</v>
      </c>
      <c r="N106" s="47" t="s">
        <v>72</v>
      </c>
      <c r="O106" s="47" t="s">
        <v>72</v>
      </c>
      <c r="P106" s="47" t="s">
        <v>72</v>
      </c>
      <c r="Q106" s="47" t="s">
        <v>72</v>
      </c>
      <c r="R106" s="48" t="s">
        <v>71</v>
      </c>
      <c r="S106" s="178" t="s">
        <v>71</v>
      </c>
      <c r="T106" s="258"/>
      <c r="U106" s="49"/>
      <c r="V106" s="251"/>
      <c r="W106" s="180"/>
      <c r="X106" s="179"/>
    </row>
    <row r="107" spans="2:24" ht="79.2" x14ac:dyDescent="0.4">
      <c r="B107" s="184"/>
      <c r="C107" s="190" t="s">
        <v>839</v>
      </c>
      <c r="D107" s="190" t="s">
        <v>798</v>
      </c>
      <c r="E107" s="252">
        <f>ROW()-3</f>
        <v>104</v>
      </c>
      <c r="F107" s="253" t="s">
        <v>855</v>
      </c>
      <c r="G107" s="254" t="s">
        <v>840</v>
      </c>
      <c r="H107" s="254" t="s">
        <v>801</v>
      </c>
      <c r="I107" s="255"/>
      <c r="J107" s="256" t="s">
        <v>835</v>
      </c>
      <c r="K107" s="47" t="s">
        <v>72</v>
      </c>
      <c r="L107" s="48" t="s">
        <v>71</v>
      </c>
      <c r="M107" s="48" t="s">
        <v>71</v>
      </c>
      <c r="N107" s="47" t="s">
        <v>72</v>
      </c>
      <c r="O107" s="48" t="s">
        <v>71</v>
      </c>
      <c r="P107" s="48" t="s">
        <v>71</v>
      </c>
      <c r="Q107" s="47" t="s">
        <v>72</v>
      </c>
      <c r="R107" s="58" t="s">
        <v>71</v>
      </c>
      <c r="S107" s="257" t="s">
        <v>71</v>
      </c>
      <c r="T107" s="258"/>
      <c r="U107" s="49"/>
      <c r="V107" s="251"/>
      <c r="W107" s="180"/>
      <c r="X107" s="261"/>
    </row>
    <row r="108" spans="2:24" ht="79.2" x14ac:dyDescent="0.4">
      <c r="B108" s="184"/>
      <c r="C108" s="183"/>
      <c r="D108" s="187"/>
      <c r="E108" s="188">
        <f t="shared" ref="E108:E122" si="4">ROW()-3</f>
        <v>105</v>
      </c>
      <c r="F108" s="174"/>
      <c r="G108" s="175"/>
      <c r="H108" s="175" t="s">
        <v>803</v>
      </c>
      <c r="I108" s="176" t="s">
        <v>804</v>
      </c>
      <c r="J108" s="177" t="s">
        <v>805</v>
      </c>
      <c r="K108" s="47" t="s">
        <v>72</v>
      </c>
      <c r="L108" s="48" t="s">
        <v>71</v>
      </c>
      <c r="M108" s="48" t="s">
        <v>71</v>
      </c>
      <c r="N108" s="47" t="s">
        <v>72</v>
      </c>
      <c r="O108" s="48" t="s">
        <v>71</v>
      </c>
      <c r="P108" s="48" t="s">
        <v>71</v>
      </c>
      <c r="Q108" s="47" t="s">
        <v>72</v>
      </c>
      <c r="R108" s="48" t="s">
        <v>71</v>
      </c>
      <c r="S108" s="178" t="s">
        <v>71</v>
      </c>
      <c r="T108" s="258"/>
      <c r="U108" s="49"/>
      <c r="V108" s="251"/>
      <c r="W108" s="180"/>
      <c r="X108" s="179"/>
    </row>
    <row r="109" spans="2:24" ht="79.2" x14ac:dyDescent="0.4">
      <c r="B109" s="184"/>
      <c r="C109" s="183"/>
      <c r="D109" s="187"/>
      <c r="E109" s="188">
        <f t="shared" si="4"/>
        <v>106</v>
      </c>
      <c r="F109" s="174"/>
      <c r="G109" s="175"/>
      <c r="H109" s="175" t="s">
        <v>803</v>
      </c>
      <c r="I109" s="176" t="s">
        <v>806</v>
      </c>
      <c r="J109" s="256" t="s">
        <v>835</v>
      </c>
      <c r="K109" s="47" t="s">
        <v>72</v>
      </c>
      <c r="L109" s="48" t="s">
        <v>71</v>
      </c>
      <c r="M109" s="48" t="s">
        <v>71</v>
      </c>
      <c r="N109" s="47" t="s">
        <v>72</v>
      </c>
      <c r="O109" s="48" t="s">
        <v>71</v>
      </c>
      <c r="P109" s="48" t="s">
        <v>71</v>
      </c>
      <c r="Q109" s="47" t="s">
        <v>72</v>
      </c>
      <c r="R109" s="48" t="s">
        <v>71</v>
      </c>
      <c r="S109" s="178" t="s">
        <v>71</v>
      </c>
      <c r="T109" s="258"/>
      <c r="U109" s="49"/>
      <c r="V109" s="251"/>
      <c r="W109" s="180"/>
      <c r="X109" s="179"/>
    </row>
    <row r="110" spans="2:24" ht="52.8" x14ac:dyDescent="0.4">
      <c r="B110" s="184"/>
      <c r="C110" s="183"/>
      <c r="D110" s="187"/>
      <c r="E110" s="188">
        <f t="shared" si="4"/>
        <v>107</v>
      </c>
      <c r="F110" s="174"/>
      <c r="G110" s="175"/>
      <c r="H110" s="175" t="s">
        <v>801</v>
      </c>
      <c r="I110" s="176" t="s">
        <v>852</v>
      </c>
      <c r="J110" s="177" t="s">
        <v>809</v>
      </c>
      <c r="K110" s="47" t="s">
        <v>72</v>
      </c>
      <c r="L110" s="48" t="s">
        <v>71</v>
      </c>
      <c r="M110" s="48" t="s">
        <v>71</v>
      </c>
      <c r="N110" s="47" t="s">
        <v>72</v>
      </c>
      <c r="O110" s="48" t="s">
        <v>71</v>
      </c>
      <c r="P110" s="48" t="s">
        <v>71</v>
      </c>
      <c r="Q110" s="47" t="s">
        <v>72</v>
      </c>
      <c r="R110" s="48" t="s">
        <v>71</v>
      </c>
      <c r="S110" s="178" t="s">
        <v>71</v>
      </c>
      <c r="T110" s="258"/>
      <c r="U110" s="49"/>
      <c r="V110" s="251"/>
      <c r="W110" s="180"/>
      <c r="X110" s="179"/>
    </row>
    <row r="111" spans="2:24" ht="52.8" x14ac:dyDescent="0.4">
      <c r="B111" s="184"/>
      <c r="C111" s="183"/>
      <c r="D111" s="187"/>
      <c r="E111" s="188">
        <f t="shared" si="4"/>
        <v>108</v>
      </c>
      <c r="F111" s="174"/>
      <c r="G111" s="175"/>
      <c r="H111" s="175" t="s">
        <v>801</v>
      </c>
      <c r="I111" s="176"/>
      <c r="J111" s="177" t="s">
        <v>842</v>
      </c>
      <c r="K111" s="47" t="s">
        <v>72</v>
      </c>
      <c r="L111" s="48" t="s">
        <v>71</v>
      </c>
      <c r="M111" s="48" t="s">
        <v>71</v>
      </c>
      <c r="N111" s="47" t="s">
        <v>72</v>
      </c>
      <c r="O111" s="48" t="s">
        <v>71</v>
      </c>
      <c r="P111" s="48" t="s">
        <v>71</v>
      </c>
      <c r="Q111" s="47" t="s">
        <v>72</v>
      </c>
      <c r="R111" s="48" t="s">
        <v>71</v>
      </c>
      <c r="S111" s="178" t="s">
        <v>71</v>
      </c>
      <c r="T111" s="258"/>
      <c r="U111" s="49"/>
      <c r="V111" s="251"/>
      <c r="W111" s="180"/>
      <c r="X111" s="179"/>
    </row>
    <row r="112" spans="2:24" ht="92.4" x14ac:dyDescent="0.4">
      <c r="B112" s="184"/>
      <c r="C112" s="183"/>
      <c r="D112" s="187"/>
      <c r="E112" s="188">
        <f t="shared" si="4"/>
        <v>109</v>
      </c>
      <c r="F112" s="174"/>
      <c r="G112" s="175"/>
      <c r="H112" s="175" t="s">
        <v>801</v>
      </c>
      <c r="I112" s="176" t="s">
        <v>810</v>
      </c>
      <c r="J112" s="177" t="s">
        <v>825</v>
      </c>
      <c r="K112" s="47" t="s">
        <v>72</v>
      </c>
      <c r="L112" s="48" t="s">
        <v>71</v>
      </c>
      <c r="M112" s="48" t="s">
        <v>71</v>
      </c>
      <c r="N112" s="47" t="s">
        <v>72</v>
      </c>
      <c r="O112" s="48" t="s">
        <v>71</v>
      </c>
      <c r="P112" s="48" t="s">
        <v>71</v>
      </c>
      <c r="Q112" s="47" t="s">
        <v>72</v>
      </c>
      <c r="R112" s="48" t="s">
        <v>71</v>
      </c>
      <c r="S112" s="178" t="s">
        <v>71</v>
      </c>
      <c r="T112" s="258"/>
      <c r="U112" s="49"/>
      <c r="V112" s="251"/>
      <c r="W112" s="180"/>
      <c r="X112" s="179"/>
    </row>
    <row r="113" spans="2:25" ht="66" x14ac:dyDescent="0.4">
      <c r="B113" s="184"/>
      <c r="C113" s="183"/>
      <c r="D113" s="187"/>
      <c r="E113" s="188">
        <f t="shared" si="4"/>
        <v>110</v>
      </c>
      <c r="F113" s="174"/>
      <c r="G113" s="175"/>
      <c r="H113" s="175" t="s">
        <v>803</v>
      </c>
      <c r="I113" s="176" t="s">
        <v>812</v>
      </c>
      <c r="J113" s="177" t="s">
        <v>813</v>
      </c>
      <c r="K113" s="47" t="s">
        <v>72</v>
      </c>
      <c r="L113" s="48" t="s">
        <v>71</v>
      </c>
      <c r="M113" s="48" t="s">
        <v>71</v>
      </c>
      <c r="N113" s="47" t="s">
        <v>72</v>
      </c>
      <c r="O113" s="47" t="s">
        <v>72</v>
      </c>
      <c r="P113" s="47" t="s">
        <v>72</v>
      </c>
      <c r="Q113" s="47" t="s">
        <v>72</v>
      </c>
      <c r="R113" s="48" t="s">
        <v>71</v>
      </c>
      <c r="S113" s="178" t="s">
        <v>71</v>
      </c>
      <c r="T113" s="258"/>
      <c r="U113" s="49"/>
      <c r="V113" s="251"/>
      <c r="W113" s="180"/>
      <c r="X113" s="179"/>
    </row>
    <row r="114" spans="2:25" ht="66" x14ac:dyDescent="0.4">
      <c r="B114" s="184"/>
      <c r="C114" s="183"/>
      <c r="D114" s="187"/>
      <c r="E114" s="188">
        <f t="shared" si="4"/>
        <v>111</v>
      </c>
      <c r="F114" s="174"/>
      <c r="G114" s="175"/>
      <c r="H114" s="175" t="s">
        <v>803</v>
      </c>
      <c r="I114" s="176" t="s">
        <v>814</v>
      </c>
      <c r="J114" s="177" t="s">
        <v>815</v>
      </c>
      <c r="K114" s="47" t="s">
        <v>72</v>
      </c>
      <c r="L114" s="48" t="s">
        <v>71</v>
      </c>
      <c r="M114" s="48" t="s">
        <v>71</v>
      </c>
      <c r="N114" s="47" t="s">
        <v>72</v>
      </c>
      <c r="O114" s="47" t="s">
        <v>72</v>
      </c>
      <c r="P114" s="47" t="s">
        <v>72</v>
      </c>
      <c r="Q114" s="47" t="s">
        <v>72</v>
      </c>
      <c r="R114" s="48" t="s">
        <v>71</v>
      </c>
      <c r="S114" s="178" t="s">
        <v>71</v>
      </c>
      <c r="T114" s="258"/>
      <c r="U114" s="49"/>
      <c r="V114" s="251"/>
      <c r="W114" s="180"/>
      <c r="X114" s="179"/>
    </row>
    <row r="115" spans="2:25" ht="52.8" x14ac:dyDescent="0.4">
      <c r="B115" s="184"/>
      <c r="C115" s="183"/>
      <c r="D115" s="187"/>
      <c r="E115" s="188">
        <f t="shared" si="4"/>
        <v>112</v>
      </c>
      <c r="F115" s="174"/>
      <c r="G115" s="175"/>
      <c r="H115" s="175" t="s">
        <v>801</v>
      </c>
      <c r="I115" s="176" t="s">
        <v>816</v>
      </c>
      <c r="J115" s="177" t="s">
        <v>817</v>
      </c>
      <c r="K115" s="47" t="s">
        <v>72</v>
      </c>
      <c r="L115" s="48" t="s">
        <v>71</v>
      </c>
      <c r="M115" s="48" t="s">
        <v>71</v>
      </c>
      <c r="N115" s="47" t="s">
        <v>72</v>
      </c>
      <c r="O115" s="48" t="s">
        <v>71</v>
      </c>
      <c r="P115" s="48" t="s">
        <v>71</v>
      </c>
      <c r="Q115" s="47" t="s">
        <v>72</v>
      </c>
      <c r="R115" s="48" t="s">
        <v>71</v>
      </c>
      <c r="S115" s="178" t="s">
        <v>71</v>
      </c>
      <c r="T115" s="258"/>
      <c r="U115" s="49"/>
      <c r="V115" s="251"/>
      <c r="W115" s="180"/>
      <c r="X115" s="179"/>
    </row>
    <row r="116" spans="2:25" ht="79.2" x14ac:dyDescent="0.4">
      <c r="B116" s="184"/>
      <c r="C116" s="183"/>
      <c r="D116" s="190" t="s">
        <v>826</v>
      </c>
      <c r="E116" s="188">
        <f t="shared" si="4"/>
        <v>113</v>
      </c>
      <c r="F116" s="253" t="s">
        <v>855</v>
      </c>
      <c r="G116" s="254" t="s">
        <v>847</v>
      </c>
      <c r="H116" s="254" t="s">
        <v>801</v>
      </c>
      <c r="I116" s="255"/>
      <c r="J116" s="256" t="s">
        <v>835</v>
      </c>
      <c r="K116" s="47" t="s">
        <v>72</v>
      </c>
      <c r="L116" s="48" t="s">
        <v>71</v>
      </c>
      <c r="M116" s="48" t="s">
        <v>71</v>
      </c>
      <c r="N116" s="47" t="s">
        <v>72</v>
      </c>
      <c r="O116" s="48" t="s">
        <v>71</v>
      </c>
      <c r="P116" s="48" t="s">
        <v>71</v>
      </c>
      <c r="Q116" s="47" t="s">
        <v>72</v>
      </c>
      <c r="R116" s="58" t="s">
        <v>71</v>
      </c>
      <c r="S116" s="257" t="s">
        <v>71</v>
      </c>
      <c r="T116" s="258"/>
      <c r="U116" s="49"/>
      <c r="V116" s="251"/>
      <c r="W116" s="180"/>
      <c r="X116" s="179"/>
    </row>
    <row r="117" spans="2:25" ht="79.2" x14ac:dyDescent="0.4">
      <c r="B117" s="184"/>
      <c r="C117" s="183"/>
      <c r="D117" s="187"/>
      <c r="E117" s="188">
        <f t="shared" si="4"/>
        <v>114</v>
      </c>
      <c r="F117" s="174"/>
      <c r="G117" s="175"/>
      <c r="H117" s="175" t="s">
        <v>803</v>
      </c>
      <c r="I117" s="176" t="s">
        <v>804</v>
      </c>
      <c r="J117" s="177" t="s">
        <v>805</v>
      </c>
      <c r="K117" s="47" t="s">
        <v>72</v>
      </c>
      <c r="L117" s="48" t="s">
        <v>71</v>
      </c>
      <c r="M117" s="48" t="s">
        <v>71</v>
      </c>
      <c r="N117" s="47" t="s">
        <v>72</v>
      </c>
      <c r="O117" s="48" t="s">
        <v>71</v>
      </c>
      <c r="P117" s="48" t="s">
        <v>71</v>
      </c>
      <c r="Q117" s="47" t="s">
        <v>72</v>
      </c>
      <c r="R117" s="48" t="s">
        <v>71</v>
      </c>
      <c r="S117" s="178" t="s">
        <v>71</v>
      </c>
      <c r="T117" s="258"/>
      <c r="U117" s="49"/>
      <c r="V117" s="251"/>
      <c r="W117" s="180"/>
      <c r="X117" s="179"/>
    </row>
    <row r="118" spans="2:25" ht="79.2" x14ac:dyDescent="0.4">
      <c r="B118" s="184"/>
      <c r="C118" s="183"/>
      <c r="D118" s="187"/>
      <c r="E118" s="188">
        <f t="shared" si="4"/>
        <v>115</v>
      </c>
      <c r="F118" s="174"/>
      <c r="G118" s="175"/>
      <c r="H118" s="175" t="s">
        <v>803</v>
      </c>
      <c r="I118" s="176" t="s">
        <v>806</v>
      </c>
      <c r="J118" s="256" t="s">
        <v>835</v>
      </c>
      <c r="K118" s="47" t="s">
        <v>72</v>
      </c>
      <c r="L118" s="48" t="s">
        <v>71</v>
      </c>
      <c r="M118" s="48" t="s">
        <v>71</v>
      </c>
      <c r="N118" s="47" t="s">
        <v>72</v>
      </c>
      <c r="O118" s="48" t="s">
        <v>71</v>
      </c>
      <c r="P118" s="48" t="s">
        <v>71</v>
      </c>
      <c r="Q118" s="47" t="s">
        <v>72</v>
      </c>
      <c r="R118" s="48" t="s">
        <v>71</v>
      </c>
      <c r="S118" s="178" t="s">
        <v>71</v>
      </c>
      <c r="T118" s="258"/>
      <c r="U118" s="49"/>
      <c r="V118" s="251"/>
      <c r="W118" s="180"/>
      <c r="X118" s="179"/>
    </row>
    <row r="119" spans="2:25" ht="52.8" x14ac:dyDescent="0.4">
      <c r="B119" s="184"/>
      <c r="C119" s="183"/>
      <c r="D119" s="187"/>
      <c r="E119" s="188">
        <f t="shared" si="4"/>
        <v>116</v>
      </c>
      <c r="F119" s="174"/>
      <c r="G119" s="175"/>
      <c r="H119" s="175" t="s">
        <v>801</v>
      </c>
      <c r="I119" s="176" t="s">
        <v>836</v>
      </c>
      <c r="J119" s="177" t="s">
        <v>828</v>
      </c>
      <c r="K119" s="47" t="s">
        <v>72</v>
      </c>
      <c r="L119" s="48" t="s">
        <v>71</v>
      </c>
      <c r="M119" s="48" t="s">
        <v>71</v>
      </c>
      <c r="N119" s="47" t="s">
        <v>72</v>
      </c>
      <c r="O119" s="48" t="s">
        <v>71</v>
      </c>
      <c r="P119" s="48" t="s">
        <v>71</v>
      </c>
      <c r="Q119" s="47" t="s">
        <v>72</v>
      </c>
      <c r="R119" s="48" t="s">
        <v>71</v>
      </c>
      <c r="S119" s="178" t="s">
        <v>71</v>
      </c>
      <c r="T119" s="258"/>
      <c r="U119" s="49"/>
      <c r="V119" s="251"/>
      <c r="W119" s="180"/>
      <c r="X119" s="179"/>
    </row>
    <row r="120" spans="2:25" ht="52.8" x14ac:dyDescent="0.4">
      <c r="B120" s="184"/>
      <c r="C120" s="183"/>
      <c r="D120" s="187"/>
      <c r="E120" s="188">
        <f t="shared" si="4"/>
        <v>117</v>
      </c>
      <c r="F120" s="174"/>
      <c r="G120" s="175"/>
      <c r="H120" s="175" t="s">
        <v>801</v>
      </c>
      <c r="I120" s="176"/>
      <c r="J120" s="177" t="s">
        <v>848</v>
      </c>
      <c r="K120" s="47" t="s">
        <v>72</v>
      </c>
      <c r="L120" s="48" t="s">
        <v>71</v>
      </c>
      <c r="M120" s="48" t="s">
        <v>71</v>
      </c>
      <c r="N120" s="47" t="s">
        <v>72</v>
      </c>
      <c r="O120" s="48" t="s">
        <v>71</v>
      </c>
      <c r="P120" s="48" t="s">
        <v>71</v>
      </c>
      <c r="Q120" s="47" t="s">
        <v>72</v>
      </c>
      <c r="R120" s="48" t="s">
        <v>71</v>
      </c>
      <c r="S120" s="178" t="s">
        <v>71</v>
      </c>
      <c r="T120" s="258"/>
      <c r="U120" s="49"/>
      <c r="V120" s="251"/>
      <c r="W120" s="180"/>
      <c r="X120" s="179"/>
    </row>
    <row r="121" spans="2:25" ht="92.4" x14ac:dyDescent="0.4">
      <c r="B121" s="184"/>
      <c r="C121" s="183"/>
      <c r="D121" s="187"/>
      <c r="E121" s="188">
        <f t="shared" si="4"/>
        <v>118</v>
      </c>
      <c r="F121" s="174"/>
      <c r="G121" s="175"/>
      <c r="H121" s="175" t="s">
        <v>801</v>
      </c>
      <c r="I121" s="176" t="s">
        <v>849</v>
      </c>
      <c r="J121" s="177" t="s">
        <v>825</v>
      </c>
      <c r="K121" s="47" t="s">
        <v>72</v>
      </c>
      <c r="L121" s="48" t="s">
        <v>71</v>
      </c>
      <c r="M121" s="48" t="s">
        <v>71</v>
      </c>
      <c r="N121" s="47" t="s">
        <v>72</v>
      </c>
      <c r="O121" s="48" t="s">
        <v>71</v>
      </c>
      <c r="P121" s="48" t="s">
        <v>71</v>
      </c>
      <c r="Q121" s="47" t="s">
        <v>72</v>
      </c>
      <c r="R121" s="48" t="s">
        <v>71</v>
      </c>
      <c r="S121" s="178" t="s">
        <v>71</v>
      </c>
      <c r="T121" s="258"/>
      <c r="U121" s="49"/>
      <c r="V121" s="251"/>
      <c r="W121" s="180"/>
      <c r="X121" s="179"/>
    </row>
    <row r="122" spans="2:25" ht="66" x14ac:dyDescent="0.4">
      <c r="B122" s="184"/>
      <c r="C122" s="183"/>
      <c r="D122" s="187"/>
      <c r="E122" s="188">
        <f t="shared" si="4"/>
        <v>119</v>
      </c>
      <c r="F122" s="174"/>
      <c r="G122" s="175"/>
      <c r="H122" s="175" t="s">
        <v>803</v>
      </c>
      <c r="I122" s="176" t="s">
        <v>838</v>
      </c>
      <c r="J122" s="177" t="s">
        <v>813</v>
      </c>
      <c r="K122" s="47" t="s">
        <v>72</v>
      </c>
      <c r="L122" s="48" t="s">
        <v>71</v>
      </c>
      <c r="M122" s="48" t="s">
        <v>71</v>
      </c>
      <c r="N122" s="47" t="s">
        <v>72</v>
      </c>
      <c r="O122" s="47" t="s">
        <v>72</v>
      </c>
      <c r="P122" s="47" t="s">
        <v>72</v>
      </c>
      <c r="Q122" s="47" t="s">
        <v>72</v>
      </c>
      <c r="R122" s="48" t="s">
        <v>71</v>
      </c>
      <c r="S122" s="178" t="s">
        <v>71</v>
      </c>
      <c r="T122" s="258"/>
      <c r="U122" s="49"/>
      <c r="V122" s="251"/>
      <c r="W122" s="180"/>
      <c r="X122" s="179"/>
    </row>
    <row r="123" spans="2:25" ht="66" x14ac:dyDescent="0.4">
      <c r="B123" s="367" t="s">
        <v>796</v>
      </c>
      <c r="C123" s="181" t="s">
        <v>856</v>
      </c>
      <c r="D123" s="181" t="s">
        <v>857</v>
      </c>
      <c r="E123" s="368">
        <f t="shared" ref="E123:E127" si="5">ROW()-3</f>
        <v>120</v>
      </c>
      <c r="F123" s="174" t="s">
        <v>858</v>
      </c>
      <c r="G123" s="175" t="s">
        <v>859</v>
      </c>
      <c r="H123" s="175"/>
      <c r="I123" s="176"/>
      <c r="J123" s="177" t="s">
        <v>860</v>
      </c>
      <c r="K123" s="47" t="s">
        <v>72</v>
      </c>
      <c r="L123" s="48" t="s">
        <v>71</v>
      </c>
      <c r="M123" s="48" t="s">
        <v>71</v>
      </c>
      <c r="N123" s="47" t="s">
        <v>72</v>
      </c>
      <c r="O123" s="47" t="s">
        <v>72</v>
      </c>
      <c r="P123" s="47" t="s">
        <v>72</v>
      </c>
      <c r="Q123" s="339" t="s">
        <v>71</v>
      </c>
      <c r="R123" s="339" t="s">
        <v>71</v>
      </c>
      <c r="S123" s="369" t="s">
        <v>71</v>
      </c>
      <c r="T123" s="370"/>
      <c r="U123" s="340"/>
      <c r="V123" s="371"/>
      <c r="W123" s="372"/>
      <c r="X123" s="373" t="s">
        <v>861</v>
      </c>
      <c r="Y123" s="167"/>
    </row>
    <row r="124" spans="2:25" ht="66" x14ac:dyDescent="0.4">
      <c r="B124" s="182"/>
      <c r="C124" s="181" t="s">
        <v>862</v>
      </c>
      <c r="D124" s="186" t="s">
        <v>863</v>
      </c>
      <c r="E124" s="188">
        <f t="shared" si="5"/>
        <v>121</v>
      </c>
      <c r="F124" s="174" t="s">
        <v>858</v>
      </c>
      <c r="G124" s="175" t="s">
        <v>864</v>
      </c>
      <c r="H124" s="175"/>
      <c r="I124" s="176"/>
      <c r="J124" s="177" t="s">
        <v>860</v>
      </c>
      <c r="K124" s="47" t="s">
        <v>72</v>
      </c>
      <c r="L124" s="48" t="s">
        <v>71</v>
      </c>
      <c r="M124" s="48" t="s">
        <v>71</v>
      </c>
      <c r="N124" s="47" t="s">
        <v>72</v>
      </c>
      <c r="O124" s="47" t="s">
        <v>72</v>
      </c>
      <c r="P124" s="47" t="s">
        <v>72</v>
      </c>
      <c r="Q124" s="48" t="s">
        <v>71</v>
      </c>
      <c r="R124" s="48" t="s">
        <v>71</v>
      </c>
      <c r="S124" s="178" t="s">
        <v>71</v>
      </c>
      <c r="T124" s="258"/>
      <c r="U124" s="49"/>
      <c r="V124" s="251"/>
      <c r="W124" s="180"/>
      <c r="X124" s="179"/>
      <c r="Y124" s="167"/>
    </row>
    <row r="125" spans="2:25" ht="66" x14ac:dyDescent="0.4">
      <c r="B125" s="367" t="s">
        <v>865</v>
      </c>
      <c r="C125" s="181" t="s">
        <v>856</v>
      </c>
      <c r="D125" s="181" t="s">
        <v>857</v>
      </c>
      <c r="E125" s="368">
        <f t="shared" si="5"/>
        <v>122</v>
      </c>
      <c r="F125" s="174" t="s">
        <v>851</v>
      </c>
      <c r="G125" s="175" t="s">
        <v>859</v>
      </c>
      <c r="H125" s="175"/>
      <c r="I125" s="176"/>
      <c r="J125" s="177" t="s">
        <v>860</v>
      </c>
      <c r="K125" s="47" t="s">
        <v>72</v>
      </c>
      <c r="L125" s="48" t="s">
        <v>71</v>
      </c>
      <c r="M125" s="48" t="s">
        <v>71</v>
      </c>
      <c r="N125" s="47" t="s">
        <v>72</v>
      </c>
      <c r="O125" s="47" t="s">
        <v>72</v>
      </c>
      <c r="P125" s="47" t="s">
        <v>72</v>
      </c>
      <c r="Q125" s="339" t="s">
        <v>71</v>
      </c>
      <c r="R125" s="339" t="s">
        <v>71</v>
      </c>
      <c r="S125" s="369" t="s">
        <v>71</v>
      </c>
      <c r="T125" s="370"/>
      <c r="U125" s="340"/>
      <c r="V125" s="371"/>
      <c r="W125" s="372"/>
      <c r="X125" s="373" t="s">
        <v>861</v>
      </c>
      <c r="Y125" s="167"/>
    </row>
    <row r="126" spans="2:25" ht="66" x14ac:dyDescent="0.4">
      <c r="B126" s="182"/>
      <c r="C126" s="181" t="s">
        <v>862</v>
      </c>
      <c r="D126" s="186" t="s">
        <v>863</v>
      </c>
      <c r="E126" s="188">
        <f t="shared" si="5"/>
        <v>123</v>
      </c>
      <c r="F126" s="174" t="s">
        <v>851</v>
      </c>
      <c r="G126" s="175" t="s">
        <v>864</v>
      </c>
      <c r="H126" s="175"/>
      <c r="I126" s="176"/>
      <c r="J126" s="177" t="s">
        <v>860</v>
      </c>
      <c r="K126" s="47" t="s">
        <v>72</v>
      </c>
      <c r="L126" s="48" t="s">
        <v>71</v>
      </c>
      <c r="M126" s="48" t="s">
        <v>71</v>
      </c>
      <c r="N126" s="47" t="s">
        <v>72</v>
      </c>
      <c r="O126" s="47" t="s">
        <v>72</v>
      </c>
      <c r="P126" s="47" t="s">
        <v>72</v>
      </c>
      <c r="Q126" s="48" t="s">
        <v>71</v>
      </c>
      <c r="R126" s="48" t="s">
        <v>71</v>
      </c>
      <c r="S126" s="178" t="s">
        <v>71</v>
      </c>
      <c r="T126" s="258"/>
      <c r="U126" s="49"/>
      <c r="V126" s="251"/>
      <c r="W126" s="180"/>
      <c r="X126" s="179"/>
      <c r="Y126" s="167"/>
    </row>
    <row r="127" spans="2:25" ht="54" customHeight="1" thickBot="1" x14ac:dyDescent="0.45">
      <c r="B127" s="182" t="s">
        <v>866</v>
      </c>
      <c r="C127" s="181" t="s">
        <v>866</v>
      </c>
      <c r="D127" s="186" t="s">
        <v>866</v>
      </c>
      <c r="E127" s="188">
        <f t="shared" si="5"/>
        <v>124</v>
      </c>
      <c r="F127" s="174" t="s">
        <v>867</v>
      </c>
      <c r="G127" s="175"/>
      <c r="H127" s="175"/>
      <c r="I127" s="176"/>
      <c r="J127" s="177" t="s">
        <v>868</v>
      </c>
      <c r="K127" s="47" t="s">
        <v>72</v>
      </c>
      <c r="L127" s="48" t="s">
        <v>71</v>
      </c>
      <c r="M127" s="48" t="s">
        <v>71</v>
      </c>
      <c r="N127" s="47" t="s">
        <v>72</v>
      </c>
      <c r="O127" s="47" t="s">
        <v>72</v>
      </c>
      <c r="P127" s="47" t="s">
        <v>72</v>
      </c>
      <c r="Q127" s="48" t="s">
        <v>71</v>
      </c>
      <c r="R127" s="48" t="s">
        <v>71</v>
      </c>
      <c r="S127" s="178" t="s">
        <v>71</v>
      </c>
      <c r="T127" s="258"/>
      <c r="U127" s="49"/>
      <c r="V127" s="251"/>
      <c r="W127" s="180"/>
      <c r="X127" s="179"/>
      <c r="Y127" s="167"/>
    </row>
    <row r="128" spans="2:25" ht="21.6" customHeight="1" x14ac:dyDescent="0.4">
      <c r="B128" s="524" t="s">
        <v>300</v>
      </c>
      <c r="C128" s="509"/>
      <c r="D128" s="509">
        <f>SUM(K130:S130)</f>
        <v>411</v>
      </c>
      <c r="E128" s="157"/>
      <c r="F128" s="158"/>
      <c r="G128" s="168"/>
      <c r="H128" s="168"/>
      <c r="I128" s="169"/>
      <c r="J128" s="159" t="s">
        <v>301</v>
      </c>
      <c r="K128" s="160">
        <f t="shared" ref="K128:S128" si="6">COUNTIF(K4:K127,"○")+COUNTIF(K4:K127,"□")+COUNTIF(K4:K127,"OK")</f>
        <v>124</v>
      </c>
      <c r="L128" s="160">
        <f t="shared" si="6"/>
        <v>0</v>
      </c>
      <c r="M128" s="160">
        <f t="shared" si="6"/>
        <v>0</v>
      </c>
      <c r="N128" s="160">
        <f t="shared" si="6"/>
        <v>124</v>
      </c>
      <c r="O128" s="160">
        <f t="shared" si="6"/>
        <v>26</v>
      </c>
      <c r="P128" s="160">
        <f t="shared" si="6"/>
        <v>26</v>
      </c>
      <c r="Q128" s="160">
        <f t="shared" si="6"/>
        <v>111</v>
      </c>
      <c r="R128" s="160">
        <f t="shared" si="6"/>
        <v>0</v>
      </c>
      <c r="S128" s="160">
        <f t="shared" si="6"/>
        <v>0</v>
      </c>
      <c r="T128" s="511" t="s">
        <v>302</v>
      </c>
      <c r="U128" s="511"/>
      <c r="V128" s="511"/>
      <c r="W128" s="161"/>
      <c r="X128" s="162"/>
    </row>
    <row r="129" spans="1:24" ht="21.6" customHeight="1" x14ac:dyDescent="0.4">
      <c r="B129" s="525"/>
      <c r="C129" s="510"/>
      <c r="D129" s="510"/>
      <c r="E129" s="55"/>
      <c r="F129" s="56"/>
      <c r="G129" s="191"/>
      <c r="H129" s="191"/>
      <c r="I129" s="192"/>
      <c r="J129" s="86" t="s">
        <v>303</v>
      </c>
      <c r="K129" s="75">
        <f>COUNTIF(K4:K127,"×")+COUNTIF(K4:K127,"NG")</f>
        <v>0</v>
      </c>
      <c r="L129" s="76">
        <f t="shared" ref="L129:S129" si="7">COUNTIF(L4:L126,"×")+COUNTIF(L4:L126,"NG")</f>
        <v>0</v>
      </c>
      <c r="M129" s="76">
        <f t="shared" si="7"/>
        <v>0</v>
      </c>
      <c r="N129" s="76">
        <f t="shared" si="7"/>
        <v>0</v>
      </c>
      <c r="O129" s="76">
        <f t="shared" si="7"/>
        <v>0</v>
      </c>
      <c r="P129" s="76">
        <f t="shared" si="7"/>
        <v>0</v>
      </c>
      <c r="Q129" s="76">
        <f t="shared" si="7"/>
        <v>0</v>
      </c>
      <c r="R129" s="76">
        <f t="shared" si="7"/>
        <v>0</v>
      </c>
      <c r="S129" s="77">
        <f t="shared" si="7"/>
        <v>0</v>
      </c>
      <c r="T129" s="512"/>
      <c r="U129" s="512"/>
      <c r="V129" s="512"/>
      <c r="W129" s="71"/>
      <c r="X129" s="105"/>
    </row>
    <row r="130" spans="1:24" ht="21.6" customHeight="1" x14ac:dyDescent="0.4">
      <c r="B130" s="570" t="s">
        <v>304</v>
      </c>
      <c r="C130" s="571"/>
      <c r="D130" s="571">
        <f>SUM(K131:S131)</f>
        <v>822</v>
      </c>
      <c r="E130" s="45"/>
      <c r="F130" s="46"/>
      <c r="G130" s="172"/>
      <c r="H130" s="172"/>
      <c r="I130" s="173"/>
      <c r="J130" s="86" t="s">
        <v>305</v>
      </c>
      <c r="K130" s="75">
        <f>K128+K129</f>
        <v>124</v>
      </c>
      <c r="L130" s="76">
        <f t="shared" ref="L130:S130" si="8">L128+L129</f>
        <v>0</v>
      </c>
      <c r="M130" s="76">
        <f t="shared" si="8"/>
        <v>0</v>
      </c>
      <c r="N130" s="76">
        <f t="shared" si="8"/>
        <v>124</v>
      </c>
      <c r="O130" s="76">
        <f t="shared" si="8"/>
        <v>26</v>
      </c>
      <c r="P130" s="76">
        <f t="shared" si="8"/>
        <v>26</v>
      </c>
      <c r="Q130" s="76">
        <f t="shared" si="8"/>
        <v>111</v>
      </c>
      <c r="R130" s="76">
        <f t="shared" si="8"/>
        <v>0</v>
      </c>
      <c r="S130" s="77">
        <f t="shared" si="8"/>
        <v>0</v>
      </c>
      <c r="T130" s="513">
        <f>COUNTA(T4:T127)</f>
        <v>0</v>
      </c>
      <c r="U130" s="515">
        <f>COUNTA(U4:U127)</f>
        <v>0</v>
      </c>
      <c r="V130" s="517">
        <f>COUNTA(V4:V127)</f>
        <v>0</v>
      </c>
      <c r="W130" s="71"/>
      <c r="X130" s="105"/>
    </row>
    <row r="131" spans="1:24" ht="21.6" customHeight="1" thickBot="1" x14ac:dyDescent="0.45">
      <c r="A131" s="164"/>
      <c r="B131" s="527"/>
      <c r="C131" s="508"/>
      <c r="D131" s="508"/>
      <c r="E131" s="106"/>
      <c r="F131" s="107"/>
      <c r="G131" s="170"/>
      <c r="H131" s="170"/>
      <c r="I131" s="171"/>
      <c r="J131" s="108" t="s">
        <v>306</v>
      </c>
      <c r="K131" s="109">
        <f>COUNTBLANK(K4:K127)+K130+COUNTIF(K4:K127,"□")</f>
        <v>248</v>
      </c>
      <c r="L131" s="110">
        <f t="shared" ref="L131:S131" si="9">COUNTBLANK(L4:L127)+L130+COUNTIF(L4:L127,"□")</f>
        <v>0</v>
      </c>
      <c r="M131" s="110">
        <f t="shared" si="9"/>
        <v>0</v>
      </c>
      <c r="N131" s="110">
        <f t="shared" si="9"/>
        <v>248</v>
      </c>
      <c r="O131" s="110">
        <f t="shared" si="9"/>
        <v>52</v>
      </c>
      <c r="P131" s="110">
        <f t="shared" si="9"/>
        <v>52</v>
      </c>
      <c r="Q131" s="110">
        <f t="shared" si="9"/>
        <v>222</v>
      </c>
      <c r="R131" s="110">
        <f t="shared" si="9"/>
        <v>0</v>
      </c>
      <c r="S131" s="111">
        <f t="shared" si="9"/>
        <v>0</v>
      </c>
      <c r="T131" s="514"/>
      <c r="U131" s="516"/>
      <c r="V131" s="518"/>
      <c r="W131" s="112"/>
      <c r="X131" s="113"/>
    </row>
  </sheetData>
  <mergeCells count="18">
    <mergeCell ref="B130:C131"/>
    <mergeCell ref="D130:D131"/>
    <mergeCell ref="T128:V129"/>
    <mergeCell ref="T130:T131"/>
    <mergeCell ref="U130:U131"/>
    <mergeCell ref="V130:V131"/>
    <mergeCell ref="B2:B3"/>
    <mergeCell ref="C2:C3"/>
    <mergeCell ref="D2:D3"/>
    <mergeCell ref="B128:C129"/>
    <mergeCell ref="D128:D129"/>
    <mergeCell ref="T2:V2"/>
    <mergeCell ref="W2:W3"/>
    <mergeCell ref="X2:X3"/>
    <mergeCell ref="F3:G3"/>
    <mergeCell ref="K2:S2"/>
    <mergeCell ref="E2:J2"/>
    <mergeCell ref="H3:I3"/>
  </mergeCells>
  <phoneticPr fontId="23"/>
  <pageMargins left="0.70866141732283472" right="0.70866141732283472" top="0.74803149606299213" bottom="0.74803149606299213" header="0.31496062992125984" footer="0.31496062992125984"/>
  <pageSetup paperSize="9" scale="42"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E4946B4-2606-4F2C-9EA9-93B17CB66AB4}">
  <ds:schemaRefs>
    <ds:schemaRef ds:uri="http://purl.org/dc/elements/1.1/"/>
    <ds:schemaRef ds:uri="http://purl.org/dc/terms/"/>
    <ds:schemaRef ds:uri="http://schemas.microsoft.com/office/2006/documentManagement/types"/>
    <ds:schemaRef ds:uri="http://schemas.openxmlformats.org/package/2006/metadata/core-properties"/>
    <ds:schemaRef ds:uri="55b7a9d6-bcaa-4a9d-b1c7-8801531a7bf3"/>
    <ds:schemaRef ds:uri="http://purl.org/dc/dcmitype/"/>
    <ds:schemaRef ds:uri="http://schemas.microsoft.com/office/infopath/2007/PartnerControls"/>
    <ds:schemaRef ds:uri="e85bf11c-610f-4c75-b4c1-3f2e492bcdf6"/>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2BD2307C-6D24-411B-9E08-0622EC888910}">
  <ds:schemaRefs>
    <ds:schemaRef ds:uri="http://schemas.microsoft.com/sharepoint/v3/contenttype/forms"/>
  </ds:schemaRefs>
</ds:datastoreItem>
</file>

<file path=customXml/itemProps3.xml><?xml version="1.0" encoding="utf-8"?>
<ds:datastoreItem xmlns:ds="http://schemas.openxmlformats.org/officeDocument/2006/customXml" ds:itemID="{3FEBB22D-79D0-4FAA-B3D1-1323A5F3175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15</vt:i4>
      </vt:variant>
    </vt:vector>
  </HeadingPairs>
  <TitlesOfParts>
    <vt:vector size="30" baseType="lpstr">
      <vt:lpstr>集計</vt:lpstr>
      <vt:lpstr>ST仕様書表紙</vt:lpstr>
      <vt:lpstr>改版履歴</vt:lpstr>
      <vt:lpstr>パッケージ系</vt:lpstr>
      <vt:lpstr>パッケージ系 (SS)</vt:lpstr>
      <vt:lpstr>パッケージ系 (PS)</vt:lpstr>
      <vt:lpstr>サーバ系</vt:lpstr>
      <vt:lpstr>Win10対応_POS</vt:lpstr>
      <vt:lpstr>Win10対応_SS</vt:lpstr>
      <vt:lpstr>Win10対応_PS</vt:lpstr>
      <vt:lpstr>Win10対応_フルセルフ</vt:lpstr>
      <vt:lpstr>Win10対応_キャッシュレス</vt:lpstr>
      <vt:lpstr>Win10対応_サーバ</vt:lpstr>
      <vt:lpstr>バーコード作成用</vt:lpstr>
      <vt:lpstr>SPS系</vt:lpstr>
      <vt:lpstr>SPS系!Print_Area</vt:lpstr>
      <vt:lpstr>ST仕様書表紙!Print_Area</vt:lpstr>
      <vt:lpstr>Win10対応_POS!Print_Area</vt:lpstr>
      <vt:lpstr>Win10対応_PS!Print_Area</vt:lpstr>
      <vt:lpstr>Win10対応_SS!Print_Area</vt:lpstr>
      <vt:lpstr>Win10対応_キャッシュレス!Print_Area</vt:lpstr>
      <vt:lpstr>Win10対応_サーバ!Print_Area</vt:lpstr>
      <vt:lpstr>Win10対応_フルセルフ!Print_Area</vt:lpstr>
      <vt:lpstr>サーバ系!Print_Area</vt:lpstr>
      <vt:lpstr>パッケージ系!Print_Area</vt:lpstr>
      <vt:lpstr>'パッケージ系 (PS)'!Print_Area</vt:lpstr>
      <vt:lpstr>'パッケージ系 (SS)'!Print_Area</vt:lpstr>
      <vt:lpstr>改版履歴!Print_Area</vt:lpstr>
      <vt:lpstr>SPS系!Print_Titles</vt:lpstr>
      <vt:lpstr>サーバ系!Print_Titles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ＦＴＥＣ流ソリ</dc:creator>
  <cp:keywords/>
  <dc:description/>
  <cp:lastModifiedBy>Hatakeyama, Haruma/畠山 榛麻</cp:lastModifiedBy>
  <cp:revision/>
  <dcterms:created xsi:type="dcterms:W3CDTF">1998-07-21T06:12:02Z</dcterms:created>
  <dcterms:modified xsi:type="dcterms:W3CDTF">2025-02-07T08:42:29Z</dcterms:modified>
  <cp:category>ＦＴＥＣ</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Enabled">
    <vt:lpwstr>true</vt:lpwstr>
  </property>
  <property fmtid="{D5CDD505-2E9C-101B-9397-08002B2CF9AE}" pid="3" name="MSIP_Label_1e92ef73-0ad1-40c5-ad55-46de3396802f_SetDate">
    <vt:lpwstr>2022-04-14T05:21:47Z</vt:lpwstr>
  </property>
  <property fmtid="{D5CDD505-2E9C-101B-9397-08002B2CF9AE}" pid="4" name="MSIP_Label_1e92ef73-0ad1-40c5-ad55-46de3396802f_Method">
    <vt:lpwstr>Privileged</vt:lpwstr>
  </property>
  <property fmtid="{D5CDD505-2E9C-101B-9397-08002B2CF9AE}" pid="5" name="MSIP_Label_1e92ef73-0ad1-40c5-ad55-46de3396802f_Name">
    <vt:lpwstr>FUJITSU-PUBLIC​</vt:lpwstr>
  </property>
  <property fmtid="{D5CDD505-2E9C-101B-9397-08002B2CF9AE}" pid="6" name="MSIP_Label_1e92ef73-0ad1-40c5-ad55-46de3396802f_SiteId">
    <vt:lpwstr>a19f121d-81e1-4858-a9d8-736e267fd4c7</vt:lpwstr>
  </property>
  <property fmtid="{D5CDD505-2E9C-101B-9397-08002B2CF9AE}" pid="7" name="MSIP_Label_1e92ef73-0ad1-40c5-ad55-46de3396802f_ActionId">
    <vt:lpwstr>4741f118-ff32-41f3-b6da-ea8eb27e222a</vt:lpwstr>
  </property>
  <property fmtid="{D5CDD505-2E9C-101B-9397-08002B2CF9AE}" pid="8" name="MSIP_Label_1e92ef73-0ad1-40c5-ad55-46de3396802f_ContentBits">
    <vt:lpwstr>0</vt:lpwstr>
  </property>
  <property fmtid="{D5CDD505-2E9C-101B-9397-08002B2CF9AE}" pid="9" name="ContentTypeId">
    <vt:lpwstr>0x0101008AB003DB5A4D644C9FB3BD19B5C7E000</vt:lpwstr>
  </property>
  <property fmtid="{D5CDD505-2E9C-101B-9397-08002B2CF9AE}" pid="10" name="MediaServiceImageTags">
    <vt:lpwstr/>
  </property>
</Properties>
</file>