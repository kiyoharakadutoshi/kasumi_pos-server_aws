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2_機能一覧/"/>
    </mc:Choice>
  </mc:AlternateContent>
  <xr:revisionPtr revIDLastSave="823" documentId="8_{993FD32C-C5BF-440D-9D90-706A8979190C}" xr6:coauthVersionLast="47" xr6:coauthVersionMax="47" xr10:uidLastSave="{1475C821-8A18-47B4-88B2-9C8177D67D0E}"/>
  <bookViews>
    <workbookView xWindow="38280" yWindow="-16320" windowWidth="29040" windowHeight="16440" activeTab="2" xr2:uid="{5D23891F-1F5F-4DAA-9C7A-410CA024B883}"/>
  </bookViews>
  <sheets>
    <sheet name="表紙" sheetId="4" r:id="rId1"/>
    <sheet name="改廃履歴" sheetId="3" r:id="rId2"/>
    <sheet name="概念図" sheetId="2" r:id="rId3"/>
    <sheet name="Sheet1" sheetId="1" r:id="rId4"/>
  </sheets>
  <definedNames>
    <definedName name="_xlnm.Print_Area" localSheetId="1">改廃履歴!$A$1:$BK$55</definedName>
    <definedName name="_xlnm.Print_Area" localSheetId="0">表紙!$A$1:$BK$55</definedName>
    <definedName name="_xlnm.Print_Titles" localSheetId="1">改廃履歴!$1:$5</definedName>
    <definedName name="_xlnm.Print_Titles" localSheetId="2">概念図!$1:$5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2" l="1" a="1"/>
  <c r="AP4" i="2" s="1"/>
  <c r="AP2" i="2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T2" i="3" s="1"/>
  <c r="AP2" i="4"/>
  <c r="AP2" i="3" s="1"/>
  <c r="AP4" i="3" a="1"/>
  <c r="AP4" i="3" s="1"/>
  <c r="Z4" i="3"/>
  <c r="W1" i="3"/>
  <c r="K2" i="3"/>
  <c r="H4" i="3"/>
  <c r="A2" i="3"/>
  <c r="BH2" i="2" l="1"/>
  <c r="AY2" i="2"/>
  <c r="AT2" i="2"/>
  <c r="B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<sst xmlns="http://schemas.openxmlformats.org/spreadsheetml/2006/main" count="42" uniqueCount="20">
  <si>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</si>
  <si>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</si>
  <si>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</si>
  <si>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</si>
  <si>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</si>
  <si>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</si>
  <si>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</si>
  <si>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</si>
  <si>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</si>
  <si>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</si>
  <si>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</si>
  <si>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</si>
  <si>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</si>
  <si>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</si>
  <si>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</t>
  </si>
  <si>
    <t>現金専用簡易セルフPOS 基本設計書</t>
  </si>
  <si>
    <t>承認日</t>
  </si>
  <si>
    <t>POSシステム全体概要</t>
    <rPh sb="7" eb="9">
      <t>ゼンタイ</t>
    </rPh>
    <rPh sb="9" eb="11">
      <t>ガイヨウ</t>
    </rPh>
    <phoneticPr fontId="2"/>
  </si>
  <si>
    <t>Thanh Nguyên</t>
    <phoneticPr fontId="2"/>
  </si>
  <si>
    <t>新規作成</t>
    <rPh sb="0" eb="2">
      <t>シンキ</t>
    </rPh>
    <rPh sb="2" eb="4">
      <t>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</si>
</sst>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3" fillId="2" borderId="0" xfId="0" applyFont="1" applyFill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B8193F"/>
      <color rgb="FFC40757"/>
      <color rgb="FF275538"/>
      <color rgb="FF00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</xdr:colOff>
      <xdr:row>9</xdr:row>
      <xdr:rowOff>0</xdr:rowOff>
    </xdr:from>
    <xdr:to>
      <xdr:col>36</xdr:col>
      <xdr:colOff>1</xdr:colOff>
      <xdr:row>13</xdr:row>
      <xdr:rowOff>0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010CF2DC-963A-447E-BBAE-D50EC5316EC1}"/>
            </a:ext>
          </a:extLst>
        </xdr:cNvPr>
        <xdr:cNvSpPr/>
      </xdr:nvSpPr>
      <xdr:spPr>
        <a:xfrm>
          <a:off x="7480301" y="1841500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(KSM)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0</xdr:colOff>
      <xdr:row>9</xdr:row>
      <xdr:rowOff>0</xdr:rowOff>
    </xdr:from>
    <xdr:to>
      <xdr:col>28</xdr:col>
      <xdr:colOff>0</xdr:colOff>
      <xdr:row>13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E1B8B42-5072-4E07-8649-840BD6251F98}"/>
            </a:ext>
          </a:extLst>
        </xdr:cNvPr>
        <xdr:cNvSpPr/>
      </xdr:nvSpPr>
      <xdr:spPr>
        <a:xfrm>
          <a:off x="5308600" y="1841500"/>
          <a:ext cx="1447800" cy="762000"/>
        </a:xfrm>
        <a:prstGeom prst="rect">
          <a:avLst/>
        </a:prstGeom>
        <a:solidFill>
          <a:schemeClr val="bg1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POSServer(KSM)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21</xdr:col>
      <xdr:colOff>225425</xdr:colOff>
      <xdr:row>19</xdr:row>
      <xdr:rowOff>0</xdr:rowOff>
    </xdr:from>
    <xdr:to>
      <xdr:col>28</xdr:col>
      <xdr:colOff>0</xdr:colOff>
      <xdr:row>23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112A435-FD9D-48D5-9BC7-1AC1EF8DD43E}"/>
            </a:ext>
          </a:extLst>
        </xdr:cNvPr>
        <xdr:cNvSpPr/>
      </xdr:nvSpPr>
      <xdr:spPr>
        <a:xfrm>
          <a:off x="5292725" y="3746500"/>
          <a:ext cx="1463675" cy="762000"/>
        </a:xfrm>
        <a:prstGeom prst="rect">
          <a:avLst/>
        </a:prstGeom>
        <a:solidFill>
          <a:schemeClr val="bg1"/>
        </a:solidFill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POSServer(ING)</a:t>
          </a:r>
          <a:b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22</xdr:col>
      <xdr:colOff>1</xdr:colOff>
      <xdr:row>29</xdr:row>
      <xdr:rowOff>0</xdr:rowOff>
    </xdr:from>
    <xdr:to>
      <xdr:col>28</xdr:col>
      <xdr:colOff>0</xdr:colOff>
      <xdr:row>33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3364EAC-947A-4166-874B-B0E64F127015}"/>
            </a:ext>
          </a:extLst>
        </xdr:cNvPr>
        <xdr:cNvSpPr/>
      </xdr:nvSpPr>
      <xdr:spPr>
        <a:xfrm>
          <a:off x="5308601" y="5651500"/>
          <a:ext cx="1447799" cy="762000"/>
        </a:xfrm>
        <a:prstGeom prst="rect">
          <a:avLst/>
        </a:prstGeom>
        <a:solidFill>
          <a:schemeClr val="bg1"/>
        </a:solidFill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POSServer(MRE)</a:t>
          </a:r>
          <a:b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22</xdr:col>
      <xdr:colOff>0</xdr:colOff>
      <xdr:row>39</xdr:row>
      <xdr:rowOff>1</xdr:rowOff>
    </xdr:from>
    <xdr:to>
      <xdr:col>27</xdr:col>
      <xdr:colOff>241299</xdr:colOff>
      <xdr:row>43</xdr:row>
      <xdr:rowOff>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B4E08A4-FC22-49F1-BF29-39B338963C10}"/>
            </a:ext>
          </a:extLst>
        </xdr:cNvPr>
        <xdr:cNvSpPr/>
      </xdr:nvSpPr>
      <xdr:spPr>
        <a:xfrm>
          <a:off x="5308600" y="7556501"/>
          <a:ext cx="1447799" cy="762000"/>
        </a:xfrm>
        <a:prstGeom prst="rect">
          <a:avLst/>
        </a:prstGeom>
        <a:solidFill>
          <a:schemeClr val="bg1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POSServer(MVK)</a:t>
          </a:r>
          <a:b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54</xdr:col>
      <xdr:colOff>0</xdr:colOff>
      <xdr:row>14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229EE4B8-6D10-48B4-8FDA-715F43B39760}"/>
            </a:ext>
          </a:extLst>
        </xdr:cNvPr>
        <xdr:cNvSpPr/>
      </xdr:nvSpPr>
      <xdr:spPr>
        <a:xfrm>
          <a:off x="241300" y="1460500"/>
          <a:ext cx="12788900" cy="1333500"/>
        </a:xfrm>
        <a:prstGeom prst="rect">
          <a:avLst/>
        </a:prstGeom>
        <a:noFill/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7</xdr:col>
      <xdr:colOff>0</xdr:colOff>
      <xdr:row>13</xdr:row>
      <xdr:rowOff>0</xdr:rowOff>
    </xdr:to>
    <xdr:sp macro="" textlink="">
      <xdr:nvSpPr>
        <xdr:cNvPr id="34" name="フローチャート: 処理 33">
          <a:extLst>
            <a:ext uri="{FF2B5EF4-FFF2-40B4-BE49-F238E27FC236}">
              <a16:creationId xmlns:a16="http://schemas.microsoft.com/office/drawing/2014/main" id="{055F47A3-0CFC-4422-9D5B-1656A2A14902}"/>
            </a:ext>
          </a:extLst>
        </xdr:cNvPr>
        <xdr:cNvSpPr/>
      </xdr:nvSpPr>
      <xdr:spPr>
        <a:xfrm>
          <a:off x="482600" y="1841500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7</xdr:col>
      <xdr:colOff>0</xdr:colOff>
      <xdr:row>8</xdr:row>
      <xdr:rowOff>38099</xdr:rowOff>
    </xdr:to>
    <xdr:sp macro="" textlink="">
      <xdr:nvSpPr>
        <xdr:cNvPr id="45" name="フローチャート: 代替処理 44">
          <a:extLst>
            <a:ext uri="{FF2B5EF4-FFF2-40B4-BE49-F238E27FC236}">
              <a16:creationId xmlns:a16="http://schemas.microsoft.com/office/drawing/2014/main" id="{4C7AF4B5-0AD0-44C3-9BE6-87BB157E5D99}"/>
            </a:ext>
          </a:extLst>
        </xdr:cNvPr>
        <xdr:cNvSpPr/>
      </xdr:nvSpPr>
      <xdr:spPr>
        <a:xfrm>
          <a:off x="482600" y="1270000"/>
          <a:ext cx="1206500" cy="419099"/>
        </a:xfrm>
        <a:prstGeom prst="flowChartAlternateProcess">
          <a:avLst/>
        </a:prstGeom>
        <a:solidFill>
          <a:srgbClr val="B8193F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カスミ様</a:t>
          </a:r>
        </a:p>
      </xdr:txBody>
    </xdr:sp>
    <xdr:clientData/>
  </xdr:twoCellAnchor>
  <xdr:twoCellAnchor>
    <xdr:from>
      <xdr:col>1</xdr:col>
      <xdr:colOff>0</xdr:colOff>
      <xdr:row>17</xdr:row>
      <xdr:rowOff>1</xdr:rowOff>
    </xdr:from>
    <xdr:to>
      <xdr:col>54</xdr:col>
      <xdr:colOff>0</xdr:colOff>
      <xdr:row>24</xdr:row>
      <xdr:rowOff>1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C1CE2555-FEDA-4D92-8158-401D41634D31}"/>
            </a:ext>
          </a:extLst>
        </xdr:cNvPr>
        <xdr:cNvSpPr/>
      </xdr:nvSpPr>
      <xdr:spPr>
        <a:xfrm>
          <a:off x="241300" y="3365501"/>
          <a:ext cx="12788900" cy="1333500"/>
        </a:xfrm>
        <a:prstGeom prst="rect">
          <a:avLst/>
        </a:prstGeom>
        <a:noFill/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16</xdr:row>
      <xdr:rowOff>1</xdr:rowOff>
    </xdr:from>
    <xdr:to>
      <xdr:col>7</xdr:col>
      <xdr:colOff>0</xdr:colOff>
      <xdr:row>18</xdr:row>
      <xdr:rowOff>1</xdr:rowOff>
    </xdr:to>
    <xdr:sp macro="" textlink="">
      <xdr:nvSpPr>
        <xdr:cNvPr id="50" name="フローチャート: 代替処理 49">
          <a:extLst>
            <a:ext uri="{FF2B5EF4-FFF2-40B4-BE49-F238E27FC236}">
              <a16:creationId xmlns:a16="http://schemas.microsoft.com/office/drawing/2014/main" id="{44DB800A-A720-4CF2-B675-E08493A01DEB}"/>
            </a:ext>
          </a:extLst>
        </xdr:cNvPr>
        <xdr:cNvSpPr/>
      </xdr:nvSpPr>
      <xdr:spPr>
        <a:xfrm>
          <a:off x="482600" y="3175001"/>
          <a:ext cx="1206500" cy="381000"/>
        </a:xfrm>
        <a:prstGeom prst="flowChartAlternateProcess">
          <a:avLst/>
        </a:prstGeom>
        <a:solidFill>
          <a:srgbClr val="009B3F"/>
        </a:solidFill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いなげや様</a:t>
          </a:r>
        </a:p>
      </xdr:txBody>
    </xdr:sp>
    <xdr:clientData/>
  </xdr:twoCellAnchor>
  <xdr:twoCellAnchor>
    <xdr:from>
      <xdr:col>1</xdr:col>
      <xdr:colOff>0</xdr:colOff>
      <xdr:row>27</xdr:row>
      <xdr:rowOff>1</xdr:rowOff>
    </xdr:from>
    <xdr:to>
      <xdr:col>54</xdr:col>
      <xdr:colOff>0</xdr:colOff>
      <xdr:row>34</xdr:row>
      <xdr:rowOff>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F3D63BEE-E392-4743-B402-62F7C51AF55F}"/>
            </a:ext>
          </a:extLst>
        </xdr:cNvPr>
        <xdr:cNvSpPr/>
      </xdr:nvSpPr>
      <xdr:spPr>
        <a:xfrm>
          <a:off x="241300" y="5270501"/>
          <a:ext cx="12788900" cy="1333500"/>
        </a:xfrm>
        <a:prstGeom prst="rect">
          <a:avLst/>
        </a:prstGeom>
        <a:noFill/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1</xdr:rowOff>
    </xdr:from>
    <xdr:to>
      <xdr:col>7</xdr:col>
      <xdr:colOff>0</xdr:colOff>
      <xdr:row>28</xdr:row>
      <xdr:rowOff>1</xdr:rowOff>
    </xdr:to>
    <xdr:sp macro="" textlink="">
      <xdr:nvSpPr>
        <xdr:cNvPr id="52" name="フローチャート: 代替処理 51">
          <a:extLst>
            <a:ext uri="{FF2B5EF4-FFF2-40B4-BE49-F238E27FC236}">
              <a16:creationId xmlns:a16="http://schemas.microsoft.com/office/drawing/2014/main" id="{222DBB73-9FCE-40E3-B85B-38A076908154}"/>
            </a:ext>
          </a:extLst>
        </xdr:cNvPr>
        <xdr:cNvSpPr/>
      </xdr:nvSpPr>
      <xdr:spPr>
        <a:xfrm>
          <a:off x="482600" y="5080001"/>
          <a:ext cx="1206500" cy="381000"/>
        </a:xfrm>
        <a:prstGeom prst="flowChartAlternateProcess">
          <a:avLst/>
        </a:prstGeom>
        <a:solidFill>
          <a:srgbClr val="275538"/>
        </a:solidFill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マルエツ様</a:t>
          </a:r>
        </a:p>
      </xdr:txBody>
    </xdr:sp>
    <xdr:clientData/>
  </xdr:twoCellAnchor>
  <xdr:twoCellAnchor>
    <xdr:from>
      <xdr:col>1</xdr:col>
      <xdr:colOff>0</xdr:colOff>
      <xdr:row>37</xdr:row>
      <xdr:rowOff>0</xdr:rowOff>
    </xdr:from>
    <xdr:to>
      <xdr:col>54</xdr:col>
      <xdr:colOff>0</xdr:colOff>
      <xdr:row>44</xdr:row>
      <xdr:rowOff>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1981EED7-83B6-4896-B106-5C9E5A57E4A0}"/>
            </a:ext>
          </a:extLst>
        </xdr:cNvPr>
        <xdr:cNvSpPr/>
      </xdr:nvSpPr>
      <xdr:spPr>
        <a:xfrm>
          <a:off x="241300" y="7175500"/>
          <a:ext cx="12788900" cy="1333501"/>
        </a:xfrm>
        <a:prstGeom prst="rect">
          <a:avLst/>
        </a:prstGeom>
        <a:noFill/>
        <a:ln w="28575">
          <a:solidFill>
            <a:srgbClr val="C4075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36</xdr:row>
      <xdr:rowOff>0</xdr:rowOff>
    </xdr:from>
    <xdr:to>
      <xdr:col>7</xdr:col>
      <xdr:colOff>0</xdr:colOff>
      <xdr:row>38</xdr:row>
      <xdr:rowOff>38099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1D0ECB82-062D-41BE-B823-B9D78680A3B6}"/>
            </a:ext>
          </a:extLst>
        </xdr:cNvPr>
        <xdr:cNvSpPr/>
      </xdr:nvSpPr>
      <xdr:spPr>
        <a:xfrm>
          <a:off x="482600" y="6985000"/>
          <a:ext cx="1206500" cy="419099"/>
        </a:xfrm>
        <a:prstGeom prst="flowChartAlternateProcess">
          <a:avLst/>
        </a:prstGeom>
        <a:solidFill>
          <a:srgbClr val="C40757"/>
        </a:solidFill>
        <a:ln w="28575">
          <a:solidFill>
            <a:srgbClr val="C4075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MV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関東様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7</xdr:col>
      <xdr:colOff>0</xdr:colOff>
      <xdr:row>23</xdr:row>
      <xdr:rowOff>0</xdr:rowOff>
    </xdr:to>
    <xdr:sp macro="" textlink="">
      <xdr:nvSpPr>
        <xdr:cNvPr id="55" name="フローチャート: 処理 54">
          <a:extLst>
            <a:ext uri="{FF2B5EF4-FFF2-40B4-BE49-F238E27FC236}">
              <a16:creationId xmlns:a16="http://schemas.microsoft.com/office/drawing/2014/main" id="{48293866-285A-4340-9292-0472B20CD91D}"/>
            </a:ext>
          </a:extLst>
        </xdr:cNvPr>
        <xdr:cNvSpPr/>
      </xdr:nvSpPr>
      <xdr:spPr>
        <a:xfrm>
          <a:off x="482600" y="3746500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7</xdr:col>
      <xdr:colOff>0</xdr:colOff>
      <xdr:row>33</xdr:row>
      <xdr:rowOff>0</xdr:rowOff>
    </xdr:to>
    <xdr:sp macro="" textlink="">
      <xdr:nvSpPr>
        <xdr:cNvPr id="56" name="フローチャート: 処理 55">
          <a:extLst>
            <a:ext uri="{FF2B5EF4-FFF2-40B4-BE49-F238E27FC236}">
              <a16:creationId xmlns:a16="http://schemas.microsoft.com/office/drawing/2014/main" id="{F3377BD6-1854-492A-8E0F-E7C5C3547F10}"/>
            </a:ext>
          </a:extLst>
        </xdr:cNvPr>
        <xdr:cNvSpPr/>
      </xdr:nvSpPr>
      <xdr:spPr>
        <a:xfrm>
          <a:off x="482600" y="5651500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39</xdr:row>
      <xdr:rowOff>0</xdr:rowOff>
    </xdr:from>
    <xdr:to>
      <xdr:col>7</xdr:col>
      <xdr:colOff>0</xdr:colOff>
      <xdr:row>43</xdr:row>
      <xdr:rowOff>0</xdr:rowOff>
    </xdr:to>
    <xdr:sp macro="" textlink="">
      <xdr:nvSpPr>
        <xdr:cNvPr id="57" name="フローチャート: 処理 56">
          <a:extLst>
            <a:ext uri="{FF2B5EF4-FFF2-40B4-BE49-F238E27FC236}">
              <a16:creationId xmlns:a16="http://schemas.microsoft.com/office/drawing/2014/main" id="{B9E46FAC-3A93-40AC-B239-D65519BAE037}"/>
            </a:ext>
          </a:extLst>
        </xdr:cNvPr>
        <xdr:cNvSpPr/>
      </xdr:nvSpPr>
      <xdr:spPr>
        <a:xfrm>
          <a:off x="482600" y="7556500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</xdr:row>
      <xdr:rowOff>1</xdr:rowOff>
    </xdr:from>
    <xdr:to>
      <xdr:col>18</xdr:col>
      <xdr:colOff>0</xdr:colOff>
      <xdr:row>36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1314D0F5-B615-47FE-8481-425F331F6E3D}"/>
            </a:ext>
          </a:extLst>
        </xdr:cNvPr>
        <xdr:cNvSpPr/>
      </xdr:nvSpPr>
      <xdr:spPr>
        <a:xfrm>
          <a:off x="2654300" y="4508501"/>
          <a:ext cx="1689100" cy="2476499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25</xdr:row>
      <xdr:rowOff>1</xdr:rowOff>
    </xdr:from>
    <xdr:to>
      <xdr:col>17</xdr:col>
      <xdr:colOff>0</xdr:colOff>
      <xdr:row>29</xdr:row>
      <xdr:rowOff>1</xdr:rowOff>
    </xdr:to>
    <xdr:sp macro="" textlink="">
      <xdr:nvSpPr>
        <xdr:cNvPr id="39" name="四角形: 角を丸くする 38">
          <a:extLst>
            <a:ext uri="{FF2B5EF4-FFF2-40B4-BE49-F238E27FC236}">
              <a16:creationId xmlns:a16="http://schemas.microsoft.com/office/drawing/2014/main" id="{32B3433B-BC0B-49F8-9413-538A14833A8A}"/>
            </a:ext>
          </a:extLst>
        </xdr:cNvPr>
        <xdr:cNvSpPr/>
      </xdr:nvSpPr>
      <xdr:spPr>
        <a:xfrm>
          <a:off x="2895600" y="4889501"/>
          <a:ext cx="1206500" cy="762000"/>
        </a:xfrm>
        <a:prstGeom prst="roundRect">
          <a:avLst/>
        </a:prstGeom>
        <a:solidFill>
          <a:schemeClr val="bg1"/>
        </a:solidFill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ログイン機能</a:t>
          </a: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12</xdr:col>
      <xdr:colOff>0</xdr:colOff>
      <xdr:row>27</xdr:row>
      <xdr:rowOff>1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5756ADA5-954D-45E1-A845-5EBB9FA381F7}"/>
            </a:ext>
          </a:extLst>
        </xdr:cNvPr>
        <xdr:cNvCxnSpPr>
          <a:stCxn id="34" idx="3"/>
          <a:endCxn id="39" idx="1"/>
        </xdr:cNvCxnSpPr>
      </xdr:nvCxnSpPr>
      <xdr:spPr>
        <a:xfrm>
          <a:off x="1689100" y="2222500"/>
          <a:ext cx="1206500" cy="304800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0</xdr:colOff>
      <xdr:row>27</xdr:row>
      <xdr:rowOff>1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7A769177-19DA-4480-90C1-EF2E76F5E2C1}"/>
            </a:ext>
          </a:extLst>
        </xdr:cNvPr>
        <xdr:cNvCxnSpPr>
          <a:stCxn id="55" idx="3"/>
          <a:endCxn id="39" idx="1"/>
        </xdr:cNvCxnSpPr>
      </xdr:nvCxnSpPr>
      <xdr:spPr>
        <a:xfrm>
          <a:off x="1689100" y="4127500"/>
          <a:ext cx="1206500" cy="114300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1</xdr:rowOff>
    </xdr:from>
    <xdr:to>
      <xdr:col>12</xdr:col>
      <xdr:colOff>0</xdr:colOff>
      <xdr:row>31</xdr:row>
      <xdr:rowOff>0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257DF021-1603-4DC6-870F-EFF97EFEEB43}"/>
            </a:ext>
          </a:extLst>
        </xdr:cNvPr>
        <xdr:cNvCxnSpPr>
          <a:stCxn id="56" idx="3"/>
          <a:endCxn id="39" idx="1"/>
        </xdr:cNvCxnSpPr>
      </xdr:nvCxnSpPr>
      <xdr:spPr>
        <a:xfrm flipV="1">
          <a:off x="1689100" y="5270501"/>
          <a:ext cx="1206500" cy="76199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1</xdr:rowOff>
    </xdr:from>
    <xdr:to>
      <xdr:col>12</xdr:col>
      <xdr:colOff>0</xdr:colOff>
      <xdr:row>41</xdr:row>
      <xdr:rowOff>0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1791FA53-5811-4065-9624-3431CFC18933}"/>
            </a:ext>
          </a:extLst>
        </xdr:cNvPr>
        <xdr:cNvCxnSpPr>
          <a:stCxn id="57" idx="3"/>
          <a:endCxn id="39" idx="1"/>
        </xdr:cNvCxnSpPr>
      </xdr:nvCxnSpPr>
      <xdr:spPr>
        <a:xfrm flipV="1">
          <a:off x="1689100" y="5270501"/>
          <a:ext cx="1206500" cy="266699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31</xdr:row>
      <xdr:rowOff>1</xdr:rowOff>
    </xdr:from>
    <xdr:to>
      <xdr:col>17</xdr:col>
      <xdr:colOff>0</xdr:colOff>
      <xdr:row>35</xdr:row>
      <xdr:rowOff>1</xdr:rowOff>
    </xdr:to>
    <xdr:sp macro="" textlink="">
      <xdr:nvSpPr>
        <xdr:cNvPr id="40" name="フローチャート: 磁気ディスク 39">
          <a:extLst>
            <a:ext uri="{FF2B5EF4-FFF2-40B4-BE49-F238E27FC236}">
              <a16:creationId xmlns:a16="http://schemas.microsoft.com/office/drawing/2014/main" id="{3B831A14-C03D-40B5-B17D-A3486A169C92}"/>
            </a:ext>
          </a:extLst>
        </xdr:cNvPr>
        <xdr:cNvSpPr/>
      </xdr:nvSpPr>
      <xdr:spPr>
        <a:xfrm>
          <a:off x="2895600" y="6032501"/>
          <a:ext cx="1206500" cy="762000"/>
        </a:xfrm>
        <a:prstGeom prst="flowChartMagneticDisk">
          <a:avLst/>
        </a:prstGeom>
        <a:solidFill>
          <a:schemeClr val="bg1"/>
        </a:solidFill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rIns="3600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最近、流行っているのは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Auth0 </a:t>
          </a:r>
        </a:p>
      </xdr:txBody>
    </xdr:sp>
    <xdr:clientData/>
  </xdr:twoCellAnchor>
  <xdr:twoCellAnchor>
    <xdr:from>
      <xdr:col>13</xdr:col>
      <xdr:colOff>139700</xdr:colOff>
      <xdr:row>28</xdr:row>
      <xdr:rowOff>0</xdr:rowOff>
    </xdr:from>
    <xdr:to>
      <xdr:col>15</xdr:col>
      <xdr:colOff>101600</xdr:colOff>
      <xdr:row>31</xdr:row>
      <xdr:rowOff>0</xdr:rowOff>
    </xdr:to>
    <xdr:sp macro="" textlink="">
      <xdr:nvSpPr>
        <xdr:cNvPr id="87" name="矢印: 上下 86">
          <a:extLst>
            <a:ext uri="{FF2B5EF4-FFF2-40B4-BE49-F238E27FC236}">
              <a16:creationId xmlns:a16="http://schemas.microsoft.com/office/drawing/2014/main" id="{69FFC5C1-D862-C851-090B-F371E65767FD}"/>
            </a:ext>
          </a:extLst>
        </xdr:cNvPr>
        <xdr:cNvSpPr/>
      </xdr:nvSpPr>
      <xdr:spPr>
        <a:xfrm>
          <a:off x="3276600" y="5461000"/>
          <a:ext cx="444500" cy="571500"/>
        </a:xfrm>
        <a:prstGeom prst="upDownArrow">
          <a:avLst/>
        </a:prstGeom>
        <a:solidFill>
          <a:schemeClr val="tx2">
            <a:lumMod val="10000"/>
            <a:lumOff val="90000"/>
          </a:schemeClr>
        </a:solidFill>
        <a:ln w="31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0</xdr:colOff>
      <xdr:row>22</xdr:row>
      <xdr:rowOff>1</xdr:rowOff>
    </xdr:from>
    <xdr:to>
      <xdr:col>17</xdr:col>
      <xdr:colOff>0</xdr:colOff>
      <xdr:row>24</xdr:row>
      <xdr:rowOff>1</xdr:rowOff>
    </xdr:to>
    <xdr:sp macro="" textlink="">
      <xdr:nvSpPr>
        <xdr:cNvPr id="88" name="フローチャート: 代替処理 87">
          <a:extLst>
            <a:ext uri="{FF2B5EF4-FFF2-40B4-BE49-F238E27FC236}">
              <a16:creationId xmlns:a16="http://schemas.microsoft.com/office/drawing/2014/main" id="{1CE42210-3C30-43D7-BE20-21A6E9223C27}"/>
            </a:ext>
          </a:extLst>
        </xdr:cNvPr>
        <xdr:cNvSpPr/>
      </xdr:nvSpPr>
      <xdr:spPr>
        <a:xfrm>
          <a:off x="2895600" y="4318001"/>
          <a:ext cx="1206500" cy="381000"/>
        </a:xfrm>
        <a:prstGeom prst="flowChartAlternateProcess">
          <a:avLst/>
        </a:prstGeom>
        <a:solidFill>
          <a:schemeClr val="tx1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ログイン機能</a:t>
          </a:r>
        </a:p>
      </xdr:txBody>
    </xdr:sp>
    <xdr:clientData/>
  </xdr:twoCellAnchor>
  <xdr:twoCellAnchor>
    <xdr:from>
      <xdr:col>1</xdr:col>
      <xdr:colOff>0</xdr:colOff>
      <xdr:row>46</xdr:row>
      <xdr:rowOff>152402</xdr:rowOff>
    </xdr:from>
    <xdr:to>
      <xdr:col>54</xdr:col>
      <xdr:colOff>0</xdr:colOff>
      <xdr:row>53</xdr:row>
      <xdr:rowOff>152402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217A0FEF-ABD1-4B28-BA64-A531BCA47640}"/>
            </a:ext>
          </a:extLst>
        </xdr:cNvPr>
        <xdr:cNvSpPr/>
      </xdr:nvSpPr>
      <xdr:spPr>
        <a:xfrm>
          <a:off x="241300" y="9042402"/>
          <a:ext cx="12788900" cy="1333500"/>
        </a:xfrm>
        <a:prstGeom prst="rect">
          <a:avLst/>
        </a:prstGeom>
        <a:noFill/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t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90" name="フローチャート: 代替処理 89">
          <a:extLst>
            <a:ext uri="{FF2B5EF4-FFF2-40B4-BE49-F238E27FC236}">
              <a16:creationId xmlns:a16="http://schemas.microsoft.com/office/drawing/2014/main" id="{8A4A4B46-766A-418F-A797-3DFFBEC5AE7F}"/>
            </a:ext>
          </a:extLst>
        </xdr:cNvPr>
        <xdr:cNvSpPr/>
      </xdr:nvSpPr>
      <xdr:spPr>
        <a:xfrm>
          <a:off x="482600" y="8890000"/>
          <a:ext cx="1206500" cy="381000"/>
        </a:xfrm>
        <a:prstGeom prst="flowChartAlternateProcess">
          <a:avLst/>
        </a:prstGeom>
        <a:solidFill>
          <a:schemeClr val="bg1">
            <a:lumMod val="5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その他 個社</a:t>
          </a:r>
        </a:p>
      </xdr:txBody>
    </xdr:sp>
    <xdr:clientData/>
  </xdr:twoCellAnchor>
  <xdr:twoCellAnchor>
    <xdr:from>
      <xdr:col>2</xdr:col>
      <xdr:colOff>0</xdr:colOff>
      <xdr:row>48</xdr:row>
      <xdr:rowOff>152401</xdr:rowOff>
    </xdr:from>
    <xdr:to>
      <xdr:col>7</xdr:col>
      <xdr:colOff>0</xdr:colOff>
      <xdr:row>52</xdr:row>
      <xdr:rowOff>152401</xdr:rowOff>
    </xdr:to>
    <xdr:sp macro="" textlink="">
      <xdr:nvSpPr>
        <xdr:cNvPr id="91" name="フローチャート: 処理 90">
          <a:extLst>
            <a:ext uri="{FF2B5EF4-FFF2-40B4-BE49-F238E27FC236}">
              <a16:creationId xmlns:a16="http://schemas.microsoft.com/office/drawing/2014/main" id="{A47AC30F-BDB0-4357-AAA9-94647A2619E0}"/>
            </a:ext>
          </a:extLst>
        </xdr:cNvPr>
        <xdr:cNvSpPr/>
      </xdr:nvSpPr>
      <xdr:spPr>
        <a:xfrm>
          <a:off x="482600" y="9423401"/>
          <a:ext cx="1206500" cy="762000"/>
        </a:xfrm>
        <a:prstGeom prst="flowChartProcess">
          <a:avLst/>
        </a:prstGeom>
        <a:solidFill>
          <a:schemeClr val="bg1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WEB-PC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27</xdr:row>
      <xdr:rowOff>1</xdr:rowOff>
    </xdr:from>
    <xdr:to>
      <xdr:col>12</xdr:col>
      <xdr:colOff>0</xdr:colOff>
      <xdr:row>50</xdr:row>
      <xdr:rowOff>152401</xdr:rowOff>
    </xdr:to>
    <xdr:cxnSp macro="">
      <xdr:nvCxnSpPr>
        <xdr:cNvPr id="92" name="直線コネクタ 91">
          <a:extLst>
            <a:ext uri="{FF2B5EF4-FFF2-40B4-BE49-F238E27FC236}">
              <a16:creationId xmlns:a16="http://schemas.microsoft.com/office/drawing/2014/main" id="{71F17F49-DB5B-4CBD-B8AD-AF1586A613F7}"/>
            </a:ext>
          </a:extLst>
        </xdr:cNvPr>
        <xdr:cNvCxnSpPr>
          <a:stCxn id="91" idx="3"/>
          <a:endCxn id="39" idx="1"/>
        </xdr:cNvCxnSpPr>
      </xdr:nvCxnSpPr>
      <xdr:spPr>
        <a:xfrm flipV="1">
          <a:off x="1689100" y="5270501"/>
          <a:ext cx="1206500" cy="453390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</xdr:row>
      <xdr:rowOff>0</xdr:rowOff>
    </xdr:from>
    <xdr:to>
      <xdr:col>22</xdr:col>
      <xdr:colOff>0</xdr:colOff>
      <xdr:row>27</xdr:row>
      <xdr:rowOff>1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AEBDD5B1-3F73-4F0A-82FE-67E88C614DA5}"/>
            </a:ext>
          </a:extLst>
        </xdr:cNvPr>
        <xdr:cNvCxnSpPr>
          <a:stCxn id="39" idx="3"/>
          <a:endCxn id="15" idx="1"/>
        </xdr:cNvCxnSpPr>
      </xdr:nvCxnSpPr>
      <xdr:spPr>
        <a:xfrm flipV="1">
          <a:off x="4102100" y="2222500"/>
          <a:ext cx="1206500" cy="304800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21</xdr:row>
      <xdr:rowOff>0</xdr:rowOff>
    </xdr:from>
    <xdr:to>
      <xdr:col>21</xdr:col>
      <xdr:colOff>225425</xdr:colOff>
      <xdr:row>27</xdr:row>
      <xdr:rowOff>1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1309775F-4F6F-4AAB-9068-B3C124A894F4}"/>
            </a:ext>
          </a:extLst>
        </xdr:cNvPr>
        <xdr:cNvCxnSpPr>
          <a:stCxn id="39" idx="3"/>
          <a:endCxn id="16" idx="1"/>
        </xdr:cNvCxnSpPr>
      </xdr:nvCxnSpPr>
      <xdr:spPr>
        <a:xfrm flipV="1">
          <a:off x="4102100" y="4127500"/>
          <a:ext cx="1190625" cy="114300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1</xdr:rowOff>
    </xdr:from>
    <xdr:to>
      <xdr:col>22</xdr:col>
      <xdr:colOff>1</xdr:colOff>
      <xdr:row>31</xdr:row>
      <xdr:rowOff>0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89618C6D-AEB4-44EB-AF38-58BF4DB2642F}"/>
            </a:ext>
          </a:extLst>
        </xdr:cNvPr>
        <xdr:cNvCxnSpPr>
          <a:stCxn id="39" idx="3"/>
          <a:endCxn id="17" idx="1"/>
        </xdr:cNvCxnSpPr>
      </xdr:nvCxnSpPr>
      <xdr:spPr>
        <a:xfrm>
          <a:off x="4102100" y="5270501"/>
          <a:ext cx="1206501" cy="76199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1</xdr:rowOff>
    </xdr:from>
    <xdr:to>
      <xdr:col>22</xdr:col>
      <xdr:colOff>0</xdr:colOff>
      <xdr:row>41</xdr:row>
      <xdr:rowOff>1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2DD48716-8474-46C6-B0C9-CEC389C01C03}"/>
            </a:ext>
          </a:extLst>
        </xdr:cNvPr>
        <xdr:cNvCxnSpPr>
          <a:stCxn id="39" idx="3"/>
          <a:endCxn id="18" idx="1"/>
        </xdr:cNvCxnSpPr>
      </xdr:nvCxnSpPr>
      <xdr:spPr>
        <a:xfrm>
          <a:off x="4102100" y="5270501"/>
          <a:ext cx="1206500" cy="266700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49</xdr:row>
      <xdr:rowOff>0</xdr:rowOff>
    </xdr:from>
    <xdr:to>
      <xdr:col>28</xdr:col>
      <xdr:colOff>0</xdr:colOff>
      <xdr:row>53</xdr:row>
      <xdr:rowOff>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2CF22BF1-FFCD-4BFC-9A7F-97B6EE2700CA}"/>
            </a:ext>
          </a:extLst>
        </xdr:cNvPr>
        <xdr:cNvSpPr/>
      </xdr:nvSpPr>
      <xdr:spPr>
        <a:xfrm>
          <a:off x="5308600" y="9461500"/>
          <a:ext cx="1447800" cy="762000"/>
        </a:xfrm>
        <a:prstGeom prst="rect">
          <a:avLst/>
        </a:prstGeom>
        <a:solidFill>
          <a:schemeClr val="bg1"/>
        </a:solidFill>
        <a:ln w="285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POSServer(XYZ)</a:t>
          </a:r>
          <a:b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台</a:t>
          </a:r>
        </a:p>
      </xdr:txBody>
    </xdr:sp>
    <xdr:clientData/>
  </xdr:twoCellAnchor>
  <xdr:twoCellAnchor>
    <xdr:from>
      <xdr:col>17</xdr:col>
      <xdr:colOff>0</xdr:colOff>
      <xdr:row>27</xdr:row>
      <xdr:rowOff>1</xdr:rowOff>
    </xdr:from>
    <xdr:to>
      <xdr:col>22</xdr:col>
      <xdr:colOff>0</xdr:colOff>
      <xdr:row>51</xdr:row>
      <xdr:rowOff>0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1DC09280-5FBB-4C66-8991-EE3C18E29473}"/>
            </a:ext>
          </a:extLst>
        </xdr:cNvPr>
        <xdr:cNvCxnSpPr>
          <a:stCxn id="39" idx="3"/>
          <a:endCxn id="112" idx="1"/>
        </xdr:cNvCxnSpPr>
      </xdr:nvCxnSpPr>
      <xdr:spPr>
        <a:xfrm>
          <a:off x="4102100" y="5270501"/>
          <a:ext cx="1206500" cy="4571999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18</xdr:row>
      <xdr:rowOff>190499</xdr:rowOff>
    </xdr:from>
    <xdr:to>
      <xdr:col>36</xdr:col>
      <xdr:colOff>0</xdr:colOff>
      <xdr:row>22</xdr:row>
      <xdr:rowOff>190499</xdr:rowOff>
    </xdr:to>
    <xdr:sp macro="" textlink="">
      <xdr:nvSpPr>
        <xdr:cNvPr id="116" name="フローチャート: 磁気ディスク 115">
          <a:extLst>
            <a:ext uri="{FF2B5EF4-FFF2-40B4-BE49-F238E27FC236}">
              <a16:creationId xmlns:a16="http://schemas.microsoft.com/office/drawing/2014/main" id="{E4C9FC5C-490A-448C-BCD1-AF9D5DC6F2F8}"/>
            </a:ext>
          </a:extLst>
        </xdr:cNvPr>
        <xdr:cNvSpPr/>
      </xdr:nvSpPr>
      <xdr:spPr>
        <a:xfrm>
          <a:off x="7480300" y="374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(ING)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28</xdr:row>
      <xdr:rowOff>190499</xdr:rowOff>
    </xdr:from>
    <xdr:to>
      <xdr:col>36</xdr:col>
      <xdr:colOff>0</xdr:colOff>
      <xdr:row>32</xdr:row>
      <xdr:rowOff>190499</xdr:rowOff>
    </xdr:to>
    <xdr:sp macro="" textlink="">
      <xdr:nvSpPr>
        <xdr:cNvPr id="117" name="フローチャート: 磁気ディスク 116">
          <a:extLst>
            <a:ext uri="{FF2B5EF4-FFF2-40B4-BE49-F238E27FC236}">
              <a16:creationId xmlns:a16="http://schemas.microsoft.com/office/drawing/2014/main" id="{3BA00E70-9782-4DC4-8741-1BA2B4B08FCA}"/>
            </a:ext>
          </a:extLst>
        </xdr:cNvPr>
        <xdr:cNvSpPr/>
      </xdr:nvSpPr>
      <xdr:spPr>
        <a:xfrm>
          <a:off x="7480300" y="565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(MRE)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38</xdr:row>
      <xdr:rowOff>190499</xdr:rowOff>
    </xdr:from>
    <xdr:to>
      <xdr:col>36</xdr:col>
      <xdr:colOff>0</xdr:colOff>
      <xdr:row>42</xdr:row>
      <xdr:rowOff>190499</xdr:rowOff>
    </xdr:to>
    <xdr:sp macro="" textlink="">
      <xdr:nvSpPr>
        <xdr:cNvPr id="118" name="フローチャート: 磁気ディスク 117">
          <a:extLst>
            <a:ext uri="{FF2B5EF4-FFF2-40B4-BE49-F238E27FC236}">
              <a16:creationId xmlns:a16="http://schemas.microsoft.com/office/drawing/2014/main" id="{0AAC0CD4-9CE0-474D-8C4D-235404C2C5D0}"/>
            </a:ext>
          </a:extLst>
        </xdr:cNvPr>
        <xdr:cNvSpPr/>
      </xdr:nvSpPr>
      <xdr:spPr>
        <a:xfrm>
          <a:off x="7480300" y="755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(MVK)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48</xdr:row>
      <xdr:rowOff>190499</xdr:rowOff>
    </xdr:from>
    <xdr:to>
      <xdr:col>36</xdr:col>
      <xdr:colOff>0</xdr:colOff>
      <xdr:row>52</xdr:row>
      <xdr:rowOff>190499</xdr:rowOff>
    </xdr:to>
    <xdr:sp macro="" textlink="">
      <xdr:nvSpPr>
        <xdr:cNvPr id="119" name="フローチャート: 磁気ディスク 118">
          <a:extLst>
            <a:ext uri="{FF2B5EF4-FFF2-40B4-BE49-F238E27FC236}">
              <a16:creationId xmlns:a16="http://schemas.microsoft.com/office/drawing/2014/main" id="{12B5E2B4-D342-4BB5-9022-FFA84FC96875}"/>
            </a:ext>
          </a:extLst>
        </xdr:cNvPr>
        <xdr:cNvSpPr/>
      </xdr:nvSpPr>
      <xdr:spPr>
        <a:xfrm>
          <a:off x="7480300" y="946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マスタ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(XYZ)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31</xdr:col>
      <xdr:colOff>1</xdr:colOff>
      <xdr:row>11</xdr:row>
      <xdr:rowOff>0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9D5C4F7C-DBDE-4094-AA15-0A22F19775D4}"/>
            </a:ext>
          </a:extLst>
        </xdr:cNvPr>
        <xdr:cNvCxnSpPr>
          <a:stCxn id="15" idx="3"/>
          <a:endCxn id="2" idx="2"/>
        </xdr:cNvCxnSpPr>
      </xdr:nvCxnSpPr>
      <xdr:spPr>
        <a:xfrm>
          <a:off x="6756400" y="2222500"/>
          <a:ext cx="723901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20</xdr:row>
      <xdr:rowOff>190499</xdr:rowOff>
    </xdr:from>
    <xdr:to>
      <xdr:col>31</xdr:col>
      <xdr:colOff>0</xdr:colOff>
      <xdr:row>21</xdr:row>
      <xdr:rowOff>0</xdr:rowOff>
    </xdr:to>
    <xdr:cxnSp macro="">
      <xdr:nvCxnSpPr>
        <xdr:cNvPr id="123" name="直線コネクタ 122">
          <a:extLst>
            <a:ext uri="{FF2B5EF4-FFF2-40B4-BE49-F238E27FC236}">
              <a16:creationId xmlns:a16="http://schemas.microsoft.com/office/drawing/2014/main" id="{892161A8-0CCD-4A10-9729-6049ED896AB5}"/>
            </a:ext>
          </a:extLst>
        </xdr:cNvPr>
        <xdr:cNvCxnSpPr>
          <a:stCxn id="16" idx="3"/>
          <a:endCxn id="116" idx="2"/>
        </xdr:cNvCxnSpPr>
      </xdr:nvCxnSpPr>
      <xdr:spPr>
        <a:xfrm flipV="1">
          <a:off x="6756400" y="412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30</xdr:row>
      <xdr:rowOff>190499</xdr:rowOff>
    </xdr:from>
    <xdr:to>
      <xdr:col>31</xdr:col>
      <xdr:colOff>0</xdr:colOff>
      <xdr:row>31</xdr:row>
      <xdr:rowOff>0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id="{C5F86C1C-315D-4C4A-92D2-44B08821A5E1}"/>
            </a:ext>
          </a:extLst>
        </xdr:cNvPr>
        <xdr:cNvCxnSpPr>
          <a:stCxn id="17" idx="3"/>
          <a:endCxn id="117" idx="2"/>
        </xdr:cNvCxnSpPr>
      </xdr:nvCxnSpPr>
      <xdr:spPr>
        <a:xfrm flipV="1">
          <a:off x="6756400" y="603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241299</xdr:colOff>
      <xdr:row>40</xdr:row>
      <xdr:rowOff>190499</xdr:rowOff>
    </xdr:from>
    <xdr:to>
      <xdr:col>31</xdr:col>
      <xdr:colOff>0</xdr:colOff>
      <xdr:row>41</xdr:row>
      <xdr:rowOff>1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B7E086C0-CF79-418C-BF88-5156B9833D4F}"/>
            </a:ext>
          </a:extLst>
        </xdr:cNvPr>
        <xdr:cNvCxnSpPr>
          <a:stCxn id="18" idx="3"/>
          <a:endCxn id="118" idx="2"/>
        </xdr:cNvCxnSpPr>
      </xdr:nvCxnSpPr>
      <xdr:spPr>
        <a:xfrm flipV="1">
          <a:off x="6756399" y="7937499"/>
          <a:ext cx="723901" cy="2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50</xdr:row>
      <xdr:rowOff>190499</xdr:rowOff>
    </xdr:from>
    <xdr:to>
      <xdr:col>31</xdr:col>
      <xdr:colOff>0</xdr:colOff>
      <xdr:row>51</xdr:row>
      <xdr:rowOff>0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F5C7AA28-90A2-4410-BC3C-C5405065906E}"/>
            </a:ext>
          </a:extLst>
        </xdr:cNvPr>
        <xdr:cNvCxnSpPr>
          <a:stCxn id="112" idx="3"/>
          <a:endCxn id="119" idx="2"/>
        </xdr:cNvCxnSpPr>
      </xdr:nvCxnSpPr>
      <xdr:spPr>
        <a:xfrm flipV="1">
          <a:off x="6756400" y="984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9</xdr:row>
      <xdr:rowOff>0</xdr:rowOff>
    </xdr:from>
    <xdr:to>
      <xdr:col>45</xdr:col>
      <xdr:colOff>0</xdr:colOff>
      <xdr:row>13</xdr:row>
      <xdr:rowOff>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D8C837DD-3435-DAB4-C42D-C5835738B847}"/>
            </a:ext>
          </a:extLst>
        </xdr:cNvPr>
        <xdr:cNvSpPr/>
      </xdr:nvSpPr>
      <xdr:spPr>
        <a:xfrm>
          <a:off x="9410700" y="1841500"/>
          <a:ext cx="1447800" cy="762000"/>
        </a:xfrm>
        <a:prstGeom prst="flowChartAlternateProcess">
          <a:avLst/>
        </a:prstGeom>
        <a:solidFill>
          <a:srgbClr val="B8193F"/>
        </a:solidFill>
        <a:ln w="2857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(KSM)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19</xdr:row>
      <xdr:rowOff>0</xdr:rowOff>
    </xdr:from>
    <xdr:to>
      <xdr:col>45</xdr:col>
      <xdr:colOff>0</xdr:colOff>
      <xdr:row>23</xdr:row>
      <xdr:rowOff>0</xdr:rowOff>
    </xdr:to>
    <xdr:sp macro="" textlink="">
      <xdr:nvSpPr>
        <xdr:cNvPr id="151" name="フローチャート: 代替処理 150">
          <a:extLst>
            <a:ext uri="{FF2B5EF4-FFF2-40B4-BE49-F238E27FC236}">
              <a16:creationId xmlns:a16="http://schemas.microsoft.com/office/drawing/2014/main" id="{B534ABCC-339A-4108-BF7D-50D98C4756A4}"/>
            </a:ext>
          </a:extLst>
        </xdr:cNvPr>
        <xdr:cNvSpPr/>
      </xdr:nvSpPr>
      <xdr:spPr>
        <a:xfrm>
          <a:off x="9410700" y="3746500"/>
          <a:ext cx="1447800" cy="762000"/>
        </a:xfrm>
        <a:prstGeom prst="flowChartAlternateProcess">
          <a:avLst/>
        </a:prstGeom>
        <a:solidFill>
          <a:srgbClr val="009B3F"/>
        </a:solidFill>
        <a:ln w="2857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(ING)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29</xdr:row>
      <xdr:rowOff>0</xdr:rowOff>
    </xdr:from>
    <xdr:to>
      <xdr:col>45</xdr:col>
      <xdr:colOff>0</xdr:colOff>
      <xdr:row>33</xdr:row>
      <xdr:rowOff>0</xdr:rowOff>
    </xdr:to>
    <xdr:sp macro="" textlink="">
      <xdr:nvSpPr>
        <xdr:cNvPr id="152" name="フローチャート: 代替処理 151">
          <a:extLst>
            <a:ext uri="{FF2B5EF4-FFF2-40B4-BE49-F238E27FC236}">
              <a16:creationId xmlns:a16="http://schemas.microsoft.com/office/drawing/2014/main" id="{634D0C45-11C8-44B2-81D4-848480BF53CB}"/>
            </a:ext>
          </a:extLst>
        </xdr:cNvPr>
        <xdr:cNvSpPr/>
      </xdr:nvSpPr>
      <xdr:spPr>
        <a:xfrm>
          <a:off x="9410700" y="5651500"/>
          <a:ext cx="1447800" cy="762000"/>
        </a:xfrm>
        <a:prstGeom prst="flowChartAlternateProcess">
          <a:avLst/>
        </a:prstGeom>
        <a:solidFill>
          <a:srgbClr val="275538"/>
        </a:solidFill>
        <a:ln w="2857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(MRE)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39</xdr:row>
      <xdr:rowOff>0</xdr:rowOff>
    </xdr:from>
    <xdr:to>
      <xdr:col>45</xdr:col>
      <xdr:colOff>0</xdr:colOff>
      <xdr:row>43</xdr:row>
      <xdr:rowOff>0</xdr:rowOff>
    </xdr:to>
    <xdr:sp macro="" textlink="">
      <xdr:nvSpPr>
        <xdr:cNvPr id="153" name="フローチャート: 代替処理 152">
          <a:extLst>
            <a:ext uri="{FF2B5EF4-FFF2-40B4-BE49-F238E27FC236}">
              <a16:creationId xmlns:a16="http://schemas.microsoft.com/office/drawing/2014/main" id="{4D53057F-C89F-4352-8F57-637FF000864C}"/>
            </a:ext>
          </a:extLst>
        </xdr:cNvPr>
        <xdr:cNvSpPr/>
      </xdr:nvSpPr>
      <xdr:spPr>
        <a:xfrm>
          <a:off x="9410700" y="7556500"/>
          <a:ext cx="1447800" cy="762000"/>
        </a:xfrm>
        <a:prstGeom prst="flowChartAlternateProcess">
          <a:avLst/>
        </a:prstGeom>
        <a:solidFill>
          <a:srgbClr val="B8193F"/>
        </a:solidFill>
        <a:ln w="28575">
          <a:solidFill>
            <a:srgbClr val="C4075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36000" rIns="3600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(MVK)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49</xdr:row>
      <xdr:rowOff>0</xdr:rowOff>
    </xdr:from>
    <xdr:to>
      <xdr:col>45</xdr:col>
      <xdr:colOff>0</xdr:colOff>
      <xdr:row>53</xdr:row>
      <xdr:rowOff>0</xdr:rowOff>
    </xdr:to>
    <xdr:sp macro="" textlink="">
      <xdr:nvSpPr>
        <xdr:cNvPr id="154" name="フローチャート: 代替処理 153">
          <a:extLst>
            <a:ext uri="{FF2B5EF4-FFF2-40B4-BE49-F238E27FC236}">
              <a16:creationId xmlns:a16="http://schemas.microsoft.com/office/drawing/2014/main" id="{9C38A744-070E-40E3-97C1-AEF09310F7F2}"/>
            </a:ext>
          </a:extLst>
        </xdr:cNvPr>
        <xdr:cNvSpPr/>
      </xdr:nvSpPr>
      <xdr:spPr>
        <a:xfrm>
          <a:off x="9410700" y="9461500"/>
          <a:ext cx="1447800" cy="762000"/>
        </a:xfrm>
        <a:prstGeom prst="flowChartAlternateProcess">
          <a:avLst/>
        </a:prstGeom>
        <a:solidFill>
          <a:schemeClr val="bg1">
            <a:lumMod val="50000"/>
          </a:scheme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アプリ</a:t>
          </a:r>
          <a:b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(XYZ)</a:t>
          </a:r>
          <a:endParaRPr kumimoji="1" lang="ja-JP" altLang="en-US" sz="11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1</xdr:colOff>
      <xdr:row>11</xdr:row>
      <xdr:rowOff>0</xdr:rowOff>
    </xdr:from>
    <xdr:to>
      <xdr:col>39</xdr:col>
      <xdr:colOff>0</xdr:colOff>
      <xdr:row>11</xdr:row>
      <xdr:rowOff>0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89C083CA-A2CF-4D92-99C8-114ACCD4A1CC}"/>
            </a:ext>
          </a:extLst>
        </xdr:cNvPr>
        <xdr:cNvCxnSpPr>
          <a:stCxn id="2" idx="4"/>
          <a:endCxn id="150" idx="1"/>
        </xdr:cNvCxnSpPr>
      </xdr:nvCxnSpPr>
      <xdr:spPr>
        <a:xfrm>
          <a:off x="8686801" y="2222500"/>
          <a:ext cx="723899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20</xdr:row>
      <xdr:rowOff>190499</xdr:rowOff>
    </xdr:from>
    <xdr:to>
      <xdr:col>39</xdr:col>
      <xdr:colOff>0</xdr:colOff>
      <xdr:row>21</xdr:row>
      <xdr:rowOff>0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492A4C48-EC29-415A-8C52-31A02B95F034}"/>
            </a:ext>
          </a:extLst>
        </xdr:cNvPr>
        <xdr:cNvCxnSpPr>
          <a:stCxn id="116" idx="4"/>
          <a:endCxn id="151" idx="1"/>
        </xdr:cNvCxnSpPr>
      </xdr:nvCxnSpPr>
      <xdr:spPr>
        <a:xfrm>
          <a:off x="8686800" y="412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30</xdr:row>
      <xdr:rowOff>190499</xdr:rowOff>
    </xdr:from>
    <xdr:to>
      <xdr:col>39</xdr:col>
      <xdr:colOff>0</xdr:colOff>
      <xdr:row>31</xdr:row>
      <xdr:rowOff>0</xdr:rowOff>
    </xdr:to>
    <xdr:cxnSp macro="">
      <xdr:nvCxnSpPr>
        <xdr:cNvPr id="161" name="直線コネクタ 160">
          <a:extLst>
            <a:ext uri="{FF2B5EF4-FFF2-40B4-BE49-F238E27FC236}">
              <a16:creationId xmlns:a16="http://schemas.microsoft.com/office/drawing/2014/main" id="{1158D0FD-041C-4C31-B0F8-F8B7C30A76DB}"/>
            </a:ext>
          </a:extLst>
        </xdr:cNvPr>
        <xdr:cNvCxnSpPr>
          <a:stCxn id="117" idx="4"/>
          <a:endCxn id="152" idx="1"/>
        </xdr:cNvCxnSpPr>
      </xdr:nvCxnSpPr>
      <xdr:spPr>
        <a:xfrm>
          <a:off x="8686800" y="603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40</xdr:row>
      <xdr:rowOff>190499</xdr:rowOff>
    </xdr:from>
    <xdr:to>
      <xdr:col>39</xdr:col>
      <xdr:colOff>0</xdr:colOff>
      <xdr:row>41</xdr:row>
      <xdr:rowOff>0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1B95960E-79BE-4FAF-8F47-EC07C699A71B}"/>
            </a:ext>
          </a:extLst>
        </xdr:cNvPr>
        <xdr:cNvCxnSpPr>
          <a:stCxn id="118" idx="4"/>
          <a:endCxn id="153" idx="1"/>
        </xdr:cNvCxnSpPr>
      </xdr:nvCxnSpPr>
      <xdr:spPr>
        <a:xfrm>
          <a:off x="8686800" y="793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50</xdr:row>
      <xdr:rowOff>190499</xdr:rowOff>
    </xdr:from>
    <xdr:to>
      <xdr:col>39</xdr:col>
      <xdr:colOff>0</xdr:colOff>
      <xdr:row>51</xdr:row>
      <xdr:rowOff>0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953539ED-E872-497F-AEC2-EF79987CE735}"/>
            </a:ext>
          </a:extLst>
        </xdr:cNvPr>
        <xdr:cNvCxnSpPr>
          <a:stCxn id="119" idx="4"/>
          <a:endCxn id="154" idx="1"/>
        </xdr:cNvCxnSpPr>
      </xdr:nvCxnSpPr>
      <xdr:spPr>
        <a:xfrm>
          <a:off x="8686800" y="984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</xdr:colOff>
      <xdr:row>9</xdr:row>
      <xdr:rowOff>0</xdr:rowOff>
    </xdr:from>
    <xdr:to>
      <xdr:col>53</xdr:col>
      <xdr:colOff>1</xdr:colOff>
      <xdr:row>13</xdr:row>
      <xdr:rowOff>0</xdr:rowOff>
    </xdr:to>
    <xdr:sp macro="" textlink="">
      <xdr:nvSpPr>
        <xdr:cNvPr id="171" name="フローチャート: 磁気ディスク 170">
          <a:extLst>
            <a:ext uri="{FF2B5EF4-FFF2-40B4-BE49-F238E27FC236}">
              <a16:creationId xmlns:a16="http://schemas.microsoft.com/office/drawing/2014/main" id="{1993CE07-4387-408F-B033-55598A6DD46E}"/>
            </a:ext>
          </a:extLst>
        </xdr:cNvPr>
        <xdr:cNvSpPr/>
      </xdr:nvSpPr>
      <xdr:spPr>
        <a:xfrm>
          <a:off x="11582401" y="1841500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(KSM)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18</xdr:row>
      <xdr:rowOff>190499</xdr:rowOff>
    </xdr:from>
    <xdr:to>
      <xdr:col>53</xdr:col>
      <xdr:colOff>0</xdr:colOff>
      <xdr:row>22</xdr:row>
      <xdr:rowOff>190499</xdr:rowOff>
    </xdr:to>
    <xdr:sp macro="" textlink="">
      <xdr:nvSpPr>
        <xdr:cNvPr id="172" name="フローチャート: 磁気ディスク 171">
          <a:extLst>
            <a:ext uri="{FF2B5EF4-FFF2-40B4-BE49-F238E27FC236}">
              <a16:creationId xmlns:a16="http://schemas.microsoft.com/office/drawing/2014/main" id="{A7C5298A-301C-4B14-BBEB-658B996B0801}"/>
            </a:ext>
          </a:extLst>
        </xdr:cNvPr>
        <xdr:cNvSpPr/>
      </xdr:nvSpPr>
      <xdr:spPr>
        <a:xfrm>
          <a:off x="11582400" y="374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(ING)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28</xdr:row>
      <xdr:rowOff>190499</xdr:rowOff>
    </xdr:from>
    <xdr:to>
      <xdr:col>53</xdr:col>
      <xdr:colOff>0</xdr:colOff>
      <xdr:row>32</xdr:row>
      <xdr:rowOff>190499</xdr:rowOff>
    </xdr:to>
    <xdr:sp macro="" textlink="">
      <xdr:nvSpPr>
        <xdr:cNvPr id="173" name="フローチャート: 磁気ディスク 172">
          <a:extLst>
            <a:ext uri="{FF2B5EF4-FFF2-40B4-BE49-F238E27FC236}">
              <a16:creationId xmlns:a16="http://schemas.microsoft.com/office/drawing/2014/main" id="{A8FB384D-D4C4-4BD4-BC0B-525BCE8D0391}"/>
            </a:ext>
          </a:extLst>
        </xdr:cNvPr>
        <xdr:cNvSpPr/>
      </xdr:nvSpPr>
      <xdr:spPr>
        <a:xfrm>
          <a:off x="11582400" y="565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(MRE)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38</xdr:row>
      <xdr:rowOff>190499</xdr:rowOff>
    </xdr:from>
    <xdr:to>
      <xdr:col>53</xdr:col>
      <xdr:colOff>0</xdr:colOff>
      <xdr:row>42</xdr:row>
      <xdr:rowOff>190499</xdr:rowOff>
    </xdr:to>
    <xdr:sp macro="" textlink="">
      <xdr:nvSpPr>
        <xdr:cNvPr id="174" name="フローチャート: 磁気ディスク 173">
          <a:extLst>
            <a:ext uri="{FF2B5EF4-FFF2-40B4-BE49-F238E27FC236}">
              <a16:creationId xmlns:a16="http://schemas.microsoft.com/office/drawing/2014/main" id="{6CBFD3DE-00AC-4157-8FFC-F87F61260F90}"/>
            </a:ext>
          </a:extLst>
        </xdr:cNvPr>
        <xdr:cNvSpPr/>
      </xdr:nvSpPr>
      <xdr:spPr>
        <a:xfrm>
          <a:off x="11582400" y="755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(MVK)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0</xdr:colOff>
      <xdr:row>48</xdr:row>
      <xdr:rowOff>190499</xdr:rowOff>
    </xdr:from>
    <xdr:to>
      <xdr:col>53</xdr:col>
      <xdr:colOff>0</xdr:colOff>
      <xdr:row>52</xdr:row>
      <xdr:rowOff>190499</xdr:rowOff>
    </xdr:to>
    <xdr:sp macro="" textlink="">
      <xdr:nvSpPr>
        <xdr:cNvPr id="175" name="フローチャート: 磁気ディスク 174">
          <a:extLst>
            <a:ext uri="{FF2B5EF4-FFF2-40B4-BE49-F238E27FC236}">
              <a16:creationId xmlns:a16="http://schemas.microsoft.com/office/drawing/2014/main" id="{05CF4F40-91AE-4A7E-956A-27880283E001}"/>
            </a:ext>
          </a:extLst>
        </xdr:cNvPr>
        <xdr:cNvSpPr/>
      </xdr:nvSpPr>
      <xdr:spPr>
        <a:xfrm>
          <a:off x="11582400" y="946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トラン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(XYZ)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0</xdr:colOff>
      <xdr:row>11</xdr:row>
      <xdr:rowOff>0</xdr:rowOff>
    </xdr:from>
    <xdr:to>
      <xdr:col>48</xdr:col>
      <xdr:colOff>1</xdr:colOff>
      <xdr:row>11</xdr:row>
      <xdr:rowOff>0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57DA9B15-1218-4424-B5BD-938B6594B57F}"/>
            </a:ext>
          </a:extLst>
        </xdr:cNvPr>
        <xdr:cNvCxnSpPr>
          <a:stCxn id="150" idx="3"/>
          <a:endCxn id="171" idx="2"/>
        </xdr:cNvCxnSpPr>
      </xdr:nvCxnSpPr>
      <xdr:spPr>
        <a:xfrm>
          <a:off x="10858500" y="2222500"/>
          <a:ext cx="723901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20</xdr:row>
      <xdr:rowOff>190499</xdr:rowOff>
    </xdr:from>
    <xdr:to>
      <xdr:col>48</xdr:col>
      <xdr:colOff>0</xdr:colOff>
      <xdr:row>21</xdr:row>
      <xdr:rowOff>0</xdr:rowOff>
    </xdr:to>
    <xdr:cxnSp macro="">
      <xdr:nvCxnSpPr>
        <xdr:cNvPr id="180" name="直線コネクタ 179">
          <a:extLst>
            <a:ext uri="{FF2B5EF4-FFF2-40B4-BE49-F238E27FC236}">
              <a16:creationId xmlns:a16="http://schemas.microsoft.com/office/drawing/2014/main" id="{8CA7D4FA-DA47-4B57-9CB1-17DAD71E9ADF}"/>
            </a:ext>
          </a:extLst>
        </xdr:cNvPr>
        <xdr:cNvCxnSpPr>
          <a:stCxn id="151" idx="3"/>
          <a:endCxn id="172" idx="2"/>
        </xdr:cNvCxnSpPr>
      </xdr:nvCxnSpPr>
      <xdr:spPr>
        <a:xfrm flipV="1">
          <a:off x="10858500" y="412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30</xdr:row>
      <xdr:rowOff>190499</xdr:rowOff>
    </xdr:from>
    <xdr:to>
      <xdr:col>48</xdr:col>
      <xdr:colOff>0</xdr:colOff>
      <xdr:row>31</xdr:row>
      <xdr:rowOff>0</xdr:rowOff>
    </xdr:to>
    <xdr:cxnSp macro="">
      <xdr:nvCxnSpPr>
        <xdr:cNvPr id="183" name="直線コネクタ 182">
          <a:extLst>
            <a:ext uri="{FF2B5EF4-FFF2-40B4-BE49-F238E27FC236}">
              <a16:creationId xmlns:a16="http://schemas.microsoft.com/office/drawing/2014/main" id="{C943BF98-265A-4F8D-BDAF-50358CC8AD79}"/>
            </a:ext>
          </a:extLst>
        </xdr:cNvPr>
        <xdr:cNvCxnSpPr>
          <a:stCxn id="152" idx="3"/>
          <a:endCxn id="173" idx="2"/>
        </xdr:cNvCxnSpPr>
      </xdr:nvCxnSpPr>
      <xdr:spPr>
        <a:xfrm flipV="1">
          <a:off x="10858500" y="603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40</xdr:row>
      <xdr:rowOff>190499</xdr:rowOff>
    </xdr:from>
    <xdr:to>
      <xdr:col>48</xdr:col>
      <xdr:colOff>0</xdr:colOff>
      <xdr:row>41</xdr:row>
      <xdr:rowOff>0</xdr:rowOff>
    </xdr:to>
    <xdr:cxnSp macro="">
      <xdr:nvCxnSpPr>
        <xdr:cNvPr id="186" name="直線コネクタ 185">
          <a:extLst>
            <a:ext uri="{FF2B5EF4-FFF2-40B4-BE49-F238E27FC236}">
              <a16:creationId xmlns:a16="http://schemas.microsoft.com/office/drawing/2014/main" id="{F7C25C72-77C4-4858-B976-EADB4FB435DB}"/>
            </a:ext>
          </a:extLst>
        </xdr:cNvPr>
        <xdr:cNvCxnSpPr>
          <a:stCxn id="153" idx="3"/>
          <a:endCxn id="174" idx="2"/>
        </xdr:cNvCxnSpPr>
      </xdr:nvCxnSpPr>
      <xdr:spPr>
        <a:xfrm flipV="1">
          <a:off x="10858500" y="7937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50</xdr:row>
      <xdr:rowOff>190499</xdr:rowOff>
    </xdr:from>
    <xdr:to>
      <xdr:col>48</xdr:col>
      <xdr:colOff>0</xdr:colOff>
      <xdr:row>51</xdr:row>
      <xdr:rowOff>0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D5DEDC73-28FA-4DF4-90CD-5D30169988C9}"/>
            </a:ext>
          </a:extLst>
        </xdr:cNvPr>
        <xdr:cNvCxnSpPr>
          <a:stCxn id="154" idx="3"/>
          <a:endCxn id="175" idx="2"/>
        </xdr:cNvCxnSpPr>
      </xdr:nvCxnSpPr>
      <xdr:spPr>
        <a:xfrm flipV="1">
          <a:off x="10858500" y="9842499"/>
          <a:ext cx="723900" cy="1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</xdr:colOff>
      <xdr:row>9</xdr:row>
      <xdr:rowOff>0</xdr:rowOff>
    </xdr:from>
    <xdr:to>
      <xdr:col>61</xdr:col>
      <xdr:colOff>1</xdr:colOff>
      <xdr:row>13</xdr:row>
      <xdr:rowOff>0</xdr:rowOff>
    </xdr:to>
    <xdr:sp macro="" textlink="">
      <xdr:nvSpPr>
        <xdr:cNvPr id="192" name="フローチャート: 磁気ディスク 191">
          <a:extLst>
            <a:ext uri="{FF2B5EF4-FFF2-40B4-BE49-F238E27FC236}">
              <a16:creationId xmlns:a16="http://schemas.microsoft.com/office/drawing/2014/main" id="{A5B041EC-4D18-476F-A2A2-E3EF47F82A96}"/>
            </a:ext>
          </a:extLst>
        </xdr:cNvPr>
        <xdr:cNvSpPr/>
      </xdr:nvSpPr>
      <xdr:spPr>
        <a:xfrm>
          <a:off x="13512801" y="1841500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基幹</a:t>
          </a:r>
        </a:p>
      </xdr:txBody>
    </xdr:sp>
    <xdr:clientData/>
  </xdr:twoCellAnchor>
  <xdr:twoCellAnchor>
    <xdr:from>
      <xdr:col>56</xdr:col>
      <xdr:colOff>0</xdr:colOff>
      <xdr:row>18</xdr:row>
      <xdr:rowOff>190499</xdr:rowOff>
    </xdr:from>
    <xdr:to>
      <xdr:col>61</xdr:col>
      <xdr:colOff>0</xdr:colOff>
      <xdr:row>22</xdr:row>
      <xdr:rowOff>190499</xdr:rowOff>
    </xdr:to>
    <xdr:sp macro="" textlink="">
      <xdr:nvSpPr>
        <xdr:cNvPr id="193" name="フローチャート: 磁気ディスク 192">
          <a:extLst>
            <a:ext uri="{FF2B5EF4-FFF2-40B4-BE49-F238E27FC236}">
              <a16:creationId xmlns:a16="http://schemas.microsoft.com/office/drawing/2014/main" id="{02218D63-DAB1-4AC0-9D98-F56E8CF74B21}"/>
            </a:ext>
          </a:extLst>
        </xdr:cNvPr>
        <xdr:cNvSpPr/>
      </xdr:nvSpPr>
      <xdr:spPr>
        <a:xfrm>
          <a:off x="13512800" y="374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009B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Scan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＆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Go</a:t>
          </a:r>
        </a:p>
        <a:p>
          <a:pPr marL="0" indent="0"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(ING)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0</xdr:colOff>
      <xdr:row>28</xdr:row>
      <xdr:rowOff>190499</xdr:rowOff>
    </xdr:from>
    <xdr:to>
      <xdr:col>61</xdr:col>
      <xdr:colOff>0</xdr:colOff>
      <xdr:row>32</xdr:row>
      <xdr:rowOff>190499</xdr:rowOff>
    </xdr:to>
    <xdr:sp macro="" textlink="">
      <xdr:nvSpPr>
        <xdr:cNvPr id="194" name="フローチャート: 磁気ディスク 193">
          <a:extLst>
            <a:ext uri="{FF2B5EF4-FFF2-40B4-BE49-F238E27FC236}">
              <a16:creationId xmlns:a16="http://schemas.microsoft.com/office/drawing/2014/main" id="{8185F310-EABA-4A54-871C-5A595159C9AC}"/>
            </a:ext>
          </a:extLst>
        </xdr:cNvPr>
        <xdr:cNvSpPr/>
      </xdr:nvSpPr>
      <xdr:spPr>
        <a:xfrm>
          <a:off x="13512800" y="565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2755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？？？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(MRE)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0</xdr:colOff>
      <xdr:row>38</xdr:row>
      <xdr:rowOff>190499</xdr:rowOff>
    </xdr:from>
    <xdr:to>
      <xdr:col>61</xdr:col>
      <xdr:colOff>0</xdr:colOff>
      <xdr:row>42</xdr:row>
      <xdr:rowOff>190499</xdr:rowOff>
    </xdr:to>
    <xdr:sp macro="" textlink="">
      <xdr:nvSpPr>
        <xdr:cNvPr id="195" name="フローチャート: 磁気ディスク 194">
          <a:extLst>
            <a:ext uri="{FF2B5EF4-FFF2-40B4-BE49-F238E27FC236}">
              <a16:creationId xmlns:a16="http://schemas.microsoft.com/office/drawing/2014/main" id="{AE5D4EE9-6F41-4389-A7FA-D57EF8006CD6}"/>
            </a:ext>
          </a:extLst>
        </xdr:cNvPr>
        <xdr:cNvSpPr/>
      </xdr:nvSpPr>
      <xdr:spPr>
        <a:xfrm>
          <a:off x="13512800" y="7556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rgbClr val="B8193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？？？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(MVK)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0</xdr:colOff>
      <xdr:row>48</xdr:row>
      <xdr:rowOff>190499</xdr:rowOff>
    </xdr:from>
    <xdr:to>
      <xdr:col>61</xdr:col>
      <xdr:colOff>0</xdr:colOff>
      <xdr:row>52</xdr:row>
      <xdr:rowOff>190499</xdr:rowOff>
    </xdr:to>
    <xdr:sp macro="" textlink="">
      <xdr:nvSpPr>
        <xdr:cNvPr id="196" name="フローチャート: 磁気ディスク 195">
          <a:extLst>
            <a:ext uri="{FF2B5EF4-FFF2-40B4-BE49-F238E27FC236}">
              <a16:creationId xmlns:a16="http://schemas.microsoft.com/office/drawing/2014/main" id="{202C775E-B43D-4A95-B53A-AB13D72D3D68}"/>
            </a:ext>
          </a:extLst>
        </xdr:cNvPr>
        <xdr:cNvSpPr/>
      </xdr:nvSpPr>
      <xdr:spPr>
        <a:xfrm>
          <a:off x="13512800" y="9461499"/>
          <a:ext cx="1206500" cy="762000"/>
        </a:xfrm>
        <a:prstGeom prst="flowChartMagneticDisk">
          <a:avLst/>
        </a:prstGeom>
        <a:solidFill>
          <a:schemeClr val="bg1"/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？？？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(XYZ)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1</xdr:colOff>
      <xdr:row>11</xdr:row>
      <xdr:rowOff>0</xdr:rowOff>
    </xdr:from>
    <xdr:to>
      <xdr:col>56</xdr:col>
      <xdr:colOff>1</xdr:colOff>
      <xdr:row>11</xdr:row>
      <xdr:rowOff>0</xdr:rowOff>
    </xdr:to>
    <xdr:cxnSp macro="">
      <xdr:nvCxnSpPr>
        <xdr:cNvPr id="197" name="直線コネクタ 196">
          <a:extLst>
            <a:ext uri="{FF2B5EF4-FFF2-40B4-BE49-F238E27FC236}">
              <a16:creationId xmlns:a16="http://schemas.microsoft.com/office/drawing/2014/main" id="{C96B03AE-9EEF-4AD7-BF37-6FE3A5857A03}"/>
            </a:ext>
          </a:extLst>
        </xdr:cNvPr>
        <xdr:cNvCxnSpPr>
          <a:stCxn id="171" idx="4"/>
          <a:endCxn id="192" idx="2"/>
        </xdr:cNvCxnSpPr>
      </xdr:nvCxnSpPr>
      <xdr:spPr>
        <a:xfrm>
          <a:off x="12788901" y="2222500"/>
          <a:ext cx="72390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20</xdr:row>
      <xdr:rowOff>190499</xdr:rowOff>
    </xdr:from>
    <xdr:to>
      <xdr:col>56</xdr:col>
      <xdr:colOff>0</xdr:colOff>
      <xdr:row>20</xdr:row>
      <xdr:rowOff>190499</xdr:rowOff>
    </xdr:to>
    <xdr:cxnSp macro="">
      <xdr:nvCxnSpPr>
        <xdr:cNvPr id="200" name="直線コネクタ 199">
          <a:extLst>
            <a:ext uri="{FF2B5EF4-FFF2-40B4-BE49-F238E27FC236}">
              <a16:creationId xmlns:a16="http://schemas.microsoft.com/office/drawing/2014/main" id="{4389DA95-2679-4FD2-9F8E-8C813E760269}"/>
            </a:ext>
          </a:extLst>
        </xdr:cNvPr>
        <xdr:cNvCxnSpPr>
          <a:stCxn id="172" idx="4"/>
          <a:endCxn id="193" idx="2"/>
        </xdr:cNvCxnSpPr>
      </xdr:nvCxnSpPr>
      <xdr:spPr>
        <a:xfrm>
          <a:off x="12788900" y="4127499"/>
          <a:ext cx="72390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4912-41FA-4182-8CFF-0D95CE5294B5}">
  <sheetPr>
    <pageSetUpPr fitToPage="1"/>
  </sheetPr>
  <dimension ref="A1:BK55"/>
  <sheetViews>
    <sheetView view="pageBreakPreview" zoomScale="75" zoomScaleNormal="75" zoomScaleSheetLayoutView="75" workbookViewId="0">
      <selection activeCell="W1" sqref="W1:AO3"/>
    </sheetView>
  </sheetViews>
  <sheetFormatPr defaultColWidth="2.77734375" defaultRowHeight="15" customHeight="1" x14ac:dyDescent="0.25"/>
  <sheetData>
    <row r="1" spans="1:63" ht="24.9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2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">
        <v>17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3</v>
      </c>
      <c r="AQ1" s="33"/>
      <c r="AR1" s="33"/>
      <c r="AS1" s="34"/>
      <c r="AT1" s="32" t="s">
        <v>4</v>
      </c>
      <c r="AU1" s="33"/>
      <c r="AV1" s="33"/>
      <c r="AW1" s="33"/>
      <c r="AX1" s="34"/>
      <c r="AY1" s="32" t="s">
        <v>5</v>
      </c>
      <c r="AZ1" s="33"/>
      <c r="BA1" s="33"/>
      <c r="BB1" s="34"/>
      <c r="BC1" s="32" t="s">
        <v>6</v>
      </c>
      <c r="BD1" s="33"/>
      <c r="BE1" s="33"/>
      <c r="BF1" s="33"/>
      <c r="BG1" s="34"/>
      <c r="BH1" s="32" t="s">
        <v>7</v>
      </c>
      <c r="BI1" s="33"/>
      <c r="BJ1" s="33"/>
      <c r="BK1" s="34"/>
    </row>
    <row r="2" spans="1:63" ht="15" customHeight="1" x14ac:dyDescent="0.25">
      <c r="A2" s="17" t="s">
        <v>14</v>
      </c>
      <c r="B2" s="18"/>
      <c r="C2" s="18"/>
      <c r="D2" s="18"/>
      <c r="E2" s="18"/>
      <c r="F2" s="18"/>
      <c r="G2" s="18"/>
      <c r="H2" s="18"/>
      <c r="I2" s="18"/>
      <c r="J2" s="19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 t="str">
        <f>改廃履歴!$H$11</f>
        <v>Thanh Nguyên</v>
      </c>
      <c r="AQ2" s="18"/>
      <c r="AR2" s="18"/>
      <c r="AS2" s="19"/>
      <c r="AT2" s="53">
        <f>改廃履歴!$B$11</f>
        <v>45769</v>
      </c>
      <c r="AU2" s="54"/>
      <c r="AV2" s="54"/>
      <c r="AW2" s="54"/>
      <c r="AX2" s="55"/>
      <c r="AY2" s="17" t="str">
        <f>LOOKUP(2,1/(改廃履歴!H11:H30000&lt;&gt;""),改廃履歴!H11:H30000)</f>
        <v>Thanh Nguyên</v>
      </c>
      <c r="AZ2" s="18"/>
      <c r="BA2" s="18"/>
      <c r="BB2" s="19"/>
      <c r="BC2" s="53">
        <f>LOOKUP(2,1/(改廃履歴!B11:B30000&lt;&gt;""),改廃履歴!B11:B30000)</f>
        <v>45769</v>
      </c>
      <c r="BD2" s="54"/>
      <c r="BE2" s="54"/>
      <c r="BF2" s="54"/>
      <c r="BG2" s="55"/>
      <c r="BH2" s="47">
        <f>LOOKUP(2,1/(改廃履歴!O11:O30000&lt;&gt;""),改廃履歴!O11:O30000)</f>
        <v>1</v>
      </c>
      <c r="BI2" s="48"/>
      <c r="BJ2" s="48"/>
      <c r="BK2" s="49"/>
    </row>
    <row r="3" spans="1:63" ht="1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50"/>
      <c r="BI3" s="51"/>
      <c r="BJ3" s="51"/>
      <c r="BK3" s="52"/>
    </row>
    <row r="4" spans="1:63" ht="24.95" customHeight="1" x14ac:dyDescent="0.25">
      <c r="A4" s="32" t="s">
        <v>1</v>
      </c>
      <c r="B4" s="33"/>
      <c r="C4" s="33"/>
      <c r="D4" s="33"/>
      <c r="E4" s="33"/>
      <c r="F4" s="33"/>
      <c r="G4" s="34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8</v>
      </c>
      <c r="V4" s="33"/>
      <c r="W4" s="33"/>
      <c r="X4" s="33"/>
      <c r="Y4" s="34"/>
      <c r="Z4" s="44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str" cm="1">
        <f t="array" aca="1" ref="AP4" ca="1">RIGHT(CELL("filename",$A$1),LEN(CELL("filename",$A$1))-FIND("]",CELL("filename",$A$1)))</f>
        <v>表紙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16" t="s">
        <v>15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2"/>
      <c r="BK16" s="4"/>
    </row>
    <row r="17" spans="1:63" ht="15" customHeight="1" x14ac:dyDescent="0.25">
      <c r="A17" s="1"/>
      <c r="K17" s="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2"/>
      <c r="BK17" s="4"/>
    </row>
    <row r="18" spans="1:63" ht="15" customHeight="1" x14ac:dyDescent="0.25">
      <c r="A18" s="1"/>
      <c r="K18" s="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2"/>
      <c r="BK18" s="4"/>
    </row>
    <row r="19" spans="1:63" ht="15" customHeight="1" x14ac:dyDescent="0.25">
      <c r="A19" s="1"/>
      <c r="K19" s="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2"/>
      <c r="BK19" s="4"/>
    </row>
    <row r="20" spans="1:63" ht="15" customHeight="1" x14ac:dyDescent="0.25">
      <c r="A20" s="1"/>
      <c r="K20" s="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2"/>
      <c r="BK20" s="4"/>
    </row>
    <row r="21" spans="1:63" ht="15" customHeight="1" x14ac:dyDescent="0.25">
      <c r="A21" s="1"/>
      <c r="K21" s="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16" t="str">
        <f>K2&amp;"/"&amp;H4&amp;"/"&amp;Z4</f>
        <v>//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2"/>
      <c r="BK24" s="4"/>
    </row>
    <row r="25" spans="1:63" ht="15" customHeight="1" x14ac:dyDescent="0.25">
      <c r="A25" s="1"/>
      <c r="K25" s="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2"/>
      <c r="BK25" s="4"/>
    </row>
    <row r="26" spans="1:63" ht="15" customHeight="1" x14ac:dyDescent="0.25">
      <c r="A26" s="1"/>
      <c r="K26" s="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2"/>
      <c r="BK26" s="4"/>
    </row>
    <row r="27" spans="1:63" ht="15" customHeight="1" x14ac:dyDescent="0.25">
      <c r="A27" s="1"/>
      <c r="K27" s="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2"/>
      <c r="BK27" s="4"/>
    </row>
    <row r="28" spans="1:63" ht="15" customHeight="1" x14ac:dyDescent="0.25">
      <c r="A28" s="1"/>
      <c r="K28" s="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2"/>
      <c r="BK28" s="4"/>
    </row>
    <row r="29" spans="1:63" ht="15" customHeight="1" x14ac:dyDescent="0.25">
      <c r="A29" s="1"/>
      <c r="K29" s="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2"/>
      <c r="BK29" s="4"/>
    </row>
    <row r="30" spans="1:63" ht="15" customHeight="1" x14ac:dyDescent="0.25">
      <c r="A30" s="1"/>
      <c r="K30" s="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2"/>
      <c r="BK30" s="4"/>
    </row>
    <row r="31" spans="1:63" ht="15" customHeight="1" x14ac:dyDescent="0.25">
      <c r="A31" s="1"/>
      <c r="K31" s="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2"/>
      <c r="BK31" s="4"/>
    </row>
    <row r="32" spans="1:63" ht="15" customHeight="1" x14ac:dyDescent="0.25">
      <c r="A32" s="1"/>
      <c r="K32" s="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2"/>
      <c r="BK32" s="4"/>
    </row>
    <row r="33" spans="1:63" ht="15" customHeight="1" x14ac:dyDescent="0.25">
      <c r="A33" s="1"/>
      <c r="K33" s="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2"/>
      <c r="BK33" s="4"/>
    </row>
    <row r="34" spans="1:63" ht="15" customHeight="1" x14ac:dyDescent="0.25">
      <c r="A34" s="1"/>
      <c r="K34" s="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2"/>
      <c r="BK34" s="4"/>
    </row>
    <row r="35" spans="1:63" ht="15" customHeight="1" x14ac:dyDescent="0.25">
      <c r="A35" s="1"/>
      <c r="K35" s="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2"/>
      <c r="BK35" s="4"/>
    </row>
    <row r="36" spans="1:63" ht="15" customHeight="1" x14ac:dyDescent="0.25">
      <c r="A36" s="1"/>
      <c r="K36" s="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26" t="s">
        <v>16</v>
      </c>
      <c r="R44" s="27"/>
      <c r="S44" s="27"/>
      <c r="T44" s="27"/>
      <c r="U44" s="27"/>
      <c r="V44" s="27"/>
      <c r="W44" s="27"/>
      <c r="X44" s="27"/>
      <c r="Y44" s="27"/>
      <c r="Z44" s="28"/>
      <c r="AA44" s="26" t="s">
        <v>13</v>
      </c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8"/>
      <c r="AQ44" s="26" t="s">
        <v>7</v>
      </c>
      <c r="AR44" s="27"/>
      <c r="AS44" s="27"/>
      <c r="AT44" s="27"/>
      <c r="AU44" s="28"/>
      <c r="BK44" s="4"/>
    </row>
    <row r="45" spans="1:63" ht="15" customHeight="1" x14ac:dyDescent="0.25">
      <c r="A45" s="1"/>
      <c r="Q45" s="29"/>
      <c r="R45" s="30"/>
      <c r="S45" s="30"/>
      <c r="T45" s="30"/>
      <c r="U45" s="30"/>
      <c r="V45" s="30"/>
      <c r="W45" s="30"/>
      <c r="X45" s="30"/>
      <c r="Y45" s="30"/>
      <c r="Z45" s="31"/>
      <c r="AA45" s="29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1"/>
      <c r="AQ45" s="29"/>
      <c r="AR45" s="30"/>
      <c r="AS45" s="30"/>
      <c r="AT45" s="30"/>
      <c r="AU45" s="31"/>
      <c r="BK45" s="4"/>
    </row>
    <row r="46" spans="1:63" ht="15" customHeight="1" x14ac:dyDescent="0.25">
      <c r="A46" s="1"/>
      <c r="Q46" s="17"/>
      <c r="R46" s="18"/>
      <c r="S46" s="18"/>
      <c r="T46" s="18"/>
      <c r="U46" s="18"/>
      <c r="V46" s="18"/>
      <c r="W46" s="18"/>
      <c r="X46" s="18"/>
      <c r="Y46" s="18"/>
      <c r="Z46" s="19"/>
      <c r="AA46" s="17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9"/>
      <c r="AQ46" s="17"/>
      <c r="AR46" s="18"/>
      <c r="AS46" s="18"/>
      <c r="AT46" s="18"/>
      <c r="AU46" s="19"/>
      <c r="BK46" s="4"/>
    </row>
    <row r="47" spans="1:63" ht="15" customHeight="1" x14ac:dyDescent="0.25">
      <c r="A47" s="1"/>
      <c r="Q47" s="20"/>
      <c r="R47" s="21"/>
      <c r="S47" s="21"/>
      <c r="T47" s="21"/>
      <c r="U47" s="21"/>
      <c r="V47" s="21"/>
      <c r="W47" s="21"/>
      <c r="X47" s="21"/>
      <c r="Y47" s="21"/>
      <c r="Z47" s="22"/>
      <c r="AA47" s="20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2"/>
      <c r="AQ47" s="20"/>
      <c r="AR47" s="21"/>
      <c r="AS47" s="21"/>
      <c r="AT47" s="21"/>
      <c r="AU47" s="22"/>
      <c r="BK47" s="4"/>
    </row>
    <row r="48" spans="1:63" ht="15" customHeight="1" x14ac:dyDescent="0.25">
      <c r="A48" s="1"/>
      <c r="Q48" s="20"/>
      <c r="R48" s="21"/>
      <c r="S48" s="21"/>
      <c r="T48" s="21"/>
      <c r="U48" s="21"/>
      <c r="V48" s="21"/>
      <c r="W48" s="21"/>
      <c r="X48" s="21"/>
      <c r="Y48" s="21"/>
      <c r="Z48" s="22"/>
      <c r="AA48" s="20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2"/>
      <c r="AQ48" s="20"/>
      <c r="AR48" s="21"/>
      <c r="AS48" s="21"/>
      <c r="AT48" s="21"/>
      <c r="AU48" s="22"/>
      <c r="BK48" s="4"/>
    </row>
    <row r="49" spans="1:63" ht="15" customHeight="1" x14ac:dyDescent="0.25">
      <c r="A49" s="1"/>
      <c r="Q49" s="23"/>
      <c r="R49" s="24"/>
      <c r="S49" s="24"/>
      <c r="T49" s="24"/>
      <c r="U49" s="24"/>
      <c r="V49" s="24"/>
      <c r="W49" s="24"/>
      <c r="X49" s="24"/>
      <c r="Y49" s="24"/>
      <c r="Z49" s="25"/>
      <c r="AA49" s="23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5"/>
      <c r="AQ49" s="23"/>
      <c r="AR49" s="24"/>
      <c r="AS49" s="24"/>
      <c r="AT49" s="24"/>
      <c r="AU49" s="2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6B94-022A-4C62-ACB2-67CC1ED4334D}">
  <sheetPr>
    <pageSetUpPr fitToPage="1"/>
  </sheetPr>
  <dimension ref="A1:BK55"/>
  <sheetViews>
    <sheetView view="pageBreakPreview" zoomScale="75" zoomScaleNormal="75" zoomScaleSheetLayoutView="75" workbookViewId="0">
      <selection activeCell="S17" sqref="S17:AW17"/>
    </sheetView>
  </sheetViews>
  <sheetFormatPr defaultColWidth="2.77734375" defaultRowHeight="15.75" customHeight="1" x14ac:dyDescent="0.25"/>
  <sheetData>
    <row r="1" spans="1:63" ht="24.9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2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>POSシステム全体概要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3</v>
      </c>
      <c r="AQ1" s="33"/>
      <c r="AR1" s="33"/>
      <c r="AS1" s="34"/>
      <c r="AT1" s="32" t="s">
        <v>4</v>
      </c>
      <c r="AU1" s="33"/>
      <c r="AV1" s="33"/>
      <c r="AW1" s="33"/>
      <c r="AX1" s="34"/>
      <c r="AY1" s="32" t="s">
        <v>5</v>
      </c>
      <c r="AZ1" s="33"/>
      <c r="BA1" s="33"/>
      <c r="BB1" s="34"/>
      <c r="BC1" s="32" t="s">
        <v>6</v>
      </c>
      <c r="BD1" s="33"/>
      <c r="BE1" s="33"/>
      <c r="BF1" s="33"/>
      <c r="BG1" s="34"/>
      <c r="BH1" s="32" t="s">
        <v>7</v>
      </c>
      <c r="BI1" s="33"/>
      <c r="BJ1" s="33"/>
      <c r="BK1" s="34"/>
    </row>
    <row r="2" spans="1:63" ht="15" customHeight="1" x14ac:dyDescent="0.25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 t="str">
        <f>IF(表紙!AP2="","",表紙!AP2)</f>
        <v>Thanh Nguyên</v>
      </c>
      <c r="AQ2" s="18"/>
      <c r="AR2" s="18"/>
      <c r="AS2" s="19"/>
      <c r="AT2" s="53">
        <f>IF(表紙!AT2="","",表紙!AT2)</f>
        <v>45769</v>
      </c>
      <c r="AU2" s="54"/>
      <c r="AV2" s="54"/>
      <c r="AW2" s="54"/>
      <c r="AX2" s="55"/>
      <c r="AY2" s="17" t="str">
        <f>IF(表紙!AY2="","",表紙!AY2)</f>
        <v>Thanh Nguyên</v>
      </c>
      <c r="AZ2" s="18"/>
      <c r="BA2" s="18"/>
      <c r="BB2" s="19"/>
      <c r="BC2" s="53">
        <f>IF(表紙!BC2="","",表紙!BC2)</f>
        <v>45769</v>
      </c>
      <c r="BD2" s="54"/>
      <c r="BE2" s="54"/>
      <c r="BF2" s="54"/>
      <c r="BG2" s="55"/>
      <c r="BH2" s="17">
        <f>IF(表紙!BH2="","",表紙!BH2)</f>
        <v>1</v>
      </c>
      <c r="BI2" s="18"/>
      <c r="BJ2" s="18"/>
      <c r="BK2" s="19"/>
    </row>
    <row r="3" spans="1:63" ht="1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 x14ac:dyDescent="0.25">
      <c r="A4" s="32" t="s">
        <v>1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8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str" cm="1">
        <f t="array" aca="1" ref="AP4" ca="1">RIGHT(CELL("filename",$A$1),LEN(CELL("filename",$A$1))-FIND("]",CELL("filename",$A$1)))</f>
        <v>改廃履歴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72" t="s">
        <v>10</v>
      </c>
      <c r="C10" s="72"/>
      <c r="D10" s="72"/>
      <c r="E10" s="72"/>
      <c r="F10" s="72"/>
      <c r="G10" s="72"/>
      <c r="H10" s="72" t="s">
        <v>5</v>
      </c>
      <c r="I10" s="72"/>
      <c r="J10" s="72"/>
      <c r="K10" s="72"/>
      <c r="L10" s="72"/>
      <c r="M10" s="72"/>
      <c r="N10" s="72"/>
      <c r="O10" s="72" t="s">
        <v>7</v>
      </c>
      <c r="P10" s="72"/>
      <c r="Q10" s="72"/>
      <c r="R10" s="72"/>
      <c r="S10" s="72" t="s">
        <v>11</v>
      </c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 t="s">
        <v>12</v>
      </c>
      <c r="AY10" s="72"/>
      <c r="AZ10" s="72"/>
      <c r="BA10" s="72"/>
      <c r="BB10" s="72"/>
      <c r="BC10" s="72"/>
      <c r="BD10" s="72" t="s">
        <v>13</v>
      </c>
      <c r="BE10" s="72"/>
      <c r="BF10" s="72"/>
      <c r="BG10" s="72"/>
      <c r="BH10" s="72"/>
      <c r="BI10" s="72"/>
      <c r="BJ10" s="72"/>
      <c r="BK10" s="4"/>
    </row>
    <row r="11" spans="1:63" ht="15" customHeight="1" x14ac:dyDescent="0.25">
      <c r="A11" s="1"/>
      <c r="B11" s="71">
        <v>45769</v>
      </c>
      <c r="C11" s="18"/>
      <c r="D11" s="18"/>
      <c r="E11" s="18"/>
      <c r="F11" s="18"/>
      <c r="G11" s="19"/>
      <c r="H11" s="17" t="s">
        <v>18</v>
      </c>
      <c r="I11" s="18"/>
      <c r="J11" s="18"/>
      <c r="K11" s="18"/>
      <c r="L11" s="18"/>
      <c r="M11" s="18"/>
      <c r="N11" s="19"/>
      <c r="O11" s="17">
        <v>1</v>
      </c>
      <c r="P11" s="18"/>
      <c r="Q11" s="18"/>
      <c r="R11" s="18"/>
      <c r="S11" s="59" t="s">
        <v>19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1"/>
      <c r="AX11" s="62"/>
      <c r="AY11" s="62"/>
      <c r="AZ11" s="62"/>
      <c r="BA11" s="62"/>
      <c r="BB11" s="62"/>
      <c r="BC11" s="63"/>
      <c r="BD11" s="66"/>
      <c r="BE11" s="62"/>
      <c r="BF11" s="62"/>
      <c r="BG11" s="62"/>
      <c r="BH11" s="62"/>
      <c r="BI11" s="62"/>
      <c r="BJ11" s="63"/>
      <c r="BK11" s="4"/>
    </row>
    <row r="12" spans="1:63" ht="15" customHeight="1" x14ac:dyDescent="0.25">
      <c r="A12" s="1"/>
      <c r="B12" s="23"/>
      <c r="C12" s="24"/>
      <c r="D12" s="24"/>
      <c r="E12" s="24"/>
      <c r="F12" s="24"/>
      <c r="G12" s="25"/>
      <c r="H12" s="23"/>
      <c r="I12" s="24"/>
      <c r="J12" s="24"/>
      <c r="K12" s="24"/>
      <c r="L12" s="24"/>
      <c r="M12" s="24"/>
      <c r="N12" s="25"/>
      <c r="O12" s="23"/>
      <c r="P12" s="24"/>
      <c r="Q12" s="24"/>
      <c r="R12" s="24"/>
      <c r="S12" s="68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70"/>
      <c r="AX12" s="64"/>
      <c r="AY12" s="64"/>
      <c r="AZ12" s="64"/>
      <c r="BA12" s="64"/>
      <c r="BB12" s="64"/>
      <c r="BC12" s="65"/>
      <c r="BD12" s="67"/>
      <c r="BE12" s="64"/>
      <c r="BF12" s="64"/>
      <c r="BG12" s="64"/>
      <c r="BH12" s="64"/>
      <c r="BI12" s="64"/>
      <c r="BJ12" s="65"/>
      <c r="BK12" s="4"/>
    </row>
    <row r="13" spans="1:63" ht="15" customHeight="1" x14ac:dyDescent="0.25">
      <c r="A13" s="1"/>
      <c r="B13" s="17"/>
      <c r="C13" s="18"/>
      <c r="D13" s="18"/>
      <c r="E13" s="18"/>
      <c r="F13" s="18"/>
      <c r="G13" s="19"/>
      <c r="H13" s="17"/>
      <c r="I13" s="18"/>
      <c r="J13" s="18"/>
      <c r="K13" s="18"/>
      <c r="L13" s="18"/>
      <c r="M13" s="18"/>
      <c r="N13" s="19"/>
      <c r="O13" s="17"/>
      <c r="P13" s="18"/>
      <c r="Q13" s="18"/>
      <c r="R13" s="18"/>
      <c r="S13" s="59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1"/>
      <c r="AX13" s="62"/>
      <c r="AY13" s="62"/>
      <c r="AZ13" s="62"/>
      <c r="BA13" s="62"/>
      <c r="BB13" s="62"/>
      <c r="BC13" s="63"/>
      <c r="BD13" s="66"/>
      <c r="BE13" s="62"/>
      <c r="BF13" s="62"/>
      <c r="BG13" s="62"/>
      <c r="BH13" s="62"/>
      <c r="BI13" s="62"/>
      <c r="BJ13" s="63"/>
      <c r="BK13" s="4"/>
    </row>
    <row r="14" spans="1:63" ht="15" customHeight="1" x14ac:dyDescent="0.25">
      <c r="A14" s="1"/>
      <c r="B14" s="23"/>
      <c r="C14" s="24"/>
      <c r="D14" s="24"/>
      <c r="E14" s="24"/>
      <c r="F14" s="24"/>
      <c r="G14" s="25"/>
      <c r="H14" s="23"/>
      <c r="I14" s="24"/>
      <c r="J14" s="24"/>
      <c r="K14" s="24"/>
      <c r="L14" s="24"/>
      <c r="M14" s="24"/>
      <c r="N14" s="25"/>
      <c r="O14" s="23"/>
      <c r="P14" s="24"/>
      <c r="Q14" s="24"/>
      <c r="R14" s="24"/>
      <c r="S14" s="68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70"/>
      <c r="AX14" s="64"/>
      <c r="AY14" s="64"/>
      <c r="AZ14" s="64"/>
      <c r="BA14" s="64"/>
      <c r="BB14" s="64"/>
      <c r="BC14" s="65"/>
      <c r="BD14" s="67"/>
      <c r="BE14" s="64"/>
      <c r="BF14" s="64"/>
      <c r="BG14" s="64"/>
      <c r="BH14" s="64"/>
      <c r="BI14" s="64"/>
      <c r="BJ14" s="65"/>
      <c r="BK14" s="4"/>
    </row>
    <row r="15" spans="1:63" ht="15" customHeight="1" x14ac:dyDescent="0.25">
      <c r="A15" s="1"/>
      <c r="B15" s="17"/>
      <c r="C15" s="18"/>
      <c r="D15" s="18"/>
      <c r="E15" s="18"/>
      <c r="F15" s="18"/>
      <c r="G15" s="19"/>
      <c r="H15" s="17"/>
      <c r="I15" s="18"/>
      <c r="J15" s="18"/>
      <c r="K15" s="18"/>
      <c r="L15" s="18"/>
      <c r="M15" s="18"/>
      <c r="N15" s="19"/>
      <c r="O15" s="17"/>
      <c r="P15" s="18"/>
      <c r="Q15" s="18"/>
      <c r="R15" s="18"/>
      <c r="S15" s="59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1"/>
      <c r="AX15" s="62"/>
      <c r="AY15" s="62"/>
      <c r="AZ15" s="62"/>
      <c r="BA15" s="62"/>
      <c r="BB15" s="62"/>
      <c r="BC15" s="63"/>
      <c r="BD15" s="66"/>
      <c r="BE15" s="62"/>
      <c r="BF15" s="62"/>
      <c r="BG15" s="62"/>
      <c r="BH15" s="62"/>
      <c r="BI15" s="62"/>
      <c r="BJ15" s="63"/>
      <c r="BK15" s="4"/>
    </row>
    <row r="16" spans="1:63" ht="15" customHeight="1" x14ac:dyDescent="0.25">
      <c r="A16" s="1"/>
      <c r="B16" s="23"/>
      <c r="C16" s="24"/>
      <c r="D16" s="24"/>
      <c r="E16" s="24"/>
      <c r="F16" s="24"/>
      <c r="G16" s="25"/>
      <c r="H16" s="23"/>
      <c r="I16" s="24"/>
      <c r="J16" s="24"/>
      <c r="K16" s="24"/>
      <c r="L16" s="24"/>
      <c r="M16" s="24"/>
      <c r="N16" s="25"/>
      <c r="O16" s="23"/>
      <c r="P16" s="24"/>
      <c r="Q16" s="24"/>
      <c r="R16" s="24"/>
      <c r="S16" s="68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70"/>
      <c r="AX16" s="64"/>
      <c r="AY16" s="64"/>
      <c r="AZ16" s="64"/>
      <c r="BA16" s="64"/>
      <c r="BB16" s="64"/>
      <c r="BC16" s="65"/>
      <c r="BD16" s="67"/>
      <c r="BE16" s="64"/>
      <c r="BF16" s="64"/>
      <c r="BG16" s="64"/>
      <c r="BH16" s="64"/>
      <c r="BI16" s="64"/>
      <c r="BJ16" s="65"/>
      <c r="BK16" s="4"/>
    </row>
    <row r="17" spans="1:63" ht="15" customHeight="1" x14ac:dyDescent="0.25">
      <c r="A17" s="1"/>
      <c r="B17" s="17"/>
      <c r="C17" s="18"/>
      <c r="D17" s="18"/>
      <c r="E17" s="18"/>
      <c r="F17" s="18"/>
      <c r="G17" s="19"/>
      <c r="H17" s="17"/>
      <c r="I17" s="18"/>
      <c r="J17" s="18"/>
      <c r="K17" s="18"/>
      <c r="L17" s="18"/>
      <c r="M17" s="18"/>
      <c r="N17" s="19"/>
      <c r="O17" s="17"/>
      <c r="P17" s="18"/>
      <c r="Q17" s="18"/>
      <c r="R17" s="18"/>
      <c r="S17" s="59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1"/>
      <c r="AX17" s="62"/>
      <c r="AY17" s="62"/>
      <c r="AZ17" s="62"/>
      <c r="BA17" s="62"/>
      <c r="BB17" s="62"/>
      <c r="BC17" s="63"/>
      <c r="BD17" s="66"/>
      <c r="BE17" s="62"/>
      <c r="BF17" s="62"/>
      <c r="BG17" s="62"/>
      <c r="BH17" s="62"/>
      <c r="BI17" s="62"/>
      <c r="BJ17" s="63"/>
      <c r="BK17" s="4"/>
    </row>
    <row r="18" spans="1:63" ht="15" customHeight="1" x14ac:dyDescent="0.25">
      <c r="A18" s="1"/>
      <c r="B18" s="23"/>
      <c r="C18" s="24"/>
      <c r="D18" s="24"/>
      <c r="E18" s="24"/>
      <c r="F18" s="24"/>
      <c r="G18" s="25"/>
      <c r="H18" s="23"/>
      <c r="I18" s="24"/>
      <c r="J18" s="24"/>
      <c r="K18" s="24"/>
      <c r="L18" s="24"/>
      <c r="M18" s="24"/>
      <c r="N18" s="25"/>
      <c r="O18" s="23"/>
      <c r="P18" s="24"/>
      <c r="Q18" s="24"/>
      <c r="R18" s="24"/>
      <c r="S18" s="68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70"/>
      <c r="AX18" s="64"/>
      <c r="AY18" s="64"/>
      <c r="AZ18" s="64"/>
      <c r="BA18" s="64"/>
      <c r="BB18" s="64"/>
      <c r="BC18" s="65"/>
      <c r="BD18" s="67"/>
      <c r="BE18" s="64"/>
      <c r="BF18" s="64"/>
      <c r="BG18" s="64"/>
      <c r="BH18" s="64"/>
      <c r="BI18" s="64"/>
      <c r="BJ18" s="65"/>
      <c r="BK18" s="4"/>
    </row>
    <row r="19" spans="1:63" ht="15" customHeight="1" x14ac:dyDescent="0.25">
      <c r="A19" s="1"/>
      <c r="B19" s="17"/>
      <c r="C19" s="18"/>
      <c r="D19" s="18"/>
      <c r="E19" s="18"/>
      <c r="F19" s="18"/>
      <c r="G19" s="19"/>
      <c r="H19" s="17"/>
      <c r="I19" s="18"/>
      <c r="J19" s="18"/>
      <c r="K19" s="18"/>
      <c r="L19" s="18"/>
      <c r="M19" s="18"/>
      <c r="N19" s="19"/>
      <c r="O19" s="17"/>
      <c r="P19" s="18"/>
      <c r="Q19" s="18"/>
      <c r="R19" s="18"/>
      <c r="S19" s="59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1"/>
      <c r="AX19" s="62"/>
      <c r="AY19" s="62"/>
      <c r="AZ19" s="62"/>
      <c r="BA19" s="62"/>
      <c r="BB19" s="62"/>
      <c r="BC19" s="63"/>
      <c r="BD19" s="66"/>
      <c r="BE19" s="62"/>
      <c r="BF19" s="62"/>
      <c r="BG19" s="62"/>
      <c r="BH19" s="62"/>
      <c r="BI19" s="62"/>
      <c r="BJ19" s="63"/>
      <c r="BK19" s="4"/>
    </row>
    <row r="20" spans="1:63" ht="15" customHeight="1" x14ac:dyDescent="0.25">
      <c r="A20" s="1"/>
      <c r="B20" s="23"/>
      <c r="C20" s="24"/>
      <c r="D20" s="24"/>
      <c r="E20" s="24"/>
      <c r="F20" s="24"/>
      <c r="G20" s="25"/>
      <c r="H20" s="23"/>
      <c r="I20" s="24"/>
      <c r="J20" s="24"/>
      <c r="K20" s="24"/>
      <c r="L20" s="24"/>
      <c r="M20" s="24"/>
      <c r="N20" s="25"/>
      <c r="O20" s="23"/>
      <c r="P20" s="24"/>
      <c r="Q20" s="24"/>
      <c r="R20" s="24"/>
      <c r="S20" s="68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70"/>
      <c r="AX20" s="64"/>
      <c r="AY20" s="64"/>
      <c r="AZ20" s="64"/>
      <c r="BA20" s="64"/>
      <c r="BB20" s="64"/>
      <c r="BC20" s="65"/>
      <c r="BD20" s="67"/>
      <c r="BE20" s="64"/>
      <c r="BF20" s="64"/>
      <c r="BG20" s="64"/>
      <c r="BH20" s="64"/>
      <c r="BI20" s="64"/>
      <c r="BJ20" s="65"/>
      <c r="BK20" s="4"/>
    </row>
    <row r="21" spans="1:63" ht="15" customHeight="1" x14ac:dyDescent="0.25">
      <c r="A21" s="1"/>
      <c r="B21" s="17"/>
      <c r="C21" s="18"/>
      <c r="D21" s="18"/>
      <c r="E21" s="18"/>
      <c r="F21" s="18"/>
      <c r="G21" s="19"/>
      <c r="H21" s="17"/>
      <c r="I21" s="18"/>
      <c r="J21" s="18"/>
      <c r="K21" s="18"/>
      <c r="L21" s="18"/>
      <c r="M21" s="18"/>
      <c r="N21" s="19"/>
      <c r="O21" s="17"/>
      <c r="P21" s="18"/>
      <c r="Q21" s="18"/>
      <c r="R21" s="18"/>
      <c r="S21" s="59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1"/>
      <c r="AX21" s="62"/>
      <c r="AY21" s="62"/>
      <c r="AZ21" s="62"/>
      <c r="BA21" s="62"/>
      <c r="BB21" s="62"/>
      <c r="BC21" s="63"/>
      <c r="BD21" s="66"/>
      <c r="BE21" s="62"/>
      <c r="BF21" s="62"/>
      <c r="BG21" s="62"/>
      <c r="BH21" s="62"/>
      <c r="BI21" s="62"/>
      <c r="BJ21" s="63"/>
      <c r="BK21" s="4"/>
    </row>
    <row r="22" spans="1:63" ht="15" customHeight="1" x14ac:dyDescent="0.25">
      <c r="A22" s="1"/>
      <c r="B22" s="23"/>
      <c r="C22" s="24"/>
      <c r="D22" s="24"/>
      <c r="E22" s="24"/>
      <c r="F22" s="24"/>
      <c r="G22" s="25"/>
      <c r="H22" s="23"/>
      <c r="I22" s="24"/>
      <c r="J22" s="24"/>
      <c r="K22" s="24"/>
      <c r="L22" s="24"/>
      <c r="M22" s="24"/>
      <c r="N22" s="25"/>
      <c r="O22" s="23"/>
      <c r="P22" s="24"/>
      <c r="Q22" s="24"/>
      <c r="R22" s="24"/>
      <c r="S22" s="68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70"/>
      <c r="AX22" s="64"/>
      <c r="AY22" s="64"/>
      <c r="AZ22" s="64"/>
      <c r="BA22" s="64"/>
      <c r="BB22" s="64"/>
      <c r="BC22" s="65"/>
      <c r="BD22" s="67"/>
      <c r="BE22" s="64"/>
      <c r="BF22" s="64"/>
      <c r="BG22" s="64"/>
      <c r="BH22" s="64"/>
      <c r="BI22" s="64"/>
      <c r="BJ22" s="65"/>
      <c r="BK22" s="4"/>
    </row>
    <row r="23" spans="1:63" ht="15" customHeight="1" x14ac:dyDescent="0.25">
      <c r="A23" s="1"/>
      <c r="B23" s="17"/>
      <c r="C23" s="18"/>
      <c r="D23" s="18"/>
      <c r="E23" s="18"/>
      <c r="F23" s="18"/>
      <c r="G23" s="19"/>
      <c r="H23" s="17"/>
      <c r="I23" s="18"/>
      <c r="J23" s="18"/>
      <c r="K23" s="18"/>
      <c r="L23" s="18"/>
      <c r="M23" s="18"/>
      <c r="N23" s="19"/>
      <c r="O23" s="17"/>
      <c r="P23" s="18"/>
      <c r="Q23" s="18"/>
      <c r="R23" s="18"/>
      <c r="S23" s="59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1"/>
      <c r="AX23" s="62"/>
      <c r="AY23" s="62"/>
      <c r="AZ23" s="62"/>
      <c r="BA23" s="62"/>
      <c r="BB23" s="62"/>
      <c r="BC23" s="63"/>
      <c r="BD23" s="66"/>
      <c r="BE23" s="62"/>
      <c r="BF23" s="62"/>
      <c r="BG23" s="62"/>
      <c r="BH23" s="62"/>
      <c r="BI23" s="62"/>
      <c r="BJ23" s="63"/>
      <c r="BK23" s="4"/>
    </row>
    <row r="24" spans="1:63" ht="15" customHeight="1" x14ac:dyDescent="0.25">
      <c r="A24" s="1"/>
      <c r="B24" s="23"/>
      <c r="C24" s="24"/>
      <c r="D24" s="24"/>
      <c r="E24" s="24"/>
      <c r="F24" s="24"/>
      <c r="G24" s="25"/>
      <c r="H24" s="23"/>
      <c r="I24" s="24"/>
      <c r="J24" s="24"/>
      <c r="K24" s="24"/>
      <c r="L24" s="24"/>
      <c r="M24" s="24"/>
      <c r="N24" s="25"/>
      <c r="O24" s="23"/>
      <c r="P24" s="24"/>
      <c r="Q24" s="24"/>
      <c r="R24" s="24"/>
      <c r="S24" s="68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70"/>
      <c r="AX24" s="64"/>
      <c r="AY24" s="64"/>
      <c r="AZ24" s="64"/>
      <c r="BA24" s="64"/>
      <c r="BB24" s="64"/>
      <c r="BC24" s="65"/>
      <c r="BD24" s="67"/>
      <c r="BE24" s="64"/>
      <c r="BF24" s="64"/>
      <c r="BG24" s="64"/>
      <c r="BH24" s="64"/>
      <c r="BI24" s="64"/>
      <c r="BJ24" s="65"/>
      <c r="BK24" s="4"/>
    </row>
    <row r="25" spans="1:63" ht="15" customHeight="1" x14ac:dyDescent="0.25">
      <c r="A25" s="1"/>
      <c r="B25" s="17"/>
      <c r="C25" s="18"/>
      <c r="D25" s="18"/>
      <c r="E25" s="18"/>
      <c r="F25" s="18"/>
      <c r="G25" s="19"/>
      <c r="H25" s="17"/>
      <c r="I25" s="18"/>
      <c r="J25" s="18"/>
      <c r="K25" s="18"/>
      <c r="L25" s="18"/>
      <c r="M25" s="18"/>
      <c r="N25" s="19"/>
      <c r="O25" s="17"/>
      <c r="P25" s="18"/>
      <c r="Q25" s="18"/>
      <c r="R25" s="18"/>
      <c r="S25" s="59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1"/>
      <c r="AX25" s="62"/>
      <c r="AY25" s="62"/>
      <c r="AZ25" s="62"/>
      <c r="BA25" s="62"/>
      <c r="BB25" s="62"/>
      <c r="BC25" s="63"/>
      <c r="BD25" s="66"/>
      <c r="BE25" s="62"/>
      <c r="BF25" s="62"/>
      <c r="BG25" s="62"/>
      <c r="BH25" s="62"/>
      <c r="BI25" s="62"/>
      <c r="BJ25" s="63"/>
      <c r="BK25" s="4"/>
    </row>
    <row r="26" spans="1:63" ht="15" customHeight="1" x14ac:dyDescent="0.25">
      <c r="A26" s="1"/>
      <c r="B26" s="23"/>
      <c r="C26" s="24"/>
      <c r="D26" s="24"/>
      <c r="E26" s="24"/>
      <c r="F26" s="24"/>
      <c r="G26" s="25"/>
      <c r="H26" s="23"/>
      <c r="I26" s="24"/>
      <c r="J26" s="24"/>
      <c r="K26" s="24"/>
      <c r="L26" s="24"/>
      <c r="M26" s="24"/>
      <c r="N26" s="25"/>
      <c r="O26" s="23"/>
      <c r="P26" s="24"/>
      <c r="Q26" s="24"/>
      <c r="R26" s="24"/>
      <c r="S26" s="68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70"/>
      <c r="AX26" s="64"/>
      <c r="AY26" s="64"/>
      <c r="AZ26" s="64"/>
      <c r="BA26" s="64"/>
      <c r="BB26" s="64"/>
      <c r="BC26" s="65"/>
      <c r="BD26" s="67"/>
      <c r="BE26" s="64"/>
      <c r="BF26" s="64"/>
      <c r="BG26" s="64"/>
      <c r="BH26" s="64"/>
      <c r="BI26" s="64"/>
      <c r="BJ26" s="65"/>
      <c r="BK26" s="4"/>
    </row>
    <row r="27" spans="1:63" ht="15" customHeight="1" x14ac:dyDescent="0.25">
      <c r="A27" s="1"/>
      <c r="B27" s="17"/>
      <c r="C27" s="18"/>
      <c r="D27" s="18"/>
      <c r="E27" s="18"/>
      <c r="F27" s="18"/>
      <c r="G27" s="19"/>
      <c r="H27" s="17"/>
      <c r="I27" s="18"/>
      <c r="J27" s="18"/>
      <c r="K27" s="18"/>
      <c r="L27" s="18"/>
      <c r="M27" s="18"/>
      <c r="N27" s="19"/>
      <c r="O27" s="17"/>
      <c r="P27" s="18"/>
      <c r="Q27" s="18"/>
      <c r="R27" s="18"/>
      <c r="S27" s="59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1"/>
      <c r="AX27" s="62"/>
      <c r="AY27" s="62"/>
      <c r="AZ27" s="62"/>
      <c r="BA27" s="62"/>
      <c r="BB27" s="62"/>
      <c r="BC27" s="63"/>
      <c r="BD27" s="66"/>
      <c r="BE27" s="62"/>
      <c r="BF27" s="62"/>
      <c r="BG27" s="62"/>
      <c r="BH27" s="62"/>
      <c r="BI27" s="62"/>
      <c r="BJ27" s="63"/>
      <c r="BK27" s="4"/>
    </row>
    <row r="28" spans="1:63" ht="15" customHeight="1" x14ac:dyDescent="0.25">
      <c r="A28" s="1"/>
      <c r="B28" s="23"/>
      <c r="C28" s="24"/>
      <c r="D28" s="24"/>
      <c r="E28" s="24"/>
      <c r="F28" s="24"/>
      <c r="G28" s="25"/>
      <c r="H28" s="23"/>
      <c r="I28" s="24"/>
      <c r="J28" s="24"/>
      <c r="K28" s="24"/>
      <c r="L28" s="24"/>
      <c r="M28" s="24"/>
      <c r="N28" s="25"/>
      <c r="O28" s="23"/>
      <c r="P28" s="24"/>
      <c r="Q28" s="24"/>
      <c r="R28" s="24"/>
      <c r="S28" s="68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70"/>
      <c r="AX28" s="64"/>
      <c r="AY28" s="64"/>
      <c r="AZ28" s="64"/>
      <c r="BA28" s="64"/>
      <c r="BB28" s="64"/>
      <c r="BC28" s="65"/>
      <c r="BD28" s="67"/>
      <c r="BE28" s="64"/>
      <c r="BF28" s="64"/>
      <c r="BG28" s="64"/>
      <c r="BH28" s="64"/>
      <c r="BI28" s="64"/>
      <c r="BJ28" s="65"/>
      <c r="BK28" s="4"/>
    </row>
    <row r="29" spans="1:63" ht="15" customHeight="1" x14ac:dyDescent="0.25">
      <c r="A29" s="1"/>
      <c r="B29" s="17"/>
      <c r="C29" s="18"/>
      <c r="D29" s="18"/>
      <c r="E29" s="18"/>
      <c r="F29" s="18"/>
      <c r="G29" s="19"/>
      <c r="H29" s="17"/>
      <c r="I29" s="18"/>
      <c r="J29" s="18"/>
      <c r="K29" s="18"/>
      <c r="L29" s="18"/>
      <c r="M29" s="18"/>
      <c r="N29" s="19"/>
      <c r="O29" s="17"/>
      <c r="P29" s="18"/>
      <c r="Q29" s="18"/>
      <c r="R29" s="18"/>
      <c r="S29" s="59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1"/>
      <c r="AX29" s="62"/>
      <c r="AY29" s="62"/>
      <c r="AZ29" s="62"/>
      <c r="BA29" s="62"/>
      <c r="BB29" s="62"/>
      <c r="BC29" s="63"/>
      <c r="BD29" s="66"/>
      <c r="BE29" s="62"/>
      <c r="BF29" s="62"/>
      <c r="BG29" s="62"/>
      <c r="BH29" s="62"/>
      <c r="BI29" s="62"/>
      <c r="BJ29" s="63"/>
      <c r="BK29" s="4"/>
    </row>
    <row r="30" spans="1:63" ht="15" customHeight="1" x14ac:dyDescent="0.25">
      <c r="A30" s="1"/>
      <c r="B30" s="23"/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68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70"/>
      <c r="AX30" s="64"/>
      <c r="AY30" s="64"/>
      <c r="AZ30" s="64"/>
      <c r="BA30" s="64"/>
      <c r="BB30" s="64"/>
      <c r="BC30" s="65"/>
      <c r="BD30" s="67"/>
      <c r="BE30" s="64"/>
      <c r="BF30" s="64"/>
      <c r="BG30" s="64"/>
      <c r="BH30" s="64"/>
      <c r="BI30" s="64"/>
      <c r="BJ30" s="65"/>
      <c r="BK30" s="4"/>
    </row>
    <row r="31" spans="1:63" ht="15" customHeight="1" x14ac:dyDescent="0.25">
      <c r="A31" s="1"/>
      <c r="B31" s="17"/>
      <c r="C31" s="18"/>
      <c r="D31" s="18"/>
      <c r="E31" s="18"/>
      <c r="F31" s="18"/>
      <c r="G31" s="19"/>
      <c r="H31" s="17"/>
      <c r="I31" s="18"/>
      <c r="J31" s="18"/>
      <c r="K31" s="18"/>
      <c r="L31" s="18"/>
      <c r="M31" s="18"/>
      <c r="N31" s="19"/>
      <c r="O31" s="17"/>
      <c r="P31" s="18"/>
      <c r="Q31" s="18"/>
      <c r="R31" s="18"/>
      <c r="S31" s="59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1"/>
      <c r="AX31" s="62"/>
      <c r="AY31" s="62"/>
      <c r="AZ31" s="62"/>
      <c r="BA31" s="62"/>
      <c r="BB31" s="62"/>
      <c r="BC31" s="63"/>
      <c r="BD31" s="66"/>
      <c r="BE31" s="62"/>
      <c r="BF31" s="62"/>
      <c r="BG31" s="62"/>
      <c r="BH31" s="62"/>
      <c r="BI31" s="62"/>
      <c r="BJ31" s="63"/>
      <c r="BK31" s="4"/>
    </row>
    <row r="32" spans="1:63" ht="15" customHeight="1" x14ac:dyDescent="0.25">
      <c r="A32" s="1"/>
      <c r="B32" s="23"/>
      <c r="C32" s="24"/>
      <c r="D32" s="24"/>
      <c r="E32" s="24"/>
      <c r="F32" s="24"/>
      <c r="G32" s="25"/>
      <c r="H32" s="23"/>
      <c r="I32" s="24"/>
      <c r="J32" s="24"/>
      <c r="K32" s="24"/>
      <c r="L32" s="24"/>
      <c r="M32" s="24"/>
      <c r="N32" s="25"/>
      <c r="O32" s="23"/>
      <c r="P32" s="24"/>
      <c r="Q32" s="24"/>
      <c r="R32" s="24"/>
      <c r="S32" s="68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70"/>
      <c r="AX32" s="64"/>
      <c r="AY32" s="64"/>
      <c r="AZ32" s="64"/>
      <c r="BA32" s="64"/>
      <c r="BB32" s="64"/>
      <c r="BC32" s="65"/>
      <c r="BD32" s="67"/>
      <c r="BE32" s="64"/>
      <c r="BF32" s="64"/>
      <c r="BG32" s="64"/>
      <c r="BH32" s="64"/>
      <c r="BI32" s="64"/>
      <c r="BJ32" s="65"/>
      <c r="BK32" s="4"/>
    </row>
    <row r="33" spans="1:63" ht="15" customHeight="1" x14ac:dyDescent="0.25">
      <c r="A33" s="1"/>
      <c r="B33" s="17"/>
      <c r="C33" s="18"/>
      <c r="D33" s="18"/>
      <c r="E33" s="18"/>
      <c r="F33" s="18"/>
      <c r="G33" s="19"/>
      <c r="H33" s="17"/>
      <c r="I33" s="18"/>
      <c r="J33" s="18"/>
      <c r="K33" s="18"/>
      <c r="L33" s="18"/>
      <c r="M33" s="18"/>
      <c r="N33" s="19"/>
      <c r="O33" s="17"/>
      <c r="P33" s="18"/>
      <c r="Q33" s="18"/>
      <c r="R33" s="18"/>
      <c r="S33" s="59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1"/>
      <c r="AX33" s="62"/>
      <c r="AY33" s="62"/>
      <c r="AZ33" s="62"/>
      <c r="BA33" s="62"/>
      <c r="BB33" s="62"/>
      <c r="BC33" s="63"/>
      <c r="BD33" s="66"/>
      <c r="BE33" s="62"/>
      <c r="BF33" s="62"/>
      <c r="BG33" s="62"/>
      <c r="BH33" s="62"/>
      <c r="BI33" s="62"/>
      <c r="BJ33" s="63"/>
      <c r="BK33" s="4"/>
    </row>
    <row r="34" spans="1:63" ht="15" customHeight="1" x14ac:dyDescent="0.25">
      <c r="A34" s="1"/>
      <c r="B34" s="23"/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68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70"/>
      <c r="AX34" s="64"/>
      <c r="AY34" s="64"/>
      <c r="AZ34" s="64"/>
      <c r="BA34" s="64"/>
      <c r="BB34" s="64"/>
      <c r="BC34" s="65"/>
      <c r="BD34" s="67"/>
      <c r="BE34" s="64"/>
      <c r="BF34" s="64"/>
      <c r="BG34" s="64"/>
      <c r="BH34" s="64"/>
      <c r="BI34" s="64"/>
      <c r="BJ34" s="65"/>
      <c r="BK34" s="4"/>
    </row>
    <row r="35" spans="1:63" ht="15" customHeight="1" x14ac:dyDescent="0.25">
      <c r="A35" s="1"/>
      <c r="B35" s="17"/>
      <c r="C35" s="18"/>
      <c r="D35" s="18"/>
      <c r="E35" s="18"/>
      <c r="F35" s="18"/>
      <c r="G35" s="19"/>
      <c r="H35" s="17"/>
      <c r="I35" s="18"/>
      <c r="J35" s="18"/>
      <c r="K35" s="18"/>
      <c r="L35" s="18"/>
      <c r="M35" s="18"/>
      <c r="N35" s="19"/>
      <c r="O35" s="17"/>
      <c r="P35" s="18"/>
      <c r="Q35" s="18"/>
      <c r="R35" s="18"/>
      <c r="S35" s="59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1"/>
      <c r="AX35" s="62"/>
      <c r="AY35" s="62"/>
      <c r="AZ35" s="62"/>
      <c r="BA35" s="62"/>
      <c r="BB35" s="62"/>
      <c r="BC35" s="63"/>
      <c r="BD35" s="66"/>
      <c r="BE35" s="62"/>
      <c r="BF35" s="62"/>
      <c r="BG35" s="62"/>
      <c r="BH35" s="62"/>
      <c r="BI35" s="62"/>
      <c r="BJ35" s="63"/>
      <c r="BK35" s="4"/>
    </row>
    <row r="36" spans="1:63" ht="15" customHeight="1" x14ac:dyDescent="0.25">
      <c r="A36" s="1"/>
      <c r="B36" s="23"/>
      <c r="C36" s="24"/>
      <c r="D36" s="24"/>
      <c r="E36" s="24"/>
      <c r="F36" s="24"/>
      <c r="G36" s="25"/>
      <c r="H36" s="23"/>
      <c r="I36" s="24"/>
      <c r="J36" s="24"/>
      <c r="K36" s="24"/>
      <c r="L36" s="24"/>
      <c r="M36" s="24"/>
      <c r="N36" s="25"/>
      <c r="O36" s="23"/>
      <c r="P36" s="24"/>
      <c r="Q36" s="24"/>
      <c r="R36" s="24"/>
      <c r="S36" s="68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70"/>
      <c r="AX36" s="64"/>
      <c r="AY36" s="64"/>
      <c r="AZ36" s="64"/>
      <c r="BA36" s="64"/>
      <c r="BB36" s="64"/>
      <c r="BC36" s="65"/>
      <c r="BD36" s="67"/>
      <c r="BE36" s="64"/>
      <c r="BF36" s="64"/>
      <c r="BG36" s="64"/>
      <c r="BH36" s="64"/>
      <c r="BI36" s="64"/>
      <c r="BJ36" s="65"/>
      <c r="BK36" s="4"/>
    </row>
    <row r="37" spans="1:63" ht="15" customHeight="1" x14ac:dyDescent="0.25">
      <c r="A37" s="1"/>
      <c r="B37" s="17"/>
      <c r="C37" s="18"/>
      <c r="D37" s="18"/>
      <c r="E37" s="18"/>
      <c r="F37" s="18"/>
      <c r="G37" s="19"/>
      <c r="H37" s="17"/>
      <c r="I37" s="18"/>
      <c r="J37" s="18"/>
      <c r="K37" s="18"/>
      <c r="L37" s="18"/>
      <c r="M37" s="18"/>
      <c r="N37" s="19"/>
      <c r="O37" s="17"/>
      <c r="P37" s="18"/>
      <c r="Q37" s="18"/>
      <c r="R37" s="18"/>
      <c r="S37" s="59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1"/>
      <c r="AX37" s="62"/>
      <c r="AY37" s="62"/>
      <c r="AZ37" s="62"/>
      <c r="BA37" s="62"/>
      <c r="BB37" s="62"/>
      <c r="BC37" s="63"/>
      <c r="BD37" s="66"/>
      <c r="BE37" s="62"/>
      <c r="BF37" s="62"/>
      <c r="BG37" s="62"/>
      <c r="BH37" s="62"/>
      <c r="BI37" s="62"/>
      <c r="BJ37" s="63"/>
      <c r="BK37" s="4"/>
    </row>
    <row r="38" spans="1:63" ht="15" customHeight="1" x14ac:dyDescent="0.25">
      <c r="A38" s="1"/>
      <c r="B38" s="23"/>
      <c r="C38" s="24"/>
      <c r="D38" s="24"/>
      <c r="E38" s="24"/>
      <c r="F38" s="24"/>
      <c r="G38" s="25"/>
      <c r="H38" s="23"/>
      <c r="I38" s="24"/>
      <c r="J38" s="24"/>
      <c r="K38" s="24"/>
      <c r="L38" s="24"/>
      <c r="M38" s="24"/>
      <c r="N38" s="25"/>
      <c r="O38" s="23"/>
      <c r="P38" s="24"/>
      <c r="Q38" s="24"/>
      <c r="R38" s="24"/>
      <c r="S38" s="68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70"/>
      <c r="AX38" s="64"/>
      <c r="AY38" s="64"/>
      <c r="AZ38" s="64"/>
      <c r="BA38" s="64"/>
      <c r="BB38" s="64"/>
      <c r="BC38" s="65"/>
      <c r="BD38" s="67"/>
      <c r="BE38" s="64"/>
      <c r="BF38" s="64"/>
      <c r="BG38" s="64"/>
      <c r="BH38" s="64"/>
      <c r="BI38" s="64"/>
      <c r="BJ38" s="65"/>
      <c r="BK38" s="4"/>
    </row>
    <row r="39" spans="1:63" ht="15" customHeight="1" x14ac:dyDescent="0.25">
      <c r="A39" s="1"/>
      <c r="B39" s="17"/>
      <c r="C39" s="18"/>
      <c r="D39" s="18"/>
      <c r="E39" s="18"/>
      <c r="F39" s="18"/>
      <c r="G39" s="19"/>
      <c r="H39" s="17"/>
      <c r="I39" s="18"/>
      <c r="J39" s="18"/>
      <c r="K39" s="18"/>
      <c r="L39" s="18"/>
      <c r="M39" s="18"/>
      <c r="N39" s="19"/>
      <c r="O39" s="17"/>
      <c r="P39" s="18"/>
      <c r="Q39" s="18"/>
      <c r="R39" s="18"/>
      <c r="S39" s="59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1"/>
      <c r="AX39" s="62"/>
      <c r="AY39" s="62"/>
      <c r="AZ39" s="62"/>
      <c r="BA39" s="62"/>
      <c r="BB39" s="62"/>
      <c r="BC39" s="63"/>
      <c r="BD39" s="66"/>
      <c r="BE39" s="62"/>
      <c r="BF39" s="62"/>
      <c r="BG39" s="62"/>
      <c r="BH39" s="62"/>
      <c r="BI39" s="62"/>
      <c r="BJ39" s="63"/>
      <c r="BK39" s="4"/>
    </row>
    <row r="40" spans="1:63" ht="15" customHeight="1" x14ac:dyDescent="0.25">
      <c r="A40" s="1"/>
      <c r="B40" s="23"/>
      <c r="C40" s="24"/>
      <c r="D40" s="24"/>
      <c r="E40" s="24"/>
      <c r="F40" s="24"/>
      <c r="G40" s="25"/>
      <c r="H40" s="23"/>
      <c r="I40" s="24"/>
      <c r="J40" s="24"/>
      <c r="K40" s="24"/>
      <c r="L40" s="24"/>
      <c r="M40" s="24"/>
      <c r="N40" s="25"/>
      <c r="O40" s="23"/>
      <c r="P40" s="24"/>
      <c r="Q40" s="24"/>
      <c r="R40" s="24"/>
      <c r="S40" s="68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70"/>
      <c r="AX40" s="64"/>
      <c r="AY40" s="64"/>
      <c r="AZ40" s="64"/>
      <c r="BA40" s="64"/>
      <c r="BB40" s="64"/>
      <c r="BC40" s="65"/>
      <c r="BD40" s="67"/>
      <c r="BE40" s="64"/>
      <c r="BF40" s="64"/>
      <c r="BG40" s="64"/>
      <c r="BH40" s="64"/>
      <c r="BI40" s="64"/>
      <c r="BJ40" s="65"/>
      <c r="BK40" s="4"/>
    </row>
    <row r="41" spans="1:63" ht="15" customHeight="1" x14ac:dyDescent="0.25">
      <c r="A41" s="1"/>
      <c r="B41" s="17"/>
      <c r="C41" s="18"/>
      <c r="D41" s="18"/>
      <c r="E41" s="18"/>
      <c r="F41" s="18"/>
      <c r="G41" s="19"/>
      <c r="H41" s="17"/>
      <c r="I41" s="18"/>
      <c r="J41" s="18"/>
      <c r="K41" s="18"/>
      <c r="L41" s="18"/>
      <c r="M41" s="18"/>
      <c r="N41" s="19"/>
      <c r="O41" s="17"/>
      <c r="P41" s="18"/>
      <c r="Q41" s="18"/>
      <c r="R41" s="18"/>
      <c r="S41" s="59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1"/>
      <c r="AX41" s="62"/>
      <c r="AY41" s="62"/>
      <c r="AZ41" s="62"/>
      <c r="BA41" s="62"/>
      <c r="BB41" s="62"/>
      <c r="BC41" s="63"/>
      <c r="BD41" s="66"/>
      <c r="BE41" s="62"/>
      <c r="BF41" s="62"/>
      <c r="BG41" s="62"/>
      <c r="BH41" s="62"/>
      <c r="BI41" s="62"/>
      <c r="BJ41" s="63"/>
      <c r="BK41" s="4"/>
    </row>
    <row r="42" spans="1:63" ht="15" customHeight="1" x14ac:dyDescent="0.25">
      <c r="A42" s="1"/>
      <c r="B42" s="23"/>
      <c r="C42" s="24"/>
      <c r="D42" s="24"/>
      <c r="E42" s="24"/>
      <c r="F42" s="24"/>
      <c r="G42" s="25"/>
      <c r="H42" s="23"/>
      <c r="I42" s="24"/>
      <c r="J42" s="24"/>
      <c r="K42" s="24"/>
      <c r="L42" s="24"/>
      <c r="M42" s="24"/>
      <c r="N42" s="25"/>
      <c r="O42" s="23"/>
      <c r="P42" s="24"/>
      <c r="Q42" s="24"/>
      <c r="R42" s="24"/>
      <c r="S42" s="68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70"/>
      <c r="AX42" s="64"/>
      <c r="AY42" s="64"/>
      <c r="AZ42" s="64"/>
      <c r="BA42" s="64"/>
      <c r="BB42" s="64"/>
      <c r="BC42" s="65"/>
      <c r="BD42" s="67"/>
      <c r="BE42" s="64"/>
      <c r="BF42" s="64"/>
      <c r="BG42" s="64"/>
      <c r="BH42" s="64"/>
      <c r="BI42" s="64"/>
      <c r="BJ42" s="65"/>
      <c r="BK42" s="4"/>
    </row>
    <row r="43" spans="1:63" ht="15" customHeight="1" x14ac:dyDescent="0.25">
      <c r="A43" s="1"/>
      <c r="B43" s="17"/>
      <c r="C43" s="18"/>
      <c r="D43" s="18"/>
      <c r="E43" s="18"/>
      <c r="F43" s="18"/>
      <c r="G43" s="19"/>
      <c r="H43" s="17"/>
      <c r="I43" s="18"/>
      <c r="J43" s="18"/>
      <c r="K43" s="18"/>
      <c r="L43" s="18"/>
      <c r="M43" s="18"/>
      <c r="N43" s="19"/>
      <c r="O43" s="17"/>
      <c r="P43" s="18"/>
      <c r="Q43" s="18"/>
      <c r="R43" s="18"/>
      <c r="S43" s="59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1"/>
      <c r="AX43" s="62"/>
      <c r="AY43" s="62"/>
      <c r="AZ43" s="62"/>
      <c r="BA43" s="62"/>
      <c r="BB43" s="62"/>
      <c r="BC43" s="63"/>
      <c r="BD43" s="66"/>
      <c r="BE43" s="62"/>
      <c r="BF43" s="62"/>
      <c r="BG43" s="62"/>
      <c r="BH43" s="62"/>
      <c r="BI43" s="62"/>
      <c r="BJ43" s="63"/>
      <c r="BK43" s="4"/>
    </row>
    <row r="44" spans="1:63" ht="15" customHeight="1" x14ac:dyDescent="0.25">
      <c r="A44" s="1"/>
      <c r="B44" s="23"/>
      <c r="C44" s="24"/>
      <c r="D44" s="24"/>
      <c r="E44" s="24"/>
      <c r="F44" s="24"/>
      <c r="G44" s="25"/>
      <c r="H44" s="23"/>
      <c r="I44" s="24"/>
      <c r="J44" s="24"/>
      <c r="K44" s="24"/>
      <c r="L44" s="24"/>
      <c r="M44" s="24"/>
      <c r="N44" s="25"/>
      <c r="O44" s="23"/>
      <c r="P44" s="24"/>
      <c r="Q44" s="24"/>
      <c r="R44" s="24"/>
      <c r="S44" s="68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70"/>
      <c r="AX44" s="64"/>
      <c r="AY44" s="64"/>
      <c r="AZ44" s="64"/>
      <c r="BA44" s="64"/>
      <c r="BB44" s="64"/>
      <c r="BC44" s="65"/>
      <c r="BD44" s="67"/>
      <c r="BE44" s="64"/>
      <c r="BF44" s="64"/>
      <c r="BG44" s="64"/>
      <c r="BH44" s="64"/>
      <c r="BI44" s="64"/>
      <c r="BJ44" s="65"/>
      <c r="BK44" s="4"/>
    </row>
    <row r="45" spans="1:63" ht="15" customHeight="1" x14ac:dyDescent="0.25">
      <c r="A45" s="1"/>
      <c r="B45" s="17"/>
      <c r="C45" s="18"/>
      <c r="D45" s="18"/>
      <c r="E45" s="18"/>
      <c r="F45" s="18"/>
      <c r="G45" s="19"/>
      <c r="H45" s="17"/>
      <c r="I45" s="18"/>
      <c r="J45" s="18"/>
      <c r="K45" s="18"/>
      <c r="L45" s="18"/>
      <c r="M45" s="18"/>
      <c r="N45" s="19"/>
      <c r="O45" s="17"/>
      <c r="P45" s="18"/>
      <c r="Q45" s="18"/>
      <c r="R45" s="18"/>
      <c r="S45" s="59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1"/>
      <c r="AX45" s="62"/>
      <c r="AY45" s="62"/>
      <c r="AZ45" s="62"/>
      <c r="BA45" s="62"/>
      <c r="BB45" s="62"/>
      <c r="BC45" s="63"/>
      <c r="BD45" s="66"/>
      <c r="BE45" s="62"/>
      <c r="BF45" s="62"/>
      <c r="BG45" s="62"/>
      <c r="BH45" s="62"/>
      <c r="BI45" s="62"/>
      <c r="BJ45" s="63"/>
      <c r="BK45" s="4"/>
    </row>
    <row r="46" spans="1:63" ht="15" customHeight="1" x14ac:dyDescent="0.25">
      <c r="A46" s="1"/>
      <c r="B46" s="23"/>
      <c r="C46" s="24"/>
      <c r="D46" s="24"/>
      <c r="E46" s="24"/>
      <c r="F46" s="24"/>
      <c r="G46" s="25"/>
      <c r="H46" s="23"/>
      <c r="I46" s="24"/>
      <c r="J46" s="24"/>
      <c r="K46" s="24"/>
      <c r="L46" s="24"/>
      <c r="M46" s="24"/>
      <c r="N46" s="25"/>
      <c r="O46" s="23"/>
      <c r="P46" s="24"/>
      <c r="Q46" s="24"/>
      <c r="R46" s="24"/>
      <c r="S46" s="68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70"/>
      <c r="AX46" s="64"/>
      <c r="AY46" s="64"/>
      <c r="AZ46" s="64"/>
      <c r="BA46" s="64"/>
      <c r="BB46" s="64"/>
      <c r="BC46" s="65"/>
      <c r="BD46" s="67"/>
      <c r="BE46" s="64"/>
      <c r="BF46" s="64"/>
      <c r="BG46" s="64"/>
      <c r="BH46" s="64"/>
      <c r="BI46" s="64"/>
      <c r="BJ46" s="65"/>
      <c r="BK46" s="4"/>
    </row>
    <row r="47" spans="1:63" ht="15" customHeight="1" x14ac:dyDescent="0.25">
      <c r="A47" s="1"/>
      <c r="B47" s="17"/>
      <c r="C47" s="18"/>
      <c r="D47" s="18"/>
      <c r="E47" s="18"/>
      <c r="F47" s="18"/>
      <c r="G47" s="19"/>
      <c r="H47" s="17"/>
      <c r="I47" s="18"/>
      <c r="J47" s="18"/>
      <c r="K47" s="18"/>
      <c r="L47" s="18"/>
      <c r="M47" s="18"/>
      <c r="N47" s="19"/>
      <c r="O47" s="17"/>
      <c r="P47" s="18"/>
      <c r="Q47" s="18"/>
      <c r="R47" s="18"/>
      <c r="S47" s="59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1"/>
      <c r="AX47" s="62"/>
      <c r="AY47" s="62"/>
      <c r="AZ47" s="62"/>
      <c r="BA47" s="62"/>
      <c r="BB47" s="62"/>
      <c r="BC47" s="63"/>
      <c r="BD47" s="66"/>
      <c r="BE47" s="62"/>
      <c r="BF47" s="62"/>
      <c r="BG47" s="62"/>
      <c r="BH47" s="62"/>
      <c r="BI47" s="62"/>
      <c r="BJ47" s="63"/>
      <c r="BK47" s="4"/>
    </row>
    <row r="48" spans="1:63" ht="15" customHeight="1" x14ac:dyDescent="0.25">
      <c r="A48" s="1"/>
      <c r="B48" s="23"/>
      <c r="C48" s="24"/>
      <c r="D48" s="24"/>
      <c r="E48" s="24"/>
      <c r="F48" s="24"/>
      <c r="G48" s="25"/>
      <c r="H48" s="23"/>
      <c r="I48" s="24"/>
      <c r="J48" s="24"/>
      <c r="K48" s="24"/>
      <c r="L48" s="24"/>
      <c r="M48" s="24"/>
      <c r="N48" s="25"/>
      <c r="O48" s="23"/>
      <c r="P48" s="24"/>
      <c r="Q48" s="24"/>
      <c r="R48" s="24"/>
      <c r="S48" s="68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70"/>
      <c r="AX48" s="64"/>
      <c r="AY48" s="64"/>
      <c r="AZ48" s="64"/>
      <c r="BA48" s="64"/>
      <c r="BB48" s="64"/>
      <c r="BC48" s="65"/>
      <c r="BD48" s="67"/>
      <c r="BE48" s="64"/>
      <c r="BF48" s="64"/>
      <c r="BG48" s="64"/>
      <c r="BH48" s="64"/>
      <c r="BI48" s="64"/>
      <c r="BJ48" s="65"/>
      <c r="BK48" s="4"/>
    </row>
    <row r="49" spans="1:63" ht="15" customHeight="1" x14ac:dyDescent="0.25">
      <c r="A49" s="1"/>
      <c r="B49" s="17"/>
      <c r="C49" s="18"/>
      <c r="D49" s="18"/>
      <c r="E49" s="18"/>
      <c r="F49" s="18"/>
      <c r="G49" s="19"/>
      <c r="H49" s="17"/>
      <c r="I49" s="18"/>
      <c r="J49" s="18"/>
      <c r="K49" s="18"/>
      <c r="L49" s="18"/>
      <c r="M49" s="18"/>
      <c r="N49" s="19"/>
      <c r="O49" s="17"/>
      <c r="P49" s="18"/>
      <c r="Q49" s="18"/>
      <c r="R49" s="18"/>
      <c r="S49" s="59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1"/>
      <c r="AX49" s="62"/>
      <c r="AY49" s="62"/>
      <c r="AZ49" s="62"/>
      <c r="BA49" s="62"/>
      <c r="BB49" s="62"/>
      <c r="BC49" s="63"/>
      <c r="BD49" s="66"/>
      <c r="BE49" s="62"/>
      <c r="BF49" s="62"/>
      <c r="BG49" s="62"/>
      <c r="BH49" s="62"/>
      <c r="BI49" s="62"/>
      <c r="BJ49" s="63"/>
      <c r="BK49" s="4"/>
    </row>
    <row r="50" spans="1:63" ht="15" customHeight="1" x14ac:dyDescent="0.25">
      <c r="A50" s="1"/>
      <c r="B50" s="23"/>
      <c r="C50" s="24"/>
      <c r="D50" s="24"/>
      <c r="E50" s="24"/>
      <c r="F50" s="24"/>
      <c r="G50" s="25"/>
      <c r="H50" s="23"/>
      <c r="I50" s="24"/>
      <c r="J50" s="24"/>
      <c r="K50" s="24"/>
      <c r="L50" s="24"/>
      <c r="M50" s="24"/>
      <c r="N50" s="25"/>
      <c r="O50" s="23"/>
      <c r="P50" s="24"/>
      <c r="Q50" s="24"/>
      <c r="R50" s="24"/>
      <c r="S50" s="68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70"/>
      <c r="AX50" s="64"/>
      <c r="AY50" s="64"/>
      <c r="AZ50" s="64"/>
      <c r="BA50" s="64"/>
      <c r="BB50" s="64"/>
      <c r="BC50" s="65"/>
      <c r="BD50" s="67"/>
      <c r="BE50" s="64"/>
      <c r="BF50" s="64"/>
      <c r="BG50" s="64"/>
      <c r="BH50" s="64"/>
      <c r="BI50" s="64"/>
      <c r="BJ50" s="65"/>
      <c r="BK50" s="4"/>
    </row>
    <row r="51" spans="1:63" ht="15" customHeight="1" x14ac:dyDescent="0.25">
      <c r="A51" s="1"/>
      <c r="B51" s="17"/>
      <c r="C51" s="18"/>
      <c r="D51" s="18"/>
      <c r="E51" s="18"/>
      <c r="F51" s="18"/>
      <c r="G51" s="19"/>
      <c r="H51" s="17"/>
      <c r="I51" s="18"/>
      <c r="J51" s="18"/>
      <c r="K51" s="18"/>
      <c r="L51" s="18"/>
      <c r="M51" s="18"/>
      <c r="N51" s="19"/>
      <c r="O51" s="17"/>
      <c r="P51" s="18"/>
      <c r="Q51" s="18"/>
      <c r="R51" s="18"/>
      <c r="S51" s="59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1"/>
      <c r="AX51" s="62"/>
      <c r="AY51" s="62"/>
      <c r="AZ51" s="62"/>
      <c r="BA51" s="62"/>
      <c r="BB51" s="62"/>
      <c r="BC51" s="63"/>
      <c r="BD51" s="66"/>
      <c r="BE51" s="62"/>
      <c r="BF51" s="62"/>
      <c r="BG51" s="62"/>
      <c r="BH51" s="62"/>
      <c r="BI51" s="62"/>
      <c r="BJ51" s="63"/>
      <c r="BK51" s="4"/>
    </row>
    <row r="52" spans="1:63" ht="15" customHeight="1" x14ac:dyDescent="0.25">
      <c r="A52" s="1"/>
      <c r="B52" s="23"/>
      <c r="C52" s="24"/>
      <c r="D52" s="24"/>
      <c r="E52" s="24"/>
      <c r="F52" s="24"/>
      <c r="G52" s="25"/>
      <c r="H52" s="23"/>
      <c r="I52" s="24"/>
      <c r="J52" s="24"/>
      <c r="K52" s="24"/>
      <c r="L52" s="24"/>
      <c r="M52" s="24"/>
      <c r="N52" s="25"/>
      <c r="O52" s="23"/>
      <c r="P52" s="24"/>
      <c r="Q52" s="24"/>
      <c r="R52" s="24"/>
      <c r="S52" s="68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70"/>
      <c r="AX52" s="64"/>
      <c r="AY52" s="64"/>
      <c r="AZ52" s="64"/>
      <c r="BA52" s="64"/>
      <c r="BB52" s="64"/>
      <c r="BC52" s="65"/>
      <c r="BD52" s="67"/>
      <c r="BE52" s="64"/>
      <c r="BF52" s="64"/>
      <c r="BG52" s="64"/>
      <c r="BH52" s="64"/>
      <c r="BI52" s="64"/>
      <c r="BJ52" s="65"/>
      <c r="BK52" s="4"/>
    </row>
    <row r="53" spans="1:63" ht="15" customHeight="1" x14ac:dyDescent="0.25">
      <c r="A53" s="1"/>
      <c r="B53" s="17"/>
      <c r="C53" s="18"/>
      <c r="D53" s="18"/>
      <c r="E53" s="18"/>
      <c r="F53" s="18"/>
      <c r="G53" s="19"/>
      <c r="H53" s="17"/>
      <c r="I53" s="18"/>
      <c r="J53" s="18"/>
      <c r="K53" s="18"/>
      <c r="L53" s="18"/>
      <c r="M53" s="18"/>
      <c r="N53" s="19"/>
      <c r="O53" s="17"/>
      <c r="P53" s="18"/>
      <c r="Q53" s="18"/>
      <c r="R53" s="18"/>
      <c r="S53" s="59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1"/>
      <c r="AX53" s="62"/>
      <c r="AY53" s="62"/>
      <c r="AZ53" s="62"/>
      <c r="BA53" s="62"/>
      <c r="BB53" s="62"/>
      <c r="BC53" s="63"/>
      <c r="BD53" s="66"/>
      <c r="BE53" s="62"/>
      <c r="BF53" s="62"/>
      <c r="BG53" s="62"/>
      <c r="BH53" s="62"/>
      <c r="BI53" s="62"/>
      <c r="BJ53" s="63"/>
      <c r="BK53" s="4"/>
    </row>
    <row r="54" spans="1:63" ht="15" customHeight="1" x14ac:dyDescent="0.25">
      <c r="A54" s="1"/>
      <c r="B54" s="23"/>
      <c r="C54" s="24"/>
      <c r="D54" s="24"/>
      <c r="E54" s="24"/>
      <c r="F54" s="24"/>
      <c r="G54" s="25"/>
      <c r="H54" s="23"/>
      <c r="I54" s="24"/>
      <c r="J54" s="24"/>
      <c r="K54" s="24"/>
      <c r="L54" s="24"/>
      <c r="M54" s="24"/>
      <c r="N54" s="25"/>
      <c r="O54" s="23"/>
      <c r="P54" s="24"/>
      <c r="Q54" s="24"/>
      <c r="R54" s="24"/>
      <c r="S54" s="68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70"/>
      <c r="AX54" s="64"/>
      <c r="AY54" s="64"/>
      <c r="AZ54" s="64"/>
      <c r="BA54" s="64"/>
      <c r="BB54" s="64"/>
      <c r="BC54" s="65"/>
      <c r="BD54" s="67"/>
      <c r="BE54" s="64"/>
      <c r="BF54" s="64"/>
      <c r="BG54" s="64"/>
      <c r="BH54" s="64"/>
      <c r="BI54" s="64"/>
      <c r="BJ54" s="65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1810-C63F-40D4-B60B-3C1446D1AA7E}">
  <sheetPr>
    <pageSetUpPr fitToPage="1"/>
  </sheetPr>
  <dimension ref="A1:BK55"/>
  <sheetViews>
    <sheetView tabSelected="1" view="pageBreakPreview" zoomScale="80" zoomScaleNormal="75" zoomScaleSheetLayoutView="80" workbookViewId="0">
      <selection activeCell="BL39" sqref="BL39"/>
    </sheetView>
  </sheetViews>
  <sheetFormatPr defaultColWidth="2.77734375" defaultRowHeight="15" customHeight="1" x14ac:dyDescent="0.25"/>
  <sheetData>
    <row r="1" spans="1:63" ht="24.9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2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>POSシステム全体概要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3</v>
      </c>
      <c r="AQ1" s="33"/>
      <c r="AR1" s="33"/>
      <c r="AS1" s="34"/>
      <c r="AT1" s="32" t="s">
        <v>4</v>
      </c>
      <c r="AU1" s="33"/>
      <c r="AV1" s="33"/>
      <c r="AW1" s="33"/>
      <c r="AX1" s="34"/>
      <c r="AY1" s="32" t="s">
        <v>5</v>
      </c>
      <c r="AZ1" s="33"/>
      <c r="BA1" s="33"/>
      <c r="BB1" s="34"/>
      <c r="BC1" s="32" t="s">
        <v>6</v>
      </c>
      <c r="BD1" s="33"/>
      <c r="BE1" s="33"/>
      <c r="BF1" s="33"/>
      <c r="BG1" s="34"/>
      <c r="BH1" s="32" t="s">
        <v>7</v>
      </c>
      <c r="BI1" s="33"/>
      <c r="BJ1" s="33"/>
      <c r="BK1" s="34"/>
    </row>
    <row r="2" spans="1:63" ht="15" customHeight="1" x14ac:dyDescent="0.25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 t="str">
        <f>IF(表紙!AP2="","",表紙!AP2)</f>
        <v>Thanh Nguyên</v>
      </c>
      <c r="AQ2" s="18"/>
      <c r="AR2" s="18"/>
      <c r="AS2" s="19"/>
      <c r="AT2" s="53">
        <f>IF(表紙!AT2="","",表紙!AT2)</f>
        <v>45769</v>
      </c>
      <c r="AU2" s="54"/>
      <c r="AV2" s="54"/>
      <c r="AW2" s="54"/>
      <c r="AX2" s="55"/>
      <c r="AY2" s="17" t="str">
        <f>IF(表紙!AY2="","",表紙!AY2)</f>
        <v>Thanh Nguyên</v>
      </c>
      <c r="AZ2" s="18"/>
      <c r="BA2" s="18"/>
      <c r="BB2" s="19"/>
      <c r="BC2" s="53">
        <f>IF(表紙!BC2="","",表紙!BC2)</f>
        <v>45769</v>
      </c>
      <c r="BD2" s="54"/>
      <c r="BE2" s="54"/>
      <c r="BF2" s="54"/>
      <c r="BG2" s="55"/>
      <c r="BH2" s="17">
        <f>IF(表紙!BH2="","",表紙!BH2)</f>
        <v>1</v>
      </c>
      <c r="BI2" s="18"/>
      <c r="BJ2" s="18"/>
      <c r="BK2" s="19"/>
    </row>
    <row r="3" spans="1:63" ht="1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 x14ac:dyDescent="0.25">
      <c r="A4" s="32" t="s">
        <v>1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8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str" cm="1">
        <f t="array" aca="1" ref="AP4" ca="1">RIGHT(CELL("filename",$A$1),LEN(CELL("filename",$A$1))-FIND("]",CELL("filename",$A$1)))</f>
        <v>概念図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x14ac:dyDescent="0.25">
      <c r="A14" s="1"/>
      <c r="BK14" s="4"/>
    </row>
    <row r="15" spans="1:63" ht="15" customHeight="1" x14ac:dyDescent="0.25">
      <c r="A15" s="1"/>
      <c r="BK15" s="4"/>
    </row>
    <row r="16" spans="1:63" ht="15" customHeight="1" x14ac:dyDescent="0.25">
      <c r="A16" s="1"/>
      <c r="BK16" s="4"/>
    </row>
    <row r="17" spans="1:63" ht="15" customHeight="1" x14ac:dyDescent="0.25">
      <c r="A17" s="1"/>
      <c r="BK17" s="4"/>
    </row>
    <row r="18" spans="1:63" ht="15" customHeight="1" x14ac:dyDescent="0.25">
      <c r="A18" s="1"/>
      <c r="BK18" s="4"/>
    </row>
    <row r="19" spans="1:63" ht="15" customHeight="1" x14ac:dyDescent="0.25">
      <c r="A19" s="1"/>
      <c r="BK19" s="4"/>
    </row>
    <row r="20" spans="1:63" ht="15" customHeight="1" x14ac:dyDescent="0.25">
      <c r="A20" s="1"/>
      <c r="BK20" s="4"/>
    </row>
    <row r="21" spans="1:63" ht="15" customHeight="1" x14ac:dyDescent="0.25">
      <c r="A21" s="1"/>
      <c r="BK21" s="4"/>
    </row>
    <row r="22" spans="1:63" ht="15" customHeight="1" x14ac:dyDescent="0.25">
      <c r="A22" s="1"/>
      <c r="BK22" s="4"/>
    </row>
    <row r="23" spans="1:63" ht="15" customHeight="1" x14ac:dyDescent="0.25">
      <c r="A23" s="1"/>
      <c r="BK23" s="4"/>
    </row>
    <row r="24" spans="1:63" ht="15" customHeight="1" x14ac:dyDescent="0.25">
      <c r="A24" s="1"/>
      <c r="BK24" s="4"/>
    </row>
    <row r="25" spans="1:63" ht="15" customHeight="1" x14ac:dyDescent="0.25">
      <c r="A25" s="1"/>
      <c r="BK25" s="4"/>
    </row>
    <row r="26" spans="1:63" ht="15" customHeight="1" x14ac:dyDescent="0.25">
      <c r="A26" s="1"/>
      <c r="BK26" s="4"/>
    </row>
    <row r="27" spans="1:63" ht="15" customHeight="1" x14ac:dyDescent="0.25">
      <c r="A27" s="1"/>
      <c r="BK27" s="4"/>
    </row>
    <row r="28" spans="1:63" ht="15" customHeight="1" x14ac:dyDescent="0.25">
      <c r="A28" s="1"/>
      <c r="BK28" s="4"/>
    </row>
    <row r="29" spans="1:63" ht="15" customHeight="1" x14ac:dyDescent="0.25">
      <c r="A29" s="1"/>
      <c r="BK29" s="4"/>
    </row>
    <row r="30" spans="1:63" ht="15" customHeight="1" x14ac:dyDescent="0.25">
      <c r="A30" s="1"/>
      <c r="BK30" s="4"/>
    </row>
    <row r="31" spans="1:63" ht="15" customHeight="1" x14ac:dyDescent="0.25">
      <c r="A31" s="1"/>
      <c r="BK31" s="4"/>
    </row>
    <row r="32" spans="1:63" ht="15" customHeight="1" x14ac:dyDescent="0.25">
      <c r="A32" s="1"/>
      <c r="BK32" s="4"/>
    </row>
    <row r="33" spans="1:63" ht="15" customHeight="1" x14ac:dyDescent="0.25">
      <c r="A33" s="1"/>
      <c r="BK33" s="4"/>
    </row>
    <row r="34" spans="1:63" ht="15" customHeight="1" x14ac:dyDescent="0.25">
      <c r="A34" s="1"/>
      <c r="BK34" s="4"/>
    </row>
    <row r="35" spans="1:63" ht="15" customHeight="1" x14ac:dyDescent="0.25">
      <c r="A35" s="1"/>
      <c r="BK35" s="4"/>
    </row>
    <row r="36" spans="1:63" ht="15" customHeight="1" x14ac:dyDescent="0.25">
      <c r="A36" s="1"/>
      <c r="BK36" s="4"/>
    </row>
    <row r="37" spans="1:63" ht="15" customHeight="1" x14ac:dyDescent="0.25">
      <c r="A37" s="1"/>
      <c r="BK37" s="4"/>
    </row>
    <row r="38" spans="1:63" ht="15" customHeight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BK44" s="4"/>
    </row>
    <row r="45" spans="1:63" ht="15" customHeight="1" x14ac:dyDescent="0.25">
      <c r="A45" s="1"/>
      <c r="BK45" s="4"/>
    </row>
    <row r="46" spans="1:63" ht="15" customHeight="1" x14ac:dyDescent="0.25">
      <c r="A46" s="1"/>
      <c r="BK46" s="4"/>
    </row>
    <row r="47" spans="1:63" ht="15" customHeight="1" x14ac:dyDescent="0.25">
      <c r="A47" s="1"/>
      <c r="BK47" s="4"/>
    </row>
    <row r="48" spans="1:63" ht="15" customHeight="1" x14ac:dyDescent="0.25">
      <c r="A48" s="1"/>
      <c r="BK48" s="4"/>
    </row>
    <row r="49" spans="1:63" ht="15" customHeight="1" x14ac:dyDescent="0.25">
      <c r="A49" s="1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E15E-BBAE-42C2-97E9-CD436BF37293}">
  <dimension ref="A1"/>
  <sheetViews>
    <sheetView zoomScale="55" zoomScaleNormal="55" workbookViewId="0">
      <selection activeCell="D5" sqref="D5"/>
    </sheetView>
  </sheetViews>
  <sheetFormatPr defaultRowHeight="15.75" x14ac:dyDescent="0.2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C80C49-B5C2-4EB5-8736-DC9C618BB9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C1DCF-3AB0-4169-8EC3-7EDC71D985E4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3.xml><?xml version="1.0" encoding="utf-8"?>
<ds:datastoreItem xmlns:ds="http://schemas.openxmlformats.org/officeDocument/2006/customXml" ds:itemID="{40ECBCD9-CC7F-47D4-B2F5-8DF281D527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表紙</vt:lpstr>
      <vt:lpstr>改廃履歴</vt:lpstr>
      <vt:lpstr>概念図</vt:lpstr>
      <vt:lpstr>Sheet1</vt:lpstr>
      <vt:lpstr>改廃履歴!Print_Area</vt:lpstr>
      <vt:lpstr>表紙!Print_Area</vt:lpstr>
      <vt:lpstr>改廃履歴!Print_Titles</vt:lpstr>
      <vt:lpstr>概念図!Print_Titles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Nguyên</dc:creator>
  <cp:lastModifiedBy>Thanh Nguyên</cp:lastModifiedBy>
  <cp:lastPrinted>2025-04-22T07:14:36Z</cp:lastPrinted>
  <dcterms:created xsi:type="dcterms:W3CDTF">2025-04-22T01:34:47Z</dcterms:created>
  <dcterms:modified xsi:type="dcterms:W3CDTF">2025-04-22T08:14:32Z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