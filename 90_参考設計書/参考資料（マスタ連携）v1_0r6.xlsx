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mc:AlternateContent xmlns:mc="http://schemas.openxmlformats.org/markup-compatibility/2006">
    <mc:Choice Requires="x15">
      <x15ac:absPath xmlns:x15ac="http://schemas.microsoft.com/office/spreadsheetml/2010/11/ac" url="https://usmh.sharepoint.com/sites/AndroidPOS208/Shared Documents/General/Luvinaより/03_機能概要/02_外部連携(マスタ)/02_Scan&amp;Go(カスミ)/"/>
    </mc:Choice>
  </mc:AlternateContent>
  <xr:revisionPtr revIDLastSave="4" documentId="13_ncr:1_{4414C941-B2FE-45AB-8B52-67F1A2A057C1}" xr6:coauthVersionLast="47" xr6:coauthVersionMax="47" xr10:uidLastSave="{68C069E6-DBB1-4D86-B429-2EC90521498B}"/>
  <bookViews>
    <workbookView xWindow="-120" yWindow="-16320" windowWidth="38640" windowHeight="16440" tabRatio="639" activeTab="2" xr2:uid="{00000000-000D-0000-FFFF-FFFF00000000}"/>
  </bookViews>
  <sheets>
    <sheet name="表紙" sheetId="21" r:id="rId1"/>
    <sheet name="更新履歴" sheetId="22" r:id="rId2"/>
    <sheet name="連携マスタ一覧" sheetId="37" r:id="rId3"/>
    <sheet name="以降IFレイアウト" sheetId="56" r:id="rId4"/>
    <sheet name="商品マスタ" sheetId="2" r:id="rId5"/>
    <sheet name="商品拡張マスタ" sheetId="38" r:id="rId6"/>
    <sheet name="分類マスタ" sheetId="1" r:id="rId7"/>
    <sheet name="（削除）分類拡張マスタ" sheetId="41" r:id="rId8"/>
    <sheet name="特売マスタ" sheetId="11" r:id="rId9"/>
    <sheet name="ＭＭマスタ" sheetId="12" r:id="rId10"/>
    <sheet name="ＭＭ商品マスタ" sheetId="13" r:id="rId11"/>
    <sheet name="MD階層値引マスタ（TBP用）" sheetId="30" r:id="rId12"/>
    <sheet name="担当者マスタ" sheetId="32" r:id="rId13"/>
    <sheet name="担当者拡張マスタ" sheetId="39" r:id="rId14"/>
    <sheet name="プリセットメニューマスタ" sheetId="36" r:id="rId15"/>
    <sheet name="プリセットメニューボタンマスタ" sheetId="40" r:id="rId16"/>
    <sheet name="税コードマスタ" sheetId="50" r:id="rId17"/>
    <sheet name="税グループ詳細マスタ" sheetId="51" r:id="rId18"/>
    <sheet name="税グループマスタ" sheetId="52" r:id="rId19"/>
    <sheet name="税タイプマスタ" sheetId="53" r:id="rId20"/>
    <sheet name="軽減税率マスタ" sheetId="54" r:id="rId21"/>
    <sheet name="券マスタ" sheetId="47" r:id="rId22"/>
    <sheet name="釣銭機回収設定マスタ" sheetId="48" r:id="rId23"/>
    <sheet name="レシートクーポン発券マスタ" sheetId="55" r:id="rId24"/>
    <sheet name="（削除）ノードマスタ" sheetId="57" r:id="rId25"/>
    <sheet name="【参考】消費税仕様（相関図）" sheetId="49" r:id="rId26"/>
  </sheets>
  <externalReferences>
    <externalReference r:id="rId27"/>
  </externalReferences>
  <definedNames>
    <definedName name="_1__123Graph_Aｸﾞﾗﾌ_1" hidden="1">[1]P1実績①!#REF!</definedName>
    <definedName name="_2__123Graph_Aｸﾞﾗﾌ_2" hidden="1">#REF!</definedName>
    <definedName name="_3__123Graph_Bｸﾞﾗﾌ_1" hidden="1">[1]P1実績①!#REF!</definedName>
    <definedName name="_4__123Graph_Bｸﾞﾗﾌ_2" hidden="1">#REF!</definedName>
    <definedName name="_5__123Graph_LBL_Aｸﾞﾗﾌ_1" hidden="1">#REF!</definedName>
    <definedName name="_6__123Graph_LBL_Bｸﾞﾗﾌ_1" hidden="1">#REF!</definedName>
    <definedName name="_Fill" hidden="1">#REF!</definedName>
    <definedName name="_xlnm._FilterDatabase" localSheetId="1" hidden="1">更新履歴!$A$1:$G$2</definedName>
    <definedName name="_xlnm._FilterDatabase" localSheetId="4" hidden="1">商品マスタ!$A$3:$I$44</definedName>
    <definedName name="_xlnm._FilterDatabase" localSheetId="5" hidden="1">商品拡張マスタ!#REF!</definedName>
    <definedName name="_xlnm._FilterDatabase" localSheetId="6" hidden="1">分類マスタ!$A$3:$I$27</definedName>
    <definedName name="_Key1" hidden="1">#REF!</definedName>
    <definedName name="_Key2" hidden="1">#REF!</definedName>
    <definedName name="_Order1" hidden="1">255</definedName>
    <definedName name="_Order2" hidden="1">255</definedName>
    <definedName name="_Regression_X" hidden="1">#REF!</definedName>
    <definedName name="_Sort" hidden="1">#REF!</definedName>
    <definedName name="aaaaaaa" hidden="1">{"'端末管理項目 (2)'!$B$1:$G$14"}</definedName>
    <definedName name="AccessDatabase" hidden="1">"\\NTIS-SYSKS01660\ﾌｧｲﾙ共用\マツモトキヨシ\次期ＰＯＳ関連\ＰＯＳ関連\ANY-ＣＵＢＥ関連\システムテスト\運用テストデータ\柏加賀店\mktest.mdb"</definedName>
    <definedName name="ａｓｄ￥" hidden="1">#REF!</definedName>
    <definedName name="asort" hidden="1">#REF!</definedName>
    <definedName name="bbb" hidden="1">{"'フローチャート'!$A$1:$AO$191"}</definedName>
    <definedName name="cccc" hidden="1">{#N/A,#N/A,FALSE,"原紙";#N/A,#N/A,FALSE,"原紙 (2)";#N/A,#N/A,FALSE,"原紙 (3)";#N/A,#N/A,FALSE,"原紙 (4)";#N/A,#N/A,FALSE,"原紙 (5)";#N/A,#N/A,FALSE,"原紙 (6)"}</definedName>
    <definedName name="ｄ" hidden="1">{"'端末管理項目 (2)'!$B$1:$G$14"}</definedName>
    <definedName name="dfdfwefwerwegdfg" hidden="1">[1]P1実績①!#REF!</definedName>
    <definedName name="do" hidden="1">{"'フローチャート'!$A$1:$AO$191"}</definedName>
    <definedName name="ｄｗｌｆふぃｄｈｆ" hidden="1">{"'端末管理項目 (2)'!$B$1:$G$14"}</definedName>
    <definedName name="eee" hidden="1">{"'端末管理項目 (2)'!$B$1:$G$14"}</definedName>
    <definedName name="ffff" hidden="1">{"'端末管理項目 (2)'!$B$1:$G$14"}</definedName>
    <definedName name="ggg" hidden="1">{"'フローチャート'!$A$1:$AO$191"}</definedName>
    <definedName name="h" hidden="1">{"'端末管理項目 (2)'!$B$1:$G$14"}</definedName>
    <definedName name="hghh" hidden="1">{"'フローチャート'!$A$1:$AO$191"}</definedName>
    <definedName name="hjjj" hidden="1">{"'端末管理項目 (2)'!$B$1:$G$14"}</definedName>
    <definedName name="hthte" hidden="1">{"'端末管理項目 (2)'!$B$1:$G$14"}</definedName>
    <definedName name="HTML_CodePage" hidden="1">932</definedName>
    <definedName name="HTML_Control" hidden="1">{"'札幌'!$A$1:$J$22"}</definedName>
    <definedName name="HTML_Description" hidden="1">""</definedName>
    <definedName name="HTML_Email" hidden="1">""</definedName>
    <definedName name="HTML_Header" hidden="1">"札幌"</definedName>
    <definedName name="HTML_LastUpdate" hidden="1">"00/04/04"</definedName>
    <definedName name="HTML_LineAfter" hidden="1">FALSE</definedName>
    <definedName name="HTML_LineBefore" hidden="1">FALSE</definedName>
    <definedName name="HTML_Name" hidden="1">"マルチメディアビジネス開発部"</definedName>
    <definedName name="HTML_OBDlg2" hidden="1">TRUE</definedName>
    <definedName name="HTML_OBDlg4" hidden="1">TRUE</definedName>
    <definedName name="HTML_OS" hidden="1">0</definedName>
    <definedName name="HTML_PathFile" hidden="1">"C:\My Documents\hikari\Html\Dsu\sapporo.htm"</definedName>
    <definedName name="HTML_Title" hidden="1">""</definedName>
    <definedName name="hyhyh" hidden="1">{"'フローチャート'!$A$1:$AO$191"}</definedName>
    <definedName name="murmry" hidden="1">{"'端末管理項目 (2)'!$B$1:$G$14"}</definedName>
    <definedName name="nnnn" hidden="1">{#N/A,#N/A,FALSE,"原紙";#N/A,#N/A,FALSE,"原紙 (2)";#N/A,#N/A,FALSE,"原紙 (3)";#N/A,#N/A,FALSE,"原紙 (4)";#N/A,#N/A,FALSE,"原紙 (5)";#N/A,#N/A,FALSE,"原紙 (6)"}</definedName>
    <definedName name="_xlnm.Print_Area" localSheetId="24">'（削除）ノードマスタ'!$A$1:$K$17</definedName>
    <definedName name="_xlnm.Print_Area" localSheetId="7">'（削除）分類拡張マスタ'!$A$1:$I$12</definedName>
    <definedName name="_xlnm.Print_Area" localSheetId="25">'【参考】消費税仕様（相関図）'!$A$1:$BD$112</definedName>
    <definedName name="_xlnm.Print_Area" localSheetId="11">'MD階層値引マスタ（TBP用）'!$A$1:$I$31</definedName>
    <definedName name="_xlnm.Print_Area" localSheetId="23">レシートクーポン発券マスタ!$A$1:$K$20</definedName>
    <definedName name="_xlnm.Print_Area" localSheetId="20">軽減税率マスタ!$A$1:$I$9</definedName>
    <definedName name="_xlnm.Print_Area" localSheetId="21">券マスタ!$A$1:$K$23</definedName>
    <definedName name="_xlnm.Print_Area" localSheetId="1">更新履歴!$A$1:$G$20</definedName>
    <definedName name="_xlnm.Print_Area" localSheetId="18">税グループマスタ!$A$1:$K$10</definedName>
    <definedName name="_xlnm.Print_Area" localSheetId="17">税グループ詳細マスタ!$A$1:$K$8</definedName>
    <definedName name="_xlnm.Print_Area" localSheetId="16">税コードマスタ!$A$1:$K$12</definedName>
    <definedName name="_xlnm.Print_Area" localSheetId="19">税タイプマスタ!$A$1:$K$8</definedName>
    <definedName name="_xlnm.Print_Area" localSheetId="12">担当者マスタ!$A$1:$I$11</definedName>
    <definedName name="_xlnm.Print_Area" localSheetId="13">担当者拡張マスタ!#REF!</definedName>
    <definedName name="_xlnm.Print_Area" localSheetId="2">連携マスタ一覧!$A$1:$H$14</definedName>
    <definedName name="_xlnm.Print_Titles" localSheetId="25">'【参考】消費税仕様（相関図）'!$1:$4</definedName>
    <definedName name="_xlnm.Print_Titles" localSheetId="20">軽減税率マスタ!$1:$3</definedName>
    <definedName name="_xlnm.Print_Titles" localSheetId="18">税グループマスタ!$1:$3</definedName>
    <definedName name="_xlnm.Print_Titles" localSheetId="17">税グループ詳細マスタ!$1:$3</definedName>
    <definedName name="_xlnm.Print_Titles" localSheetId="16">税コードマスタ!$1:$3</definedName>
    <definedName name="_xlnm.Print_Titles" localSheetId="19">税タイプマスタ!$1:$3</definedName>
    <definedName name="ｑ" hidden="1">{"'端末管理項目 (2)'!$B$1:$G$14"}</definedName>
    <definedName name="qqqq" hidden="1">{"'フローチャート'!$A$1:$AO$191"}</definedName>
    <definedName name="sss" hidden="1">{"'フローチャート'!$A$1:$AO$191"}</definedName>
    <definedName name="tanawari" hidden="1">{#N/A,#N/A,FALSE,"原紙";#N/A,#N/A,FALSE,"原紙 (2)";#N/A,#N/A,FALSE,"原紙 (3)";#N/A,#N/A,FALSE,"原紙 (4)";#N/A,#N/A,FALSE,"原紙 (5)";#N/A,#N/A,FALSE,"原紙 (6)"}</definedName>
    <definedName name="terte" hidden="1">{"'端末管理項目 (2)'!$B$1:$G$14"}</definedName>
    <definedName name="uuyfu" hidden="1">{"'フローチャート'!$A$1:$AO$191"}</definedName>
    <definedName name="vv" hidden="1">{"'端末管理項目 (2)'!$B$1:$G$14"}</definedName>
    <definedName name="wrn.REPORT1." localSheetId="1" hidden="1">{"VIEW1",#N/A,FALSE,"懸案事項";"VIEW2",#N/A,FALSE,"懸案事項"}</definedName>
    <definedName name="wrn.REPORT1." localSheetId="0" hidden="1">{"VIEW1",#N/A,FALSE,"懸案事項";"VIEW2",#N/A,FALSE,"懸案事項"}</definedName>
    <definedName name="wrn.REPORT1." hidden="1">{"VIEW1",#N/A,FALSE,"懸案事項";"VIEW2",#N/A,FALSE,"懸案事項"}</definedName>
    <definedName name="wrn.skuabc." hidden="1">{#N/A,#N/A,FALSE,"原紙";#N/A,#N/A,FALSE,"原紙 (2)";#N/A,#N/A,FALSE,"原紙 (3)";#N/A,#N/A,FALSE,"原紙 (4)";#N/A,#N/A,FALSE,"原紙 (5)";#N/A,#N/A,FALSE,"原紙 (6)"}</definedName>
    <definedName name="wrn.損益・投資効率表." hidden="1">{#N/A,#N/A,FALSE,"損益試算表";#N/A,#N/A,FALSE,"固定投資額"}</definedName>
    <definedName name="ｙｙｙｙｙｙｙｙｙｙｙｙｙｙｙｙｙｙｙｙｙｙｙｙｙｙｙｙｙｙ" hidden="1">#REF!</definedName>
    <definedName name="zz" hidden="1">{"'フローチャート'!$A$1:$AO$191"}</definedName>
    <definedName name="あ" localSheetId="1" hidden="1">{"VIEW1",#N/A,FALSE,"懸案事項";"VIEW2",#N/A,FALSE,"懸案事項"}</definedName>
    <definedName name="あ" localSheetId="0" hidden="1">{"VIEW1",#N/A,FALSE,"懸案事項";"VIEW2",#N/A,FALSE,"懸案事項"}</definedName>
    <definedName name="あ" hidden="1">{"VIEW1",#N/A,FALSE,"懸案事項";"VIEW2",#N/A,FALSE,"懸案事項"}</definedName>
    <definedName name="あ１" hidden="1">{"'端末管理項目 (2)'!$B$1:$G$14"}</definedName>
    <definedName name="うなぎ太巻" hidden="1">{#N/A,#N/A,FALSE,"原紙";#N/A,#N/A,FALSE,"原紙 (2)";#N/A,#N/A,FALSE,"原紙 (3)";#N/A,#N/A,FALSE,"原紙 (4)";#N/A,#N/A,FALSE,"原紙 (5)";#N/A,#N/A,FALSE,"原紙 (6)"}</definedName>
    <definedName name="かつお" hidden="1">{#N/A,#N/A,FALSE,"原紙";#N/A,#N/A,FALSE,"原紙 (2)";#N/A,#N/A,FALSE,"原紙 (3)";#N/A,#N/A,FALSE,"原紙 (4)";#N/A,#N/A,FALSE,"原紙 (5)";#N/A,#N/A,FALSE,"原紙 (6)"}</definedName>
    <definedName name="ｶﾃｺﾞﾘｰ方針205" hidden="1">#REF!</definedName>
    <definedName name="サーモン" hidden="1">{#N/A,#N/A,FALSE,"原紙";#N/A,#N/A,FALSE,"原紙 (2)";#N/A,#N/A,FALSE,"原紙 (3)";#N/A,#N/A,FALSE,"原紙 (4)";#N/A,#N/A,FALSE,"原紙 (5)";#N/A,#N/A,FALSE,"原紙 (6)"}</definedName>
    <definedName name="すし" hidden="1">{#N/A,#N/A,FALSE,"原紙";#N/A,#N/A,FALSE,"原紙 (2)";#N/A,#N/A,FALSE,"原紙 (3)";#N/A,#N/A,FALSE,"原紙 (4)";#N/A,#N/A,FALSE,"原紙 (5)";#N/A,#N/A,FALSE,"原紙 (6)"}</definedName>
    <definedName name="デリカの日" hidden="1">{#N/A,#N/A,FALSE,"原紙";#N/A,#N/A,FALSE,"原紙 (2)";#N/A,#N/A,FALSE,"原紙 (3)";#N/A,#N/A,FALSE,"原紙 (4)";#N/A,#N/A,FALSE,"原紙 (5)";#N/A,#N/A,FALSE,"原紙 (6)"}</definedName>
    <definedName name="ﾌｰｽﾞｼｪｱ順" hidden="1">{#N/A,#N/A,FALSE,"原紙";#N/A,#N/A,FALSE,"原紙 (2)";#N/A,#N/A,FALSE,"原紙 (3)";#N/A,#N/A,FALSE,"原紙 (4)";#N/A,#N/A,FALSE,"原紙 (5)";#N/A,#N/A,FALSE,"原紙 (6)"}</definedName>
    <definedName name="ﾛｲﾔﾙｸｯｸ" hidden="1">{#N/A,#N/A,FALSE,"原紙";#N/A,#N/A,FALSE,"原紙 (2)";#N/A,#N/A,FALSE,"原紙 (3)";#N/A,#N/A,FALSE,"原紙 (4)";#N/A,#N/A,FALSE,"原紙 (5)";#N/A,#N/A,FALSE,"原紙 (6)"}</definedName>
    <definedName name="巻き寿司" hidden="1">{#N/A,#N/A,FALSE,"原紙";#N/A,#N/A,FALSE,"原紙 (2)";#N/A,#N/A,FALSE,"原紙 (3)";#N/A,#N/A,FALSE,"原紙 (4)";#N/A,#N/A,FALSE,"原紙 (5)";#N/A,#N/A,FALSE,"原紙 (6)"}</definedName>
    <definedName name="関連表" hidden="1">#REF!</definedName>
    <definedName name="魚河岸太巻き" hidden="1">{#N/A,#N/A,FALSE,"原紙";#N/A,#N/A,FALSE,"原紙 (2)";#N/A,#N/A,FALSE,"原紙 (3)";#N/A,#N/A,FALSE,"原紙 (4)";#N/A,#N/A,FALSE,"原紙 (5)";#N/A,#N/A,FALSE,"原紙 (6)"}</definedName>
    <definedName name="春のまき寿司盛合せ" hidden="1">{#N/A,#N/A,FALSE,"原紙";#N/A,#N/A,FALSE,"原紙 (2)";#N/A,#N/A,FALSE,"原紙 (3)";#N/A,#N/A,FALSE,"原紙 (4)";#N/A,#N/A,FALSE,"原紙 (5)";#N/A,#N/A,FALSE,"原紙 (6)"}</definedName>
    <definedName name="助六" hidden="1">{#N/A,#N/A,FALSE,"原紙";#N/A,#N/A,FALSE,"原紙 (2)";#N/A,#N/A,FALSE,"原紙 (3)";#N/A,#N/A,FALSE,"原紙 (4)";#N/A,#N/A,FALSE,"原紙 (5)";#N/A,#N/A,FALSE,"原紙 (6)"}</definedName>
    <definedName name="助六寿司" hidden="1">{#N/A,#N/A,FALSE,"原紙";#N/A,#N/A,FALSE,"原紙 (2)";#N/A,#N/A,FALSE,"原紙 (3)";#N/A,#N/A,FALSE,"原紙 (4)";#N/A,#N/A,FALSE,"原紙 (5)";#N/A,#N/A,FALSE,"原紙 (6)"}</definedName>
    <definedName name="棚" hidden="1">{#N/A,#N/A,FALSE,"原紙";#N/A,#N/A,FALSE,"原紙 (2)";#N/A,#N/A,FALSE,"原紙 (3)";#N/A,#N/A,FALSE,"原紙 (4)";#N/A,#N/A,FALSE,"原紙 (5)";#N/A,#N/A,FALSE,"原紙 (6)"}</definedName>
    <definedName name="棚割" hidden="1">{#N/A,#N/A,FALSE,"原紙";#N/A,#N/A,FALSE,"原紙 (2)";#N/A,#N/A,FALSE,"原紙 (3)";#N/A,#N/A,FALSE,"原紙 (4)";#N/A,#N/A,FALSE,"原紙 (5)";#N/A,#N/A,FALSE,"原紙 (6)"}</definedName>
    <definedName name="棚割2" hidden="1">{#N/A,#N/A,FALSE,"原紙";#N/A,#N/A,FALSE,"原紙 (2)";#N/A,#N/A,FALSE,"原紙 (3)";#N/A,#N/A,FALSE,"原紙 (4)";#N/A,#N/A,FALSE,"原紙 (5)";#N/A,#N/A,FALSE,"原紙 (6)"}</definedName>
    <definedName name="棚割3" hidden="1">{#N/A,#N/A,FALSE,"原紙";#N/A,#N/A,FALSE,"原紙 (2)";#N/A,#N/A,FALSE,"原紙 (3)";#N/A,#N/A,FALSE,"原紙 (4)";#N/A,#N/A,FALSE,"原紙 (5)";#N/A,#N/A,FALSE,"原紙 (6)"}</definedName>
    <definedName name="棚割り" hidden="1">{#N/A,#N/A,FALSE,"原紙";#N/A,#N/A,FALSE,"原紙 (2)";#N/A,#N/A,FALSE,"原紙 (3)";#N/A,#N/A,FALSE,"原紙 (4)";#N/A,#N/A,FALSE,"原紙 (5)";#N/A,#N/A,FALSE,"原紙 (6)"}</definedName>
    <definedName name="日配3" hidden="1">{#N/A,#N/A,FALSE,"原紙";#N/A,#N/A,FALSE,"原紙 (2)";#N/A,#N/A,FALSE,"原紙 (3)";#N/A,#N/A,FALSE,"原紙 (4)";#N/A,#N/A,FALSE,"原紙 (5)";#N/A,#N/A,FALSE,"原紙 (6)"}</definedName>
    <definedName name="保守" hidden="1">{"'端末管理項目 (2)'!$B$1:$G$14"}</definedName>
    <definedName name="保守あ" hidden="1">{"'端末管理項目 (2)'!$B$1:$G$14"}</definedName>
    <definedName name="儲かる商品" hidden="1">{#N/A,#N/A,FALSE,"原紙";#N/A,#N/A,FALSE,"原紙 (2)";#N/A,#N/A,FALSE,"原紙 (3)";#N/A,#N/A,FALSE,"原紙 (4)";#N/A,#N/A,FALSE,"原紙 (5)";#N/A,#N/A,FALSE,"原紙 (6)"}</definedName>
    <definedName name="儲かる商品リスト３月度" hidden="1">{#N/A,#N/A,FALSE,"原紙";#N/A,#N/A,FALSE,"原紙 (2)";#N/A,#N/A,FALSE,"原紙 (3)";#N/A,#N/A,FALSE,"原紙 (4)";#N/A,#N/A,FALSE,"原紙 (5)";#N/A,#N/A,FALSE,"原紙 (6)"}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38" i="2" l="1"/>
  <c r="A6" i="57"/>
  <c r="A5" i="57"/>
  <c r="A4" i="57"/>
  <c r="A17" i="57"/>
  <c r="A16" i="57"/>
  <c r="A15" i="57"/>
  <c r="A14" i="57"/>
  <c r="A13" i="57"/>
  <c r="A12" i="57"/>
  <c r="A11" i="57"/>
  <c r="A10" i="57"/>
  <c r="A9" i="57"/>
  <c r="A8" i="57"/>
  <c r="A7" i="57"/>
  <c r="A23" i="37" l="1"/>
  <c r="A6" i="55"/>
  <c r="A5" i="55"/>
  <c r="A4" i="55"/>
  <c r="A6" i="48"/>
  <c r="A5" i="48"/>
  <c r="A4" i="48"/>
  <c r="A6" i="47"/>
  <c r="A5" i="47"/>
  <c r="A4" i="47"/>
  <c r="A6" i="1"/>
  <c r="A7" i="1"/>
  <c r="A8" i="1"/>
  <c r="A9" i="1"/>
  <c r="A10" i="1"/>
  <c r="A11" i="1"/>
  <c r="A12" i="1"/>
  <c r="A13" i="1"/>
  <c r="A14" i="1"/>
  <c r="A15" i="1"/>
  <c r="A16" i="1"/>
  <c r="A17" i="1"/>
  <c r="A18" i="1"/>
  <c r="A19" i="1"/>
  <c r="A20" i="1"/>
  <c r="A21" i="1"/>
  <c r="A22" i="1"/>
  <c r="A23" i="1"/>
  <c r="A24" i="1"/>
  <c r="A25" i="1"/>
  <c r="A26" i="1"/>
  <c r="A27" i="1"/>
  <c r="A5" i="1"/>
  <c r="A7" i="2"/>
  <c r="A8" i="2"/>
  <c r="A12" i="2"/>
  <c r="A13" i="2"/>
  <c r="A14" i="2"/>
  <c r="A15" i="2"/>
  <c r="A16" i="2"/>
  <c r="A17" i="2"/>
  <c r="A18" i="2"/>
  <c r="A19" i="2"/>
  <c r="A20" i="2"/>
  <c r="A21" i="2"/>
  <c r="A22" i="2"/>
  <c r="A23" i="2"/>
  <c r="A24" i="2"/>
  <c r="A25" i="2"/>
  <c r="A26" i="2"/>
  <c r="A27" i="2"/>
  <c r="A28" i="2"/>
  <c r="A29" i="2"/>
  <c r="A30" i="2"/>
  <c r="A31" i="2"/>
  <c r="A32" i="2"/>
  <c r="A33" i="2"/>
  <c r="A34" i="2"/>
  <c r="A35" i="2"/>
  <c r="A36" i="2"/>
  <c r="A37" i="2"/>
  <c r="A39" i="2"/>
  <c r="A40" i="2"/>
  <c r="A41" i="2"/>
  <c r="A42" i="2"/>
  <c r="A43" i="2"/>
  <c r="A5" i="2"/>
  <c r="A6" i="2"/>
  <c r="A4" i="2"/>
  <c r="A4" i="38"/>
  <c r="A4" i="1"/>
  <c r="A4" i="41"/>
  <c r="A4" i="11"/>
  <c r="A4" i="12"/>
  <c r="A4" i="13"/>
  <c r="A26" i="11"/>
  <c r="A25" i="11"/>
  <c r="A24" i="11"/>
  <c r="A23" i="11"/>
  <c r="A22" i="11"/>
  <c r="A21" i="11"/>
  <c r="A20" i="11"/>
  <c r="A19" i="11"/>
  <c r="A18" i="11"/>
  <c r="A17" i="11"/>
  <c r="A16" i="11"/>
  <c r="A15" i="11"/>
  <c r="A14" i="11"/>
  <c r="A13" i="11"/>
  <c r="A12" i="11"/>
  <c r="A11" i="11"/>
  <c r="A10" i="11"/>
  <c r="A9" i="11"/>
  <c r="A8" i="11"/>
  <c r="A7" i="11"/>
  <c r="A6" i="11"/>
  <c r="A5" i="11"/>
  <c r="A36" i="12"/>
  <c r="A35" i="12"/>
  <c r="A34" i="12"/>
  <c r="A33" i="12"/>
  <c r="A32" i="12"/>
  <c r="A31" i="12"/>
  <c r="A30" i="12"/>
  <c r="A29" i="12"/>
  <c r="A28" i="12"/>
  <c r="A27" i="12"/>
  <c r="A26" i="12"/>
  <c r="A25" i="12"/>
  <c r="A24" i="12"/>
  <c r="A23" i="12"/>
  <c r="A22" i="12"/>
  <c r="A21" i="12"/>
  <c r="A20" i="12"/>
  <c r="A19" i="12"/>
  <c r="A18" i="12"/>
  <c r="A17" i="12"/>
  <c r="A16" i="12"/>
  <c r="A15" i="12"/>
  <c r="A14" i="12"/>
  <c r="A13" i="12"/>
  <c r="A12" i="12"/>
  <c r="A11" i="12"/>
  <c r="A10" i="12"/>
  <c r="A9" i="12"/>
  <c r="A8" i="12"/>
  <c r="A7" i="12"/>
  <c r="A6" i="12"/>
  <c r="A5" i="12"/>
  <c r="A11" i="13"/>
  <c r="A10" i="13"/>
  <c r="A9" i="13"/>
  <c r="A8" i="13"/>
  <c r="A7" i="13"/>
  <c r="A6" i="13"/>
  <c r="A5" i="13"/>
  <c r="A4" i="30"/>
  <c r="A4" i="32"/>
  <c r="A4" i="39"/>
  <c r="A4" i="36"/>
  <c r="A4" i="40"/>
  <c r="A20" i="55"/>
  <c r="A19" i="55"/>
  <c r="A18" i="55"/>
  <c r="A17" i="55"/>
  <c r="A16" i="55"/>
  <c r="A15" i="55"/>
  <c r="A14" i="55"/>
  <c r="A13" i="55"/>
  <c r="A12" i="55"/>
  <c r="A11" i="55"/>
  <c r="A10" i="55"/>
  <c r="A9" i="55"/>
  <c r="A8" i="55"/>
  <c r="A7" i="55"/>
  <c r="A22" i="37" l="1"/>
  <c r="A14" i="36" l="1"/>
  <c r="A13" i="36"/>
  <c r="A12" i="36"/>
  <c r="A11" i="36"/>
  <c r="A10" i="36"/>
  <c r="A9" i="36"/>
  <c r="A8" i="36"/>
  <c r="A19" i="37" l="1"/>
  <c r="A9" i="54" l="1"/>
  <c r="A8" i="54"/>
  <c r="A7" i="54"/>
  <c r="A6" i="54"/>
  <c r="A5" i="54"/>
  <c r="A4" i="54"/>
  <c r="A8" i="53"/>
  <c r="A7" i="53"/>
  <c r="A6" i="53"/>
  <c r="A5" i="53"/>
  <c r="A4" i="53"/>
  <c r="A10" i="52"/>
  <c r="A9" i="52"/>
  <c r="A8" i="52"/>
  <c r="A7" i="52"/>
  <c r="A6" i="52"/>
  <c r="A5" i="52"/>
  <c r="A4" i="52"/>
  <c r="A8" i="51"/>
  <c r="A7" i="51"/>
  <c r="A6" i="51"/>
  <c r="A5" i="51"/>
  <c r="A4" i="51"/>
  <c r="A12" i="50"/>
  <c r="A11" i="50"/>
  <c r="A10" i="50"/>
  <c r="A9" i="50"/>
  <c r="A8" i="50"/>
  <c r="A7" i="50"/>
  <c r="A6" i="50"/>
  <c r="A5" i="50"/>
  <c r="A4" i="50"/>
  <c r="A20" i="48" l="1"/>
  <c r="A19" i="48"/>
  <c r="A18" i="48"/>
  <c r="A17" i="48"/>
  <c r="A16" i="48"/>
  <c r="A15" i="48"/>
  <c r="A14" i="48"/>
  <c r="A13" i="48"/>
  <c r="A12" i="48"/>
  <c r="A11" i="48"/>
  <c r="A10" i="48"/>
  <c r="A9" i="48"/>
  <c r="A8" i="48"/>
  <c r="A7" i="48"/>
  <c r="A1" i="48"/>
  <c r="A23" i="47"/>
  <c r="A22" i="47"/>
  <c r="A21" i="47"/>
  <c r="A20" i="47"/>
  <c r="A19" i="47"/>
  <c r="A18" i="47"/>
  <c r="A17" i="47"/>
  <c r="A16" i="47"/>
  <c r="A15" i="47"/>
  <c r="A14" i="47"/>
  <c r="A13" i="47"/>
  <c r="A12" i="47"/>
  <c r="A11" i="47"/>
  <c r="A10" i="47"/>
  <c r="A9" i="47"/>
  <c r="A8" i="47"/>
  <c r="A7" i="47"/>
  <c r="A21" i="37"/>
  <c r="A20" i="37"/>
  <c r="A18" i="37"/>
  <c r="A17" i="37"/>
  <c r="A16" i="37"/>
  <c r="A15" i="37"/>
  <c r="A14" i="37"/>
  <c r="A13" i="37"/>
  <c r="A12" i="37"/>
  <c r="A11" i="37"/>
  <c r="A10" i="37"/>
  <c r="A9" i="37"/>
  <c r="A8" i="37"/>
  <c r="A7" i="37"/>
  <c r="A6" i="37"/>
  <c r="A5" i="37"/>
  <c r="A4" i="37"/>
  <c r="A3" i="37"/>
  <c r="A12" i="41" l="1"/>
  <c r="A11" i="41"/>
  <c r="A10" i="41"/>
  <c r="A9" i="41"/>
  <c r="A8" i="41"/>
  <c r="A7" i="41"/>
  <c r="A6" i="41"/>
  <c r="A5" i="41"/>
  <c r="A19" i="40" l="1"/>
  <c r="A18" i="40"/>
  <c r="A17" i="40"/>
  <c r="A16" i="40"/>
  <c r="A15" i="40"/>
  <c r="A14" i="40"/>
  <c r="A13" i="40"/>
  <c r="A12" i="40"/>
  <c r="A11" i="40"/>
  <c r="A10" i="40"/>
  <c r="A9" i="40"/>
  <c r="A8" i="40"/>
  <c r="A7" i="40"/>
  <c r="A6" i="40"/>
  <c r="A5" i="40"/>
  <c r="A11" i="32"/>
  <c r="A10" i="32"/>
  <c r="A9" i="32"/>
  <c r="A8" i="32"/>
  <c r="A7" i="32"/>
  <c r="A6" i="32"/>
  <c r="A5" i="32"/>
  <c r="A8" i="39"/>
  <c r="A7" i="39"/>
  <c r="A6" i="39"/>
  <c r="A5" i="39"/>
  <c r="A12" i="38"/>
  <c r="A11" i="38"/>
  <c r="A10" i="38"/>
  <c r="A9" i="38"/>
  <c r="A8" i="38"/>
  <c r="A7" i="38"/>
  <c r="A6" i="38"/>
  <c r="A5" i="38"/>
  <c r="A3" i="22"/>
  <c r="A2" i="22"/>
  <c r="A5" i="36"/>
  <c r="A7" i="36" l="1"/>
  <c r="A6" i="36"/>
  <c r="A15" i="30" l="1"/>
  <c r="A6" i="30" l="1"/>
  <c r="A5" i="30"/>
  <c r="A31" i="30" l="1"/>
  <c r="A30" i="30"/>
  <c r="A29" i="30"/>
  <c r="A28" i="30"/>
  <c r="A19" i="30"/>
  <c r="A18" i="30"/>
  <c r="A17" i="30"/>
  <c r="A16" i="30"/>
  <c r="A14" i="30"/>
  <c r="A13" i="30"/>
  <c r="A12" i="30"/>
  <c r="A11" i="30"/>
  <c r="A10" i="30"/>
  <c r="A9" i="30"/>
  <c r="A8" i="30"/>
  <c r="A7" i="30"/>
  <c r="A4" i="22" l="1"/>
  <c r="A5" i="22" s="1"/>
  <c r="A6" i="22" s="1"/>
  <c r="A7" i="22" s="1"/>
  <c r="A8" i="22" s="1"/>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3" i="22" s="1"/>
  <c r="A34" i="22" s="1"/>
  <c r="A35" i="22" s="1"/>
  <c r="A36" i="22" s="1"/>
  <c r="A37" i="22" s="1"/>
  <c r="A38" i="22" s="1"/>
  <c r="A39" i="22" s="1"/>
  <c r="A40" i="22" s="1"/>
  <c r="A41" i="22" s="1"/>
  <c r="A42" i="22" s="1"/>
  <c r="A43" i="22" s="1"/>
  <c r="A44" i="22" s="1"/>
  <c r="A45" i="22" s="1"/>
  <c r="A46" i="22" s="1"/>
  <c r="A47" i="22" s="1"/>
  <c r="A48" i="22" s="1"/>
  <c r="A49" i="22" s="1"/>
  <c r="A50" i="22" s="1"/>
  <c r="A51" i="22" s="1"/>
  <c r="A52" i="22" s="1"/>
  <c r="A53" i="22" s="1"/>
  <c r="A54" i="22" s="1"/>
  <c r="A55" i="22" s="1"/>
  <c r="A56" i="22" s="1"/>
  <c r="A57" i="22" s="1"/>
  <c r="A58" i="22" s="1"/>
  <c r="A59" i="22" s="1"/>
  <c r="A60" i="22" s="1"/>
  <c r="A61" i="22" s="1"/>
  <c r="A62" i="22" s="1"/>
  <c r="A63" i="22" s="1"/>
  <c r="A64" i="22" s="1"/>
  <c r="A65" i="22" s="1"/>
  <c r="A66" i="22" s="1"/>
  <c r="A67" i="22" s="1"/>
  <c r="A68" i="22" s="1"/>
  <c r="A69" i="22" s="1"/>
  <c r="A70" i="22" s="1"/>
  <c r="A71" i="22" s="1"/>
  <c r="A72" i="22" s="1"/>
  <c r="A73" i="22" s="1"/>
  <c r="A74" i="22" s="1"/>
  <c r="A75" i="22" s="1"/>
  <c r="A76" i="22" s="1"/>
  <c r="A77" i="22" s="1"/>
  <c r="A78" i="22" s="1"/>
  <c r="AG31" i="21"/>
  <c r="A19"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一色 のぞみ</author>
    <author>竹内英人</author>
  </authors>
  <commentList>
    <comment ref="A19" authorId="0" shapeId="0" xr:uid="{E2795F13-98D3-4C06-9429-5EBF80AD070F}">
      <text>
        <r>
          <rPr>
            <sz val="9"/>
            <color indexed="81"/>
            <rFont val="ＭＳ Ｐゴシック"/>
            <family val="3"/>
            <charset val="128"/>
          </rPr>
          <t>更新履歴シートの最終のVerが自動的にセットされます。</t>
        </r>
      </text>
    </comment>
    <comment ref="U31" authorId="1" shapeId="0" xr:uid="{F58A419D-87DF-4DDD-BBDA-8898F8CC9426}">
      <text>
        <r>
          <rPr>
            <b/>
            <sz val="10"/>
            <color indexed="81"/>
            <rFont val="ＭＳ ゴシック"/>
            <family val="3"/>
            <charset val="128"/>
          </rPr>
          <t>提供先お客様氏名を記述
1.氏名で記述
2.氏と名の間には半角スペースを設ける</t>
        </r>
      </text>
    </comment>
    <comment ref="AA31" authorId="1" shapeId="0" xr:uid="{BB9BBCB0-05E8-4C71-A4C0-92D4BA2FBDBF}">
      <text>
        <r>
          <rPr>
            <b/>
            <sz val="10"/>
            <color indexed="81"/>
            <rFont val="ＭＳ ゴシック"/>
            <family val="3"/>
            <charset val="128"/>
          </rPr>
          <t>承認者氏名を記述
1.氏名で記述
2.氏と名の間には半角スペースを設ける</t>
        </r>
      </text>
    </comment>
    <comment ref="AG31" authorId="1" shapeId="0" xr:uid="{DC51552C-9688-49B1-9293-2B1457925E51}">
      <text>
        <r>
          <rPr>
            <b/>
            <sz val="10"/>
            <color indexed="81"/>
            <rFont val="ＭＳ ゴシック"/>
            <family val="3"/>
            <charset val="128"/>
          </rPr>
          <t>更新履歴の新規作成した(No.1の)「更新者」が自動的にセットされます。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09200630063</author>
  </authors>
  <commentList>
    <comment ref="F1" authorId="0" shapeId="0" xr:uid="{5375DDD2-8617-40D9-A4A4-D2FE352C9100}">
      <text>
        <r>
          <rPr>
            <b/>
            <sz val="9"/>
            <color indexed="81"/>
            <rFont val="ＭＳ Ｐゴシック"/>
            <family val="3"/>
            <charset val="128"/>
          </rPr>
          <t xml:space="preserve">凡例
　新規
　更新
</t>
        </r>
      </text>
    </comment>
  </commentList>
</comments>
</file>

<file path=xl/sharedStrings.xml><?xml version="1.0" encoding="utf-8"?>
<sst xmlns="http://schemas.openxmlformats.org/spreadsheetml/2006/main" count="2037" uniqueCount="809">
  <si>
    <t>MV関東様</t>
    <rPh sb="2" eb="4">
      <t>カントウ</t>
    </rPh>
    <phoneticPr fontId="6"/>
  </si>
  <si>
    <t>参考資料</t>
    <rPh sb="0" eb="4">
      <t>サンコウシリョウ</t>
    </rPh>
    <phoneticPr fontId="6"/>
  </si>
  <si>
    <t>参考資料（マスタ連携）</t>
    <phoneticPr fontId="5"/>
  </si>
  <si>
    <t>お客様</t>
    <rPh sb="1" eb="3">
      <t>キャクサマ</t>
    </rPh>
    <phoneticPr fontId="6"/>
  </si>
  <si>
    <t>承認者</t>
    <rPh sb="0" eb="3">
      <t>ショウニンシャ</t>
    </rPh>
    <phoneticPr fontId="6"/>
  </si>
  <si>
    <t>作成者</t>
    <rPh sb="0" eb="3">
      <t>サクセイシャ</t>
    </rPh>
    <phoneticPr fontId="6"/>
  </si>
  <si>
    <t>№</t>
    <phoneticPr fontId="6"/>
  </si>
  <si>
    <t>Ver.</t>
    <phoneticPr fontId="6"/>
  </si>
  <si>
    <t>更新日付</t>
  </si>
  <si>
    <t>更新者</t>
  </si>
  <si>
    <t>シート名</t>
    <rPh sb="3" eb="4">
      <t>メイ</t>
    </rPh>
    <phoneticPr fontId="6"/>
  </si>
  <si>
    <t>区分</t>
    <rPh sb="0" eb="2">
      <t>クブン</t>
    </rPh>
    <phoneticPr fontId="6"/>
  </si>
  <si>
    <t>変更内容</t>
  </si>
  <si>
    <t>v1_0r0</t>
    <phoneticPr fontId="6"/>
  </si>
  <si>
    <t>VINX</t>
    <phoneticPr fontId="5"/>
  </si>
  <si>
    <t>全般</t>
    <rPh sb="0" eb="2">
      <t>ゼンパン</t>
    </rPh>
    <phoneticPr fontId="6"/>
  </si>
  <si>
    <t>新規</t>
    <rPh sb="0" eb="2">
      <t>シンキ</t>
    </rPh>
    <phoneticPr fontId="6"/>
  </si>
  <si>
    <t>新規作成</t>
    <rPh sb="0" eb="2">
      <t>シンキ</t>
    </rPh>
    <rPh sb="2" eb="4">
      <t>サクセイ</t>
    </rPh>
    <phoneticPr fontId="6"/>
  </si>
  <si>
    <t>v1_0r1</t>
    <phoneticPr fontId="6"/>
  </si>
  <si>
    <t>更新</t>
    <rPh sb="0" eb="2">
      <t>コウシン</t>
    </rPh>
    <phoneticPr fontId="6"/>
  </si>
  <si>
    <t>・以下の連携マスタを追加
　・税コードマスタ
　・税グループ詳細マスタ
　・税グループマスタ
　・税タイプマスタ
　・軽減税率マスタ
　・券マスタ
　・釣銭機回収設定マスタ
　・レシートクーポン発券マスタ
・共通店舗かどうかの情報を追加
・想定件数を追記</t>
    <rPh sb="1" eb="3">
      <t>イカ</t>
    </rPh>
    <rPh sb="4" eb="6">
      <t>レンケイ</t>
    </rPh>
    <rPh sb="10" eb="12">
      <t>ツイカ</t>
    </rPh>
    <rPh sb="97" eb="99">
      <t>ハッケン</t>
    </rPh>
    <rPh sb="104" eb="106">
      <t>キョウツウ</t>
    </rPh>
    <rPh sb="106" eb="108">
      <t>テンポ</t>
    </rPh>
    <rPh sb="113" eb="115">
      <t>ジョウホウ</t>
    </rPh>
    <rPh sb="116" eb="118">
      <t>ツイカ</t>
    </rPh>
    <rPh sb="120" eb="122">
      <t>ソウテイ</t>
    </rPh>
    <rPh sb="122" eb="124">
      <t>ケンスウ</t>
    </rPh>
    <rPh sb="125" eb="127">
      <t>ツイキ</t>
    </rPh>
    <phoneticPr fontId="6"/>
  </si>
  <si>
    <t>v1_0r2</t>
    <phoneticPr fontId="5"/>
  </si>
  <si>
    <t>全般</t>
    <rPh sb="0" eb="2">
      <t>ゼンパン</t>
    </rPh>
    <phoneticPr fontId="5"/>
  </si>
  <si>
    <t>更新</t>
    <rPh sb="0" eb="2">
      <t>コウシン</t>
    </rPh>
    <phoneticPr fontId="5"/>
  </si>
  <si>
    <t>各マスタのIFレイアウトを修正</t>
    <rPh sb="0" eb="1">
      <t>カク</t>
    </rPh>
    <rPh sb="13" eb="15">
      <t>シュウセイ</t>
    </rPh>
    <phoneticPr fontId="5"/>
  </si>
  <si>
    <t>v1_0r3</t>
    <phoneticPr fontId="5"/>
  </si>
  <si>
    <t>連携マスタ一覧
ノードマスタ</t>
    <rPh sb="0" eb="2">
      <t>レンケイ</t>
    </rPh>
    <rPh sb="5" eb="7">
      <t>イチラン</t>
    </rPh>
    <phoneticPr fontId="5"/>
  </si>
  <si>
    <t>ノードマスタを連携一覧に追加
分類拡張マスタは青WAONポイント情報に関するマスタで不要なため削除</t>
    <rPh sb="7" eb="9">
      <t>レンケイ</t>
    </rPh>
    <rPh sb="9" eb="11">
      <t>イチラン</t>
    </rPh>
    <rPh sb="12" eb="14">
      <t>ツイカ</t>
    </rPh>
    <rPh sb="23" eb="28">
      <t>アオワオン</t>
    </rPh>
    <rPh sb="32" eb="34">
      <t>ジョウホウ</t>
    </rPh>
    <rPh sb="35" eb="36">
      <t>カン</t>
    </rPh>
    <rPh sb="42" eb="44">
      <t>フヨウ</t>
    </rPh>
    <rPh sb="47" eb="49">
      <t>サクジョ</t>
    </rPh>
    <phoneticPr fontId="5"/>
  </si>
  <si>
    <t>v1_0r4</t>
    <phoneticPr fontId="5"/>
  </si>
  <si>
    <t>削除</t>
    <rPh sb="0" eb="2">
      <t>サクジョ</t>
    </rPh>
    <phoneticPr fontId="5"/>
  </si>
  <si>
    <t>ノードマスタの連携を削除</t>
    <rPh sb="7" eb="9">
      <t>レンケイ</t>
    </rPh>
    <rPh sb="10" eb="12">
      <t>サクジョ</t>
    </rPh>
    <phoneticPr fontId="5"/>
  </si>
  <si>
    <t>v1_0r5</t>
    <phoneticPr fontId="5"/>
  </si>
  <si>
    <t>商品マスタ
分類マスタ</t>
    <rPh sb="0" eb="2">
      <t>ショウヒン</t>
    </rPh>
    <rPh sb="6" eb="8">
      <t>ブンルイ</t>
    </rPh>
    <phoneticPr fontId="5"/>
  </si>
  <si>
    <t>Scan＆GoではNULLをセットしていた項目だが、今回から値をセットする項目</t>
    <rPh sb="21" eb="23">
      <t>コウモク</t>
    </rPh>
    <rPh sb="26" eb="28">
      <t>コンカイ</t>
    </rPh>
    <rPh sb="30" eb="31">
      <t>アタイ</t>
    </rPh>
    <rPh sb="37" eb="39">
      <t>コウモク</t>
    </rPh>
    <phoneticPr fontId="5"/>
  </si>
  <si>
    <t>v1_0r6</t>
    <phoneticPr fontId="5"/>
  </si>
  <si>
    <t>特売マスタ
MMマスタ
MM商品マスタ</t>
    <rPh sb="0" eb="2">
      <t>トクバイ</t>
    </rPh>
    <rPh sb="14" eb="16">
      <t>ショウヒン</t>
    </rPh>
    <phoneticPr fontId="5"/>
  </si>
  <si>
    <t>・特売マスタ.スケジュール番号、MMマスタ.ミックスマッチコードの桁数を10⇒20に変更
・プリセットメニューボタンマスタ.店舗コードの桁数を11⇒10に変更</t>
    <rPh sb="1" eb="3">
      <t>トクバイ</t>
    </rPh>
    <rPh sb="13" eb="15">
      <t>バンゴウ</t>
    </rPh>
    <rPh sb="33" eb="35">
      <t>ケタスウ</t>
    </rPh>
    <rPh sb="42" eb="44">
      <t>ヘンコウ</t>
    </rPh>
    <rPh sb="62" eb="64">
      <t>テンポ</t>
    </rPh>
    <rPh sb="68" eb="70">
      <t>ケタスウ</t>
    </rPh>
    <rPh sb="77" eb="79">
      <t>ヘンコウ</t>
    </rPh>
    <phoneticPr fontId="6"/>
  </si>
  <si>
    <t>NO</t>
    <phoneticPr fontId="5"/>
  </si>
  <si>
    <t>連携データ（FTPS中継サーバ⇒VINX）</t>
    <rPh sb="0" eb="2">
      <t>レンケイ</t>
    </rPh>
    <rPh sb="10" eb="12">
      <t>チュウケイ</t>
    </rPh>
    <phoneticPr fontId="5"/>
  </si>
  <si>
    <t>テーブル名</t>
    <rPh sb="4" eb="5">
      <t>メイ</t>
    </rPh>
    <phoneticPr fontId="5"/>
  </si>
  <si>
    <t>連携元</t>
    <rPh sb="0" eb="3">
      <t>レンケイモト</t>
    </rPh>
    <phoneticPr fontId="5"/>
  </si>
  <si>
    <t>共通
〇：共通
×：店舗別</t>
    <rPh sb="0" eb="2">
      <t>キョウツウ</t>
    </rPh>
    <rPh sb="5" eb="7">
      <t>キョウツウ</t>
    </rPh>
    <rPh sb="10" eb="12">
      <t>テンポ</t>
    </rPh>
    <rPh sb="12" eb="13">
      <t>ベツ</t>
    </rPh>
    <phoneticPr fontId="5"/>
  </si>
  <si>
    <t>Scan＆Go</t>
    <phoneticPr fontId="5"/>
  </si>
  <si>
    <t>Ignicaセルフ</t>
    <phoneticPr fontId="5"/>
  </si>
  <si>
    <t>新船橋店
件数</t>
    <rPh sb="0" eb="4">
      <t>シンフナバシテン</t>
    </rPh>
    <rPh sb="5" eb="7">
      <t>ケンスウ</t>
    </rPh>
    <phoneticPr fontId="5"/>
  </si>
  <si>
    <t>商品マスタ</t>
    <rPh sb="0" eb="2">
      <t>ショウヒン</t>
    </rPh>
    <phoneticPr fontId="5"/>
  </si>
  <si>
    <t>ItemMaster</t>
  </si>
  <si>
    <t>FTPS中継サーバ</t>
    <rPh sb="4" eb="6">
      <t>チュウケイ</t>
    </rPh>
    <phoneticPr fontId="5"/>
  </si>
  <si>
    <t>×</t>
    <phoneticPr fontId="5"/>
  </si>
  <si>
    <t>〇</t>
    <phoneticPr fontId="5"/>
  </si>
  <si>
    <t>商品拡張マスタ</t>
    <rPh sb="0" eb="2">
      <t>ショウヒン</t>
    </rPh>
    <rPh sb="2" eb="4">
      <t>カクチョウ</t>
    </rPh>
    <phoneticPr fontId="5"/>
  </si>
  <si>
    <t>ItemExMvkMaster</t>
  </si>
  <si>
    <t>-</t>
    <phoneticPr fontId="5"/>
  </si>
  <si>
    <t>部門マスタ</t>
    <rPh sb="0" eb="2">
      <t>ブモン</t>
    </rPh>
    <phoneticPr fontId="5"/>
  </si>
  <si>
    <t>分類マスタ</t>
    <rPh sb="0" eb="2">
      <t>ブンルイ</t>
    </rPh>
    <phoneticPr fontId="5"/>
  </si>
  <si>
    <t>MDHierarchyMaster</t>
  </si>
  <si>
    <t>分類拡張マスタ</t>
    <rPh sb="0" eb="2">
      <t>ブンルイ</t>
    </rPh>
    <rPh sb="2" eb="4">
      <t>カクチョウ</t>
    </rPh>
    <phoneticPr fontId="5"/>
  </si>
  <si>
    <t>MDHierarchyExMvkMaster</t>
  </si>
  <si>
    <t>スケジュールマスタ</t>
    <phoneticPr fontId="5"/>
  </si>
  <si>
    <t>特売マスタ</t>
    <rPh sb="0" eb="2">
      <t>トクバイ</t>
    </rPh>
    <phoneticPr fontId="5"/>
  </si>
  <si>
    <t>SpecialPriceKsmMaster</t>
  </si>
  <si>
    <t>バンドルミックス（ヘッダー）</t>
  </si>
  <si>
    <t>MMマスタ</t>
    <phoneticPr fontId="5"/>
  </si>
  <si>
    <t>CombinationKsmMaster</t>
  </si>
  <si>
    <t>バンドルミックス（明細）</t>
  </si>
  <si>
    <t>MM商品マスタ</t>
    <rPh sb="2" eb="4">
      <t>ショウヒン</t>
    </rPh>
    <phoneticPr fontId="5"/>
  </si>
  <si>
    <t>CombinationItemKsmMaster</t>
  </si>
  <si>
    <t>プロモーション情報（圧縮ファイル）
　①プロモーションデータ
　②MSRテンプレート
　③割引除外部門"
店舗更新プロモーション情報</t>
    <phoneticPr fontId="5"/>
  </si>
  <si>
    <t>MD階層値引マスタ（TBP用）</t>
    <phoneticPr fontId="5"/>
  </si>
  <si>
    <t>DiscountMDHierarchyMVKMaster</t>
  </si>
  <si>
    <t>レジ担当者データ</t>
    <phoneticPr fontId="5"/>
  </si>
  <si>
    <t>従業員マスタ</t>
    <rPh sb="0" eb="3">
      <t>ジュウギョウイン</t>
    </rPh>
    <phoneticPr fontId="5"/>
  </si>
  <si>
    <t>EmployeeMaster</t>
  </si>
  <si>
    <t>※全店共通で保持</t>
    <rPh sb="1" eb="3">
      <t>ゼンテン</t>
    </rPh>
    <rPh sb="3" eb="5">
      <t>キョウツウ</t>
    </rPh>
    <rPh sb="6" eb="8">
      <t>ホジ</t>
    </rPh>
    <phoneticPr fontId="5"/>
  </si>
  <si>
    <t>従業員拡張マスタ</t>
    <rPh sb="0" eb="3">
      <t>ジュウギョウイン</t>
    </rPh>
    <rPh sb="3" eb="5">
      <t>カクチョウ</t>
    </rPh>
    <phoneticPr fontId="5"/>
  </si>
  <si>
    <t>EmployeeExMVKMaster</t>
    <phoneticPr fontId="5"/>
  </si>
  <si>
    <t>PresetMenuMaster</t>
    <phoneticPr fontId="5"/>
  </si>
  <si>
    <t>VINXセンターサーバ</t>
    <phoneticPr fontId="5"/>
  </si>
  <si>
    <t>プリセットメニューマスタ</t>
  </si>
  <si>
    <t>PresetMenuButtonMaster</t>
    <phoneticPr fontId="5"/>
  </si>
  <si>
    <t>税コードマスタ</t>
    <phoneticPr fontId="5"/>
  </si>
  <si>
    <t>TaxCodeMaster</t>
    <phoneticPr fontId="5"/>
  </si>
  <si>
    <t>税グループ詳細マスタ</t>
  </si>
  <si>
    <t>TaxGroupDetailMaster</t>
    <phoneticPr fontId="5"/>
  </si>
  <si>
    <t>税グループマスタ</t>
  </si>
  <si>
    <t>TaxGroupMaster</t>
    <phoneticPr fontId="5"/>
  </si>
  <si>
    <t>税タイプマスタ</t>
  </si>
  <si>
    <t>TaxTypeMaster</t>
    <phoneticPr fontId="5"/>
  </si>
  <si>
    <t>軽減税率マスタ</t>
    <phoneticPr fontId="5"/>
  </si>
  <si>
    <t>ReducedTaxRateMaster</t>
    <phoneticPr fontId="5"/>
  </si>
  <si>
    <t>券マスタ</t>
    <phoneticPr fontId="5"/>
  </si>
  <si>
    <t>PaymentTicketMaster</t>
    <phoneticPr fontId="5"/>
  </si>
  <si>
    <t>釣銭機回収設定マスタ</t>
    <phoneticPr fontId="5"/>
  </si>
  <si>
    <t>CashChangerRecoverSettingMaster</t>
    <phoneticPr fontId="5"/>
  </si>
  <si>
    <t>※1台当たり40件</t>
    <rPh sb="2" eb="3">
      <t>ダイ</t>
    </rPh>
    <rPh sb="3" eb="4">
      <t>ア</t>
    </rPh>
    <rPh sb="8" eb="9">
      <t>ケン</t>
    </rPh>
    <phoneticPr fontId="5"/>
  </si>
  <si>
    <t>レシートクーポン発券マスタ</t>
    <phoneticPr fontId="5"/>
  </si>
  <si>
    <t>ReceiptCouponPrintMaster</t>
    <phoneticPr fontId="5"/>
  </si>
  <si>
    <t>ノードマスタ</t>
    <phoneticPr fontId="5"/>
  </si>
  <si>
    <t>商品マスタ　《ItemMaster》</t>
    <phoneticPr fontId="6"/>
  </si>
  <si>
    <t>No.</t>
  </si>
  <si>
    <t>Column Name</t>
  </si>
  <si>
    <t>Description</t>
  </si>
  <si>
    <t>Data Type</t>
  </si>
  <si>
    <t>Precision,Scale</t>
    <phoneticPr fontId="6"/>
  </si>
  <si>
    <t>NotNull</t>
  </si>
  <si>
    <t>Identity_x000D_
(Seed,_x000D_
Increment)</t>
  </si>
  <si>
    <t>Primary Key</t>
  </si>
  <si>
    <t>Note</t>
  </si>
  <si>
    <t>-</t>
    <phoneticPr fontId="6"/>
  </si>
  <si>
    <t>処理区分</t>
    <rPh sb="0" eb="2">
      <t>ショリ</t>
    </rPh>
    <rPh sb="2" eb="4">
      <t>クブン</t>
    </rPh>
    <phoneticPr fontId="7"/>
  </si>
  <si>
    <t>nvarchar</t>
    <phoneticPr fontId="6"/>
  </si>
  <si>
    <t>Y</t>
  </si>
  <si>
    <t>0：登録（新規／更新）、 2：洗い替え</t>
    <phoneticPr fontId="5"/>
  </si>
  <si>
    <t>CompanyCode</t>
    <phoneticPr fontId="6"/>
  </si>
  <si>
    <t>企業コード</t>
    <rPh sb="0" eb="2">
      <t>キギョウ</t>
    </rPh>
    <phoneticPr fontId="7"/>
  </si>
  <si>
    <t>会社コード</t>
    <rPh sb="0" eb="2">
      <t>カイシャ</t>
    </rPh>
    <phoneticPr fontId="6"/>
  </si>
  <si>
    <t>StoreCode</t>
    <phoneticPr fontId="6"/>
  </si>
  <si>
    <t>店舗コード</t>
    <rPh sb="0" eb="2">
      <t>テンポ</t>
    </rPh>
    <phoneticPr fontId="7"/>
  </si>
  <si>
    <t>店舗コード</t>
    <rPh sb="0" eb="2">
      <t>テンポ</t>
    </rPh>
    <phoneticPr fontId="6"/>
  </si>
  <si>
    <t>ItemCode</t>
    <phoneticPr fontId="6"/>
  </si>
  <si>
    <t>単品コード</t>
    <phoneticPr fontId="7"/>
  </si>
  <si>
    <t>商品コード
商品登録時の検索、画面/レシートへの表示に使用</t>
    <rPh sb="0" eb="2">
      <t>ショウヒン</t>
    </rPh>
    <rPh sb="6" eb="8">
      <t>ショウヒン</t>
    </rPh>
    <rPh sb="8" eb="10">
      <t>トウロク</t>
    </rPh>
    <rPh sb="10" eb="11">
      <t>ジ</t>
    </rPh>
    <rPh sb="12" eb="14">
      <t>ケンサク</t>
    </rPh>
    <rPh sb="15" eb="17">
      <t>ガメン</t>
    </rPh>
    <rPh sb="24" eb="26">
      <t>ヒョウジ</t>
    </rPh>
    <rPh sb="27" eb="29">
      <t>シヨウ</t>
    </rPh>
    <phoneticPr fontId="6"/>
  </si>
  <si>
    <t>ApplyDate</t>
    <phoneticPr fontId="6"/>
  </si>
  <si>
    <t>適用日</t>
    <rPh sb="0" eb="2">
      <t>テキヨウ</t>
    </rPh>
    <rPh sb="2" eb="3">
      <t>ビ</t>
    </rPh>
    <phoneticPr fontId="7"/>
  </si>
  <si>
    <t>date</t>
    <phoneticPr fontId="6"/>
  </si>
  <si>
    <t>Y</t>
    <phoneticPr fontId="6"/>
  </si>
  <si>
    <t>商品情報が適用される営業日を設定する</t>
    <rPh sb="0" eb="2">
      <t>ショウヒン</t>
    </rPh>
    <rPh sb="2" eb="4">
      <t>ジョウホウ</t>
    </rPh>
    <rPh sb="5" eb="7">
      <t>テキヨウ</t>
    </rPh>
    <rPh sb="10" eb="13">
      <t>エイギョウビ</t>
    </rPh>
    <rPh sb="14" eb="16">
      <t>セッテイ</t>
    </rPh>
    <phoneticPr fontId="6"/>
  </si>
  <si>
    <t>ParentCode</t>
    <phoneticPr fontId="6"/>
  </si>
  <si>
    <t>親分類コード</t>
    <rPh sb="1" eb="3">
      <t>ブンルイ</t>
    </rPh>
    <phoneticPr fontId="7"/>
  </si>
  <si>
    <t>商品の分類コードを設定する</t>
    <rPh sb="0" eb="2">
      <t>ショウヒン</t>
    </rPh>
    <rPh sb="3" eb="5">
      <t>ブンルイ</t>
    </rPh>
    <rPh sb="9" eb="11">
      <t>セッテイ</t>
    </rPh>
    <phoneticPr fontId="6"/>
  </si>
  <si>
    <t>MyCompanyCode</t>
    <phoneticPr fontId="6"/>
  </si>
  <si>
    <t>商品コード</t>
    <rPh sb="0" eb="2">
      <t>ショウヒン</t>
    </rPh>
    <phoneticPr fontId="7"/>
  </si>
  <si>
    <t>自社コード
カスミ様の商品管理コードを設定する</t>
    <rPh sb="0" eb="2">
      <t>ジシャ</t>
    </rPh>
    <rPh sb="9" eb="10">
      <t>サマ</t>
    </rPh>
    <rPh sb="11" eb="13">
      <t>ショウヒン</t>
    </rPh>
    <rPh sb="13" eb="15">
      <t>カンリ</t>
    </rPh>
    <rPh sb="19" eb="21">
      <t>セッテイ</t>
    </rPh>
    <phoneticPr fontId="6"/>
  </si>
  <si>
    <t>ParentItemCode</t>
    <phoneticPr fontId="6"/>
  </si>
  <si>
    <t>親JANコード</t>
    <rPh sb="0" eb="1">
      <t>オヤ</t>
    </rPh>
    <phoneticPr fontId="7"/>
  </si>
  <si>
    <t>単品コードの親JAN情報</t>
    <rPh sb="0" eb="2">
      <t>タンピン</t>
    </rPh>
    <rPh sb="6" eb="7">
      <t>オヤ</t>
    </rPh>
    <rPh sb="10" eb="12">
      <t>ジョウホウ</t>
    </rPh>
    <phoneticPr fontId="6"/>
  </si>
  <si>
    <t>Description</t>
    <phoneticPr fontId="6"/>
  </si>
  <si>
    <t>説明　（画面、レシート、ラインディスプレイにて使用）</t>
    <phoneticPr fontId="7"/>
  </si>
  <si>
    <t>商品の名称を設定する
画面、レシート、ラインディスプレイにて使用</t>
    <rPh sb="0" eb="2">
      <t>ショウヒン</t>
    </rPh>
    <rPh sb="3" eb="5">
      <t>メイショウ</t>
    </rPh>
    <rPh sb="6" eb="8">
      <t>セッテイ</t>
    </rPh>
    <phoneticPr fontId="6"/>
  </si>
  <si>
    <t>DescriptionShort</t>
    <phoneticPr fontId="6"/>
  </si>
  <si>
    <t>簡略説明　（ラインディスプレイ（半角カナ用）にて使用）</t>
    <rPh sb="20" eb="21">
      <t>ヨウ</t>
    </rPh>
    <phoneticPr fontId="7"/>
  </si>
  <si>
    <t>商品の名称を設定する
ラインディスプレイ（半角カナ用）にて使用</t>
    <phoneticPr fontId="6"/>
  </si>
  <si>
    <t>DescriptionLong</t>
    <phoneticPr fontId="6"/>
  </si>
  <si>
    <t>詳細説明　（レポートにて使用）</t>
    <phoneticPr fontId="7"/>
  </si>
  <si>
    <t>商品の名称を設定する
レポートにて使用</t>
    <phoneticPr fontId="6"/>
  </si>
  <si>
    <t>SubDescription</t>
    <phoneticPr fontId="6"/>
  </si>
  <si>
    <t>補足説明　(規格)</t>
    <phoneticPr fontId="7"/>
  </si>
  <si>
    <t>Manufacturer</t>
    <phoneticPr fontId="6"/>
  </si>
  <si>
    <t>メーカー</t>
    <phoneticPr fontId="7"/>
  </si>
  <si>
    <t>UnitPrice</t>
    <phoneticPr fontId="6"/>
  </si>
  <si>
    <t>単価</t>
    <phoneticPr fontId="7"/>
  </si>
  <si>
    <t>money</t>
    <phoneticPr fontId="6"/>
  </si>
  <si>
    <t>商品の販売単価を設定する</t>
    <rPh sb="0" eb="2">
      <t>ショウヒン</t>
    </rPh>
    <rPh sb="3" eb="5">
      <t>ハンバイ</t>
    </rPh>
    <rPh sb="5" eb="7">
      <t>タンカ</t>
    </rPh>
    <rPh sb="8" eb="10">
      <t>セッテイ</t>
    </rPh>
    <phoneticPr fontId="6"/>
  </si>
  <si>
    <t>HeadquartersIndicationPrice</t>
    <phoneticPr fontId="6"/>
  </si>
  <si>
    <t>本部指示売価</t>
    <phoneticPr fontId="7"/>
  </si>
  <si>
    <t>CostPrice</t>
    <phoneticPr fontId="6"/>
  </si>
  <si>
    <t>原価</t>
    <phoneticPr fontId="7"/>
  </si>
  <si>
    <t>商品の原価を設定する。
原価額ではなく原価率で管理する場合はNULLとする
※原価、値入率が未設定(NULL)の場合、分類マスタの値入率が採用される</t>
    <rPh sb="0" eb="2">
      <t>ショウヒン</t>
    </rPh>
    <rPh sb="3" eb="5">
      <t>ゲンカ</t>
    </rPh>
    <rPh sb="6" eb="8">
      <t>セッテイ</t>
    </rPh>
    <rPh sb="12" eb="14">
      <t>ゲンカ</t>
    </rPh>
    <rPh sb="14" eb="15">
      <t>ガク</t>
    </rPh>
    <rPh sb="19" eb="21">
      <t>ゲンカ</t>
    </rPh>
    <rPh sb="21" eb="22">
      <t>リツ</t>
    </rPh>
    <rPh sb="23" eb="25">
      <t>カンリ</t>
    </rPh>
    <rPh sb="27" eb="29">
      <t>バアイ</t>
    </rPh>
    <rPh sb="59" eb="61">
      <t>ブンルイ</t>
    </rPh>
    <phoneticPr fontId="6"/>
  </si>
  <si>
    <t>MarkupRatio</t>
    <phoneticPr fontId="6"/>
  </si>
  <si>
    <t>値入率</t>
    <phoneticPr fontId="7"/>
  </si>
  <si>
    <t>numeric</t>
    <phoneticPr fontId="6"/>
  </si>
  <si>
    <t>5, 2</t>
    <phoneticPr fontId="6"/>
  </si>
  <si>
    <t>粗利率を設定する（100-原価率)
原価率ではなく原価額で管理する場合はNULLとする
※原価、値入率が未設定(NULL)の場合、分類マスタの値入率が採用される</t>
    <rPh sb="20" eb="21">
      <t>リツ</t>
    </rPh>
    <rPh sb="27" eb="28">
      <t>ガク</t>
    </rPh>
    <rPh sb="65" eb="67">
      <t>ブンルイ</t>
    </rPh>
    <phoneticPr fontId="6"/>
  </si>
  <si>
    <t>TaxGroupCode</t>
    <phoneticPr fontId="6"/>
  </si>
  <si>
    <t>税グループコード</t>
    <phoneticPr fontId="7"/>
  </si>
  <si>
    <t>税率セットの定義コードを設定する
　　NULL：上位参照
　　"01"　：外税8%
　　　　　　　（2019/10/1以降、軽減税率)
　　"02"　：内税8%
　　　　　　　（2019/10/1以降、軽減税率)
　　"03"　：非課税
　　"11"　：外税10%
　　"12"　：内税10%
　　"31"　：外税8%(返品用)
　　"32"　：内税8%(返品用)</t>
    <rPh sb="12" eb="14">
      <t>セッテイ</t>
    </rPh>
    <rPh sb="24" eb="26">
      <t>ジョウイ</t>
    </rPh>
    <rPh sb="26" eb="28">
      <t>サンショウ</t>
    </rPh>
    <rPh sb="37" eb="39">
      <t>ソトゼイ</t>
    </rPh>
    <rPh sb="59" eb="61">
      <t>イコウ</t>
    </rPh>
    <rPh sb="62" eb="64">
      <t>ケイゲン</t>
    </rPh>
    <rPh sb="64" eb="66">
      <t>ゼイリツ</t>
    </rPh>
    <rPh sb="76" eb="78">
      <t>ウチゼイ</t>
    </rPh>
    <rPh sb="115" eb="118">
      <t>ヒカゼイ</t>
    </rPh>
    <rPh sb="127" eb="129">
      <t>ソトゼイ</t>
    </rPh>
    <rPh sb="141" eb="143">
      <t>ウチゼイ</t>
    </rPh>
    <rPh sb="155" eb="157">
      <t>ソトゼイ</t>
    </rPh>
    <rPh sb="160" eb="162">
      <t>ヘンピン</t>
    </rPh>
    <rPh sb="162" eb="163">
      <t>ヨウ</t>
    </rPh>
    <rPh sb="173" eb="175">
      <t>ウチゼイ</t>
    </rPh>
    <rPh sb="178" eb="180">
      <t>ヘンピン</t>
    </rPh>
    <rPh sb="180" eb="181">
      <t>ヨウ</t>
    </rPh>
    <phoneticPr fontId="6"/>
  </si>
  <si>
    <t>TaxConvertType</t>
    <phoneticPr fontId="6"/>
  </si>
  <si>
    <t>税変換種別</t>
    <rPh sb="0" eb="1">
      <t>ゼイ</t>
    </rPh>
    <rPh sb="1" eb="3">
      <t>ヘンカン</t>
    </rPh>
    <rPh sb="3" eb="5">
      <t>シュベツ</t>
    </rPh>
    <phoneticPr fontId="7"/>
  </si>
  <si>
    <t>int</t>
    <phoneticPr fontId="6"/>
  </si>
  <si>
    <t>税変換種別を設定する
0：変換なし　1：みなし内税</t>
    <rPh sb="6" eb="8">
      <t>セッテイ</t>
    </rPh>
    <rPh sb="13" eb="15">
      <t>ヘンカン</t>
    </rPh>
    <rPh sb="23" eb="25">
      <t>ウチゼイ</t>
    </rPh>
    <phoneticPr fontId="6"/>
  </si>
  <si>
    <t>Volume</t>
    <phoneticPr fontId="6"/>
  </si>
  <si>
    <t>容量</t>
    <phoneticPr fontId="7"/>
  </si>
  <si>
    <t>7, 0</t>
    <phoneticPr fontId="6"/>
  </si>
  <si>
    <t>NumberOfPiecesPerBox</t>
    <phoneticPr fontId="6"/>
  </si>
  <si>
    <t>入数</t>
    <phoneticPr fontId="7"/>
  </si>
  <si>
    <t>5, 0</t>
    <phoneticPr fontId="6"/>
  </si>
  <si>
    <t>IsCashOnly</t>
    <phoneticPr fontId="6"/>
  </si>
  <si>
    <t>現金以外決済不可フラグ</t>
    <phoneticPr fontId="7"/>
  </si>
  <si>
    <t>bit</t>
    <phoneticPr fontId="6"/>
  </si>
  <si>
    <t>支払方法を現金に限定するか否かを設定する
　NULL：上位参照
　0：現金以外決済可
　1：現金以外決済不可</t>
    <phoneticPr fontId="6"/>
  </si>
  <si>
    <t>IsItemManualDiscountProhibition</t>
    <phoneticPr fontId="6"/>
  </si>
  <si>
    <t>手動アイテム値引禁止フラグ</t>
    <phoneticPr fontId="7"/>
  </si>
  <si>
    <t>POS操作による値引を許可するか否かを設定する
　NULL：上位参照
　0：手動アイテム値引可
　1：手動アイテム値引不可</t>
    <phoneticPr fontId="6"/>
  </si>
  <si>
    <t>IsSubTotalDiscountProhibition</t>
    <phoneticPr fontId="6"/>
  </si>
  <si>
    <t>小計値引禁止フラグ</t>
    <phoneticPr fontId="7"/>
  </si>
  <si>
    <t>クーポン等による小計値引の対象とするか否かを設定する
　NULL：上位参照
　0：小計値引可
　1：小計値引不可</t>
    <phoneticPr fontId="6"/>
  </si>
  <si>
    <t>IsChangePriceProhibition</t>
    <phoneticPr fontId="6"/>
  </si>
  <si>
    <t>売価変更禁止フラグ</t>
    <phoneticPr fontId="7"/>
  </si>
  <si>
    <t>POS操作による売価変更を許可するか否かを設定する
　NULL：上位参照
　0：売価変更可
　1：売価変更不可</t>
    <phoneticPr fontId="6"/>
  </si>
  <si>
    <t>IsAutoDiscountProhibition</t>
    <phoneticPr fontId="6"/>
  </si>
  <si>
    <t>自動値引き不可フラグ</t>
    <phoneticPr fontId="7"/>
  </si>
  <si>
    <t>分類レベルでの自動値引設定にて値引の対象外とするか否かを設定する
　0：自動値引き可
　1：自動値引き不可</t>
    <rPh sb="0" eb="2">
      <t>ブンルイ</t>
    </rPh>
    <rPh sb="7" eb="9">
      <t>ジドウ</t>
    </rPh>
    <rPh sb="9" eb="11">
      <t>ネビキ</t>
    </rPh>
    <rPh sb="11" eb="13">
      <t>セッテイ</t>
    </rPh>
    <rPh sb="15" eb="17">
      <t>ネビキ</t>
    </rPh>
    <rPh sb="18" eb="21">
      <t>タイショウガイ</t>
    </rPh>
    <rPh sb="25" eb="26">
      <t>イナ</t>
    </rPh>
    <rPh sb="28" eb="30">
      <t>セッテイ</t>
    </rPh>
    <phoneticPr fontId="6"/>
  </si>
  <si>
    <t>IsUnitPriceForced</t>
    <phoneticPr fontId="6"/>
  </si>
  <si>
    <t>単価強制入力フラグ</t>
    <phoneticPr fontId="7"/>
  </si>
  <si>
    <t>商品登録時、単価入力を求めるか否かを設定する
　０：単価強制入力なし
　１：単価強制入力あり</t>
    <rPh sb="0" eb="2">
      <t>ショウヒン</t>
    </rPh>
    <rPh sb="2" eb="4">
      <t>トウロク</t>
    </rPh>
    <rPh sb="4" eb="5">
      <t>ジ</t>
    </rPh>
    <rPh sb="6" eb="8">
      <t>タンカ</t>
    </rPh>
    <rPh sb="8" eb="10">
      <t>ニュウリョク</t>
    </rPh>
    <rPh sb="11" eb="12">
      <t>モト</t>
    </rPh>
    <rPh sb="15" eb="16">
      <t>イナ</t>
    </rPh>
    <rPh sb="18" eb="20">
      <t>セッテイ</t>
    </rPh>
    <phoneticPr fontId="6"/>
  </si>
  <si>
    <t>IsPointProhibition</t>
    <phoneticPr fontId="6"/>
  </si>
  <si>
    <t>ポイント除外フラグ</t>
    <rPh sb="4" eb="6">
      <t>ジョガイ</t>
    </rPh>
    <phoneticPr fontId="7"/>
  </si>
  <si>
    <t>対象商品販売時、ポイント付与対象から除外するか否かを設定する
　NULL：上位参照
　0：ポイント対象
　1：ポイント対象外</t>
    <phoneticPr fontId="6"/>
  </si>
  <si>
    <t>SalesRestrictionItemArea</t>
    <phoneticPr fontId="6"/>
  </si>
  <si>
    <t>販売制限商品区分</t>
    <phoneticPr fontId="7"/>
  </si>
  <si>
    <t>設定ありで所属する分類にも販売制限商品区分が設定されている場合：《単品マスタ》の設定を採用
NULL：上位参照
1:分類なし
2:第1分類
3:指定第2分類
4:第2分類
5:第3分類
6:要指導</t>
    <rPh sb="9" eb="11">
      <t>ブンルイ</t>
    </rPh>
    <rPh sb="95" eb="96">
      <t>ヨウ</t>
    </rPh>
    <rPh sb="96" eb="98">
      <t>シドウ</t>
    </rPh>
    <phoneticPr fontId="6"/>
  </si>
  <si>
    <t>SalesAlertAge</t>
    <phoneticPr fontId="6"/>
  </si>
  <si>
    <t>販売制限年齢区分</t>
    <phoneticPr fontId="7"/>
  </si>
  <si>
    <t>3,0</t>
    <phoneticPr fontId="6"/>
  </si>
  <si>
    <t>年齢制限を行う場合のみ制限する年齢
(設定ありで所属する分類にも販売制限年齢が設定されている場合：《単品マスタ》の設定を採用
NULL：上位参照
0の場合：年齢制限なし)</t>
    <rPh sb="28" eb="30">
      <t>ブンルイ</t>
    </rPh>
    <phoneticPr fontId="6"/>
  </si>
  <si>
    <t>IsWarrantyReceiptPrint</t>
    <phoneticPr fontId="6"/>
  </si>
  <si>
    <t>保証書発行フラグ</t>
    <phoneticPr fontId="7"/>
  </si>
  <si>
    <t>対象商品販売時、保証書を発行するか否かを設定する
　0：発行しない
　1：発行する</t>
    <phoneticPr fontId="6"/>
  </si>
  <si>
    <t>PriorityType</t>
    <phoneticPr fontId="6"/>
  </si>
  <si>
    <t>重点区分</t>
    <rPh sb="0" eb="2">
      <t>ジュウテン</t>
    </rPh>
    <rPh sb="2" eb="4">
      <t>クブン</t>
    </rPh>
    <phoneticPr fontId="7"/>
  </si>
  <si>
    <t>smallint</t>
    <phoneticPr fontId="6"/>
  </si>
  <si>
    <t>重点対象商品か
　0：対象外
　1：対象</t>
    <rPh sb="0" eb="2">
      <t>ジュウテン</t>
    </rPh>
    <rPh sb="2" eb="4">
      <t>タイショウ</t>
    </rPh>
    <rPh sb="4" eb="6">
      <t>ショウヒン</t>
    </rPh>
    <rPh sb="11" eb="14">
      <t>タイショウガイ</t>
    </rPh>
    <rPh sb="18" eb="20">
      <t>タイショウ</t>
    </rPh>
    <phoneticPr fontId="6"/>
  </si>
  <si>
    <t>TaxFreeType</t>
    <phoneticPr fontId="6"/>
  </si>
  <si>
    <t>消費税免税タイプ</t>
    <rPh sb="0" eb="3">
      <t>ショウヒゼイ</t>
    </rPh>
    <rPh sb="3" eb="5">
      <t>メンゼイ</t>
    </rPh>
    <phoneticPr fontId="7"/>
  </si>
  <si>
    <t>免税販売時、対象商品の免税種別を設定する
　NULL：上位参照
　1：消耗品
　2：一般品</t>
    <phoneticPr fontId="6"/>
  </si>
  <si>
    <t>EmergencyFlag</t>
    <phoneticPr fontId="6"/>
  </si>
  <si>
    <t>緊急登録フラグ</t>
    <rPh sb="0" eb="2">
      <t>キンキュウ</t>
    </rPh>
    <rPh sb="2" eb="4">
      <t>トウロク</t>
    </rPh>
    <phoneticPr fontId="7"/>
  </si>
  <si>
    <t>緊急単品登録された商品か
0：緊急単品登録されていない　
1：緊急単品登録された</t>
    <rPh sb="2" eb="4">
      <t>タンピン</t>
    </rPh>
    <rPh sb="4" eb="6">
      <t>トウロク</t>
    </rPh>
    <rPh sb="9" eb="11">
      <t>ショウヒン</t>
    </rPh>
    <phoneticPr fontId="6"/>
  </si>
  <si>
    <t>IsSelfMedication</t>
    <phoneticPr fontId="6"/>
  </si>
  <si>
    <t>セルフメディケーションフラグ</t>
    <phoneticPr fontId="7"/>
  </si>
  <si>
    <t>セルフメディケーション
0：対象外
1：対象
NULL：対象外</t>
    <rPh sb="14" eb="16">
      <t>タイショウ</t>
    </rPh>
    <rPh sb="16" eb="17">
      <t>ガイ</t>
    </rPh>
    <rPh sb="28" eb="31">
      <t>タイショウガイ</t>
    </rPh>
    <phoneticPr fontId="6"/>
  </si>
  <si>
    <t>IsChangePriceBulk</t>
    <phoneticPr fontId="6"/>
  </si>
  <si>
    <t>売価一括変更フラグ</t>
    <phoneticPr fontId="7"/>
  </si>
  <si>
    <t>0：通常　1：売価一括変更
売価一括変更機能で、1：売価一括変更の商品を対象にメンテナンスする</t>
    <phoneticPr fontId="6"/>
  </si>
  <si>
    <t>HeadquartersLastUpdateDateTime</t>
    <phoneticPr fontId="6"/>
  </si>
  <si>
    <t>本部配信データとしての最終更新日時</t>
    <rPh sb="15" eb="17">
      <t>ニチジ</t>
    </rPh>
    <phoneticPr fontId="7"/>
  </si>
  <si>
    <t>datetime2</t>
    <phoneticPr fontId="6"/>
  </si>
  <si>
    <t>本部での登録日時</t>
    <phoneticPr fontId="6"/>
  </si>
  <si>
    <t>商品拡張マスタ　《ItemExMvkMaster》</t>
    <phoneticPr fontId="5"/>
  </si>
  <si>
    <t>会社コード</t>
    <rPh sb="0" eb="2">
      <t>カイシャ</t>
    </rPh>
    <phoneticPr fontId="5"/>
  </si>
  <si>
    <t>店舗コード</t>
    <rPh sb="0" eb="2">
      <t>テンポ</t>
    </rPh>
    <phoneticPr fontId="5"/>
  </si>
  <si>
    <t>WaonPoint</t>
    <phoneticPr fontId="6"/>
  </si>
  <si>
    <t>WAONポイント付与数</t>
    <rPh sb="8" eb="10">
      <t>フヨ</t>
    </rPh>
    <rPh sb="10" eb="11">
      <t>スウ</t>
    </rPh>
    <phoneticPr fontId="7"/>
  </si>
  <si>
    <t>5, 0</t>
    <phoneticPr fontId="5"/>
  </si>
  <si>
    <t>WAONボーナスポイント付与数</t>
    <rPh sb="12" eb="14">
      <t>フヨ</t>
    </rPh>
    <phoneticPr fontId="5"/>
  </si>
  <si>
    <t>WaonPointMediaType</t>
    <phoneticPr fontId="6"/>
  </si>
  <si>
    <t>取り扱いメディア区分</t>
    <phoneticPr fontId="7"/>
  </si>
  <si>
    <t>0:未設定 1:WAONボーナスポイント</t>
    <phoneticPr fontId="5"/>
  </si>
  <si>
    <t>IsTBPDiscountProhibition</t>
    <phoneticPr fontId="6"/>
  </si>
  <si>
    <t>TBP値引禁止フラグ</t>
    <rPh sb="3" eb="7">
      <t>ネビキキンシ</t>
    </rPh>
    <phoneticPr fontId="7"/>
  </si>
  <si>
    <t>分類マスタ　《MDHierarchyMaster》</t>
    <phoneticPr fontId="6"/>
  </si>
  <si>
    <t>MDHierarchyCode</t>
    <phoneticPr fontId="6"/>
  </si>
  <si>
    <t>分類コード</t>
    <rPh sb="0" eb="2">
      <t>ブンルイ</t>
    </rPh>
    <phoneticPr fontId="7"/>
  </si>
  <si>
    <t>各分類コードを設定する</t>
    <rPh sb="0" eb="1">
      <t>カク</t>
    </rPh>
    <rPh sb="1" eb="3">
      <t>ブンルイ</t>
    </rPh>
    <rPh sb="7" eb="9">
      <t>セッテイ</t>
    </rPh>
    <phoneticPr fontId="6"/>
  </si>
  <si>
    <t>MDHierarchyLevel</t>
    <phoneticPr fontId="6"/>
  </si>
  <si>
    <t>分類レベル</t>
    <rPh sb="0" eb="2">
      <t>ブンルイ</t>
    </rPh>
    <phoneticPr fontId="7"/>
  </si>
  <si>
    <t>各分類のレベルコードを設定する
　　"1"：部門
　　"2"：品種
　　"3"：品群
　　"4"：分類</t>
    <rPh sb="0" eb="1">
      <t>カク</t>
    </rPh>
    <rPh sb="1" eb="3">
      <t>ブンルイ</t>
    </rPh>
    <rPh sb="11" eb="13">
      <t>セッテイ</t>
    </rPh>
    <rPh sb="22" eb="24">
      <t>ブモン</t>
    </rPh>
    <rPh sb="31" eb="33">
      <t>ヒンシュ</t>
    </rPh>
    <rPh sb="40" eb="41">
      <t>ヒン</t>
    </rPh>
    <rPh sb="41" eb="42">
      <t>グン</t>
    </rPh>
    <rPh sb="49" eb="51">
      <t>ブンルイ</t>
    </rPh>
    <phoneticPr fontId="6"/>
  </si>
  <si>
    <t>利用開始日を設定する</t>
    <rPh sb="0" eb="2">
      <t>リヨウ</t>
    </rPh>
    <rPh sb="2" eb="5">
      <t>カイシビ</t>
    </rPh>
    <rPh sb="6" eb="8">
      <t>セッテイ</t>
    </rPh>
    <phoneticPr fontId="6"/>
  </si>
  <si>
    <t>各分類コードが属する上位の分類コード
　※分類レベルが「"1"：部門」である場合、NULL固定</t>
    <rPh sb="0" eb="1">
      <t>カク</t>
    </rPh>
    <rPh sb="1" eb="3">
      <t>ブンルイ</t>
    </rPh>
    <rPh sb="13" eb="15">
      <t>ブンルイ</t>
    </rPh>
    <rPh sb="21" eb="23">
      <t>ブンルイ</t>
    </rPh>
    <rPh sb="32" eb="34">
      <t>ブモン</t>
    </rPh>
    <rPh sb="38" eb="40">
      <t>バアイ</t>
    </rPh>
    <rPh sb="45" eb="47">
      <t>コテイ</t>
    </rPh>
    <phoneticPr fontId="6"/>
  </si>
  <si>
    <t>ParentHierarchyLevel</t>
    <phoneticPr fontId="6"/>
  </si>
  <si>
    <t>親分類レベルコード</t>
    <rPh sb="1" eb="3">
      <t>ブンルイ</t>
    </rPh>
    <phoneticPr fontId="7"/>
  </si>
  <si>
    <t>各分類コードが属する上位の分類のレベルコードを設定する
　※MD階層レベルが「"1"：部門」である場合、NULL固定</t>
    <rPh sb="0" eb="1">
      <t>カク</t>
    </rPh>
    <rPh sb="1" eb="3">
      <t>ブンルイ</t>
    </rPh>
    <rPh sb="7" eb="8">
      <t>ゾク</t>
    </rPh>
    <rPh sb="10" eb="12">
      <t>ジョウイ</t>
    </rPh>
    <rPh sb="13" eb="15">
      <t>ブンルイ</t>
    </rPh>
    <rPh sb="23" eb="25">
      <t>セッテイ</t>
    </rPh>
    <rPh sb="43" eb="45">
      <t>ブモン</t>
    </rPh>
    <phoneticPr fontId="6"/>
  </si>
  <si>
    <t>画面、レシート、ラインディスプレイにて使用</t>
    <phoneticPr fontId="6"/>
  </si>
  <si>
    <t>ラインディスプレイ（半角カナ用）にて使用</t>
    <phoneticPr fontId="6"/>
  </si>
  <si>
    <t>DepartmentTypeCode</t>
    <phoneticPr fontId="6"/>
  </si>
  <si>
    <t>部門区分コード</t>
    <phoneticPr fontId="7"/>
  </si>
  <si>
    <t>売上部門を設定する
「通常商品、売上外商品」を別けて集計します。
　　"00"：通常
　　"01"：売上外</t>
    <rPh sb="0" eb="2">
      <t>ウリアゲ</t>
    </rPh>
    <rPh sb="2" eb="4">
      <t>ブモン</t>
    </rPh>
    <rPh sb="5" eb="7">
      <t>セッテイ</t>
    </rPh>
    <rPh sb="23" eb="24">
      <t>ワ</t>
    </rPh>
    <rPh sb="26" eb="28">
      <t>シュウケイ</t>
    </rPh>
    <phoneticPr fontId="6"/>
  </si>
  <si>
    <t>支払方法を現金に限定するか否かを設定する
　NULL：上位参照
　0：現金以外決済可
　1：現金以外決済不可</t>
    <rPh sb="0" eb="2">
      <t>シハラ</t>
    </rPh>
    <rPh sb="2" eb="4">
      <t>ホウホウ</t>
    </rPh>
    <rPh sb="5" eb="7">
      <t>ゲンキン</t>
    </rPh>
    <rPh sb="8" eb="10">
      <t>ゲンテイ</t>
    </rPh>
    <rPh sb="13" eb="14">
      <t>イナ</t>
    </rPh>
    <rPh sb="16" eb="18">
      <t>セッテイ</t>
    </rPh>
    <phoneticPr fontId="6"/>
  </si>
  <si>
    <t>POS操作による値引を許可するか否かを設定する
　NULL：上位参照
　0：手動アイテム値引可
　1：手動アイテム値引不可</t>
    <rPh sb="3" eb="5">
      <t>ソウサ</t>
    </rPh>
    <rPh sb="8" eb="10">
      <t>ネビキ</t>
    </rPh>
    <rPh sb="11" eb="13">
      <t>キョカ</t>
    </rPh>
    <rPh sb="16" eb="17">
      <t>イナ</t>
    </rPh>
    <rPh sb="19" eb="21">
      <t>セッテイ</t>
    </rPh>
    <phoneticPr fontId="6"/>
  </si>
  <si>
    <t>クーポン等による小計値引の対象とするか否かを設定する
　NULL：上位参照
　0：小計値引対象
　1：小計値引対象外</t>
    <rPh sb="4" eb="5">
      <t>トウ</t>
    </rPh>
    <rPh sb="8" eb="10">
      <t>ショウケイ</t>
    </rPh>
    <rPh sb="10" eb="12">
      <t>ネビキ</t>
    </rPh>
    <rPh sb="13" eb="15">
      <t>タイショウ</t>
    </rPh>
    <rPh sb="19" eb="20">
      <t>イナ</t>
    </rPh>
    <rPh sb="22" eb="24">
      <t>セッテイ</t>
    </rPh>
    <rPh sb="45" eb="47">
      <t>タイショウ</t>
    </rPh>
    <rPh sb="55" eb="58">
      <t>タイショウガイ</t>
    </rPh>
    <phoneticPr fontId="6"/>
  </si>
  <si>
    <t>POS操作による売価変更を許可するか否かを設定する
　NULL：上位参照
　0：売価変更可
　1：売価変更不可</t>
    <rPh sb="3" eb="5">
      <t>ソウサ</t>
    </rPh>
    <rPh sb="8" eb="10">
      <t>バイカ</t>
    </rPh>
    <rPh sb="10" eb="12">
      <t>ヘンコウ</t>
    </rPh>
    <rPh sb="13" eb="15">
      <t>キョカ</t>
    </rPh>
    <rPh sb="18" eb="19">
      <t>イナ</t>
    </rPh>
    <rPh sb="21" eb="23">
      <t>セッテイ</t>
    </rPh>
    <phoneticPr fontId="6"/>
  </si>
  <si>
    <t>(設定ありで所属する分類にも販売制限商品区分が設定されている場合：《単品マスタ》の設定を採用
NULL：上位参照)
1:分類なし
2:第1分類
3:指定第2分類
4:第2分類
5:第3分類
6:要指導</t>
    <rPh sb="10" eb="12">
      <t>ブンルイ</t>
    </rPh>
    <phoneticPr fontId="6"/>
  </si>
  <si>
    <t>販売制限年齢</t>
    <phoneticPr fontId="7"/>
  </si>
  <si>
    <t>対象商品販売時、保証書を発行するか否かを設定する
（単品指定のみ）
　0：発行しない
　1：発行する</t>
    <rPh sb="0" eb="2">
      <t>タイショウ</t>
    </rPh>
    <rPh sb="2" eb="4">
      <t>ショウヒン</t>
    </rPh>
    <rPh sb="4" eb="6">
      <t>ハンバイ</t>
    </rPh>
    <rPh sb="6" eb="7">
      <t>ジ</t>
    </rPh>
    <rPh sb="8" eb="11">
      <t>ホショウショ</t>
    </rPh>
    <rPh sb="12" eb="14">
      <t>ハッコウ</t>
    </rPh>
    <rPh sb="17" eb="18">
      <t>イナ</t>
    </rPh>
    <rPh sb="20" eb="22">
      <t>セッテイ</t>
    </rPh>
    <rPh sb="26" eb="28">
      <t>タンピン</t>
    </rPh>
    <rPh sb="28" eb="30">
      <t>シテイ</t>
    </rPh>
    <phoneticPr fontId="6"/>
  </si>
  <si>
    <t>対象商品販売時、ポイント付与対象から除外するか否かを設定する
　NULL：上位参照
　0：ポイント対象
　1：ポイント対象外
※但し、WAONポイント除外対象は当項目の値を利用せずに実現している</t>
    <rPh sb="0" eb="2">
      <t>タイショウ</t>
    </rPh>
    <rPh sb="2" eb="4">
      <t>ショウヒン</t>
    </rPh>
    <rPh sb="4" eb="6">
      <t>ハンバイ</t>
    </rPh>
    <rPh sb="6" eb="7">
      <t>ジ</t>
    </rPh>
    <rPh sb="12" eb="14">
      <t>フヨ</t>
    </rPh>
    <rPh sb="14" eb="16">
      <t>タイショウ</t>
    </rPh>
    <rPh sb="18" eb="20">
      <t>ジョガイ</t>
    </rPh>
    <rPh sb="23" eb="24">
      <t>イナ</t>
    </rPh>
    <rPh sb="26" eb="28">
      <t>セッテイ</t>
    </rPh>
    <rPh sb="64" eb="65">
      <t>タダ</t>
    </rPh>
    <rPh sb="75" eb="77">
      <t>ジョガイ</t>
    </rPh>
    <rPh sb="77" eb="79">
      <t>タイショウ</t>
    </rPh>
    <rPh sb="80" eb="81">
      <t>トウ</t>
    </rPh>
    <rPh sb="81" eb="83">
      <t>コウモク</t>
    </rPh>
    <rPh sb="84" eb="85">
      <t>アタイ</t>
    </rPh>
    <rPh sb="86" eb="88">
      <t>リヨウ</t>
    </rPh>
    <rPh sb="91" eb="93">
      <t>ジツゲン</t>
    </rPh>
    <phoneticPr fontId="6"/>
  </si>
  <si>
    <t>PointRate</t>
    <phoneticPr fontId="6"/>
  </si>
  <si>
    <t>ポイント率</t>
    <rPh sb="4" eb="5">
      <t>リツ</t>
    </rPh>
    <phoneticPr fontId="7"/>
  </si>
  <si>
    <t>ポイント率</t>
    <rPh sb="4" eb="5">
      <t>リツ</t>
    </rPh>
    <phoneticPr fontId="6"/>
  </si>
  <si>
    <t>CostRate</t>
    <phoneticPr fontId="6"/>
  </si>
  <si>
    <t>原価率</t>
    <rPh sb="0" eb="2">
      <t>ゲンカ</t>
    </rPh>
    <rPh sb="2" eb="3">
      <t>リツ</t>
    </rPh>
    <phoneticPr fontId="7"/>
  </si>
  <si>
    <t>原価率</t>
    <rPh sb="0" eb="2">
      <t>ゲンカ</t>
    </rPh>
    <rPh sb="2" eb="3">
      <t>リツ</t>
    </rPh>
    <phoneticPr fontId="6"/>
  </si>
  <si>
    <t>免税販売時、対象商品の免税種別を設定する
　NULL：上位参照
　1：消耗品
　2：一般品</t>
    <rPh sb="0" eb="2">
      <t>メンゼイ</t>
    </rPh>
    <rPh sb="2" eb="4">
      <t>ハンバイ</t>
    </rPh>
    <rPh sb="4" eb="5">
      <t>ジ</t>
    </rPh>
    <rPh sb="6" eb="8">
      <t>タイショウ</t>
    </rPh>
    <rPh sb="8" eb="10">
      <t>ショウヒン</t>
    </rPh>
    <rPh sb="11" eb="13">
      <t>メンゼイ</t>
    </rPh>
    <rPh sb="13" eb="15">
      <t>シュベツ</t>
    </rPh>
    <rPh sb="16" eb="18">
      <t>セッテイ</t>
    </rPh>
    <phoneticPr fontId="6"/>
  </si>
  <si>
    <t>分類拡張マスタ　《MDHierarchyExMvkMaster》</t>
    <rPh sb="2" eb="4">
      <t>カクチョウ</t>
    </rPh>
    <phoneticPr fontId="6"/>
  </si>
  <si>
    <t>MD階層コード</t>
    <phoneticPr fontId="7"/>
  </si>
  <si>
    <t>MD階層レベル</t>
    <phoneticPr fontId="7"/>
  </si>
  <si>
    <t>WaonPointRate</t>
    <phoneticPr fontId="6"/>
  </si>
  <si>
    <t>WAONポイント倍率</t>
    <rPh sb="8" eb="10">
      <t>バイリツ</t>
    </rPh>
    <phoneticPr fontId="7"/>
  </si>
  <si>
    <t>3, 0</t>
    <phoneticPr fontId="5"/>
  </si>
  <si>
    <t>WAON倍率情報（0～255）</t>
    <phoneticPr fontId="6"/>
  </si>
  <si>
    <t>WaonPointStartDateTime</t>
    <phoneticPr fontId="6"/>
  </si>
  <si>
    <t>WAONポイント付与開始日時</t>
    <rPh sb="8" eb="10">
      <t>フヨ</t>
    </rPh>
    <rPh sb="10" eb="12">
      <t>カイシ</t>
    </rPh>
    <rPh sb="12" eb="14">
      <t>ニチジ</t>
    </rPh>
    <phoneticPr fontId="7"/>
  </si>
  <si>
    <t>WAON倍率有効期間 開始日時</t>
    <phoneticPr fontId="6"/>
  </si>
  <si>
    <t>WaonPointEndDateTime</t>
    <phoneticPr fontId="6"/>
  </si>
  <si>
    <t>WAONポイント付与終了日時</t>
    <rPh sb="8" eb="10">
      <t>フヨ</t>
    </rPh>
    <rPh sb="10" eb="12">
      <t>シュウリョウ</t>
    </rPh>
    <rPh sb="12" eb="14">
      <t>ニチジ</t>
    </rPh>
    <phoneticPr fontId="7"/>
  </si>
  <si>
    <t>WAON倍率有効期間 終了日時</t>
    <phoneticPr fontId="6"/>
  </si>
  <si>
    <t>特売マスタ　《SpecialPriceKsmMaster》</t>
    <phoneticPr fontId="6"/>
  </si>
  <si>
    <t>ScheduleNo</t>
    <phoneticPr fontId="6"/>
  </si>
  <si>
    <t>スケジュール番号</t>
    <rPh sb="6" eb="8">
      <t>バンゴウ</t>
    </rPh>
    <phoneticPr fontId="7"/>
  </si>
  <si>
    <t>販促のスケジュール番号</t>
    <rPh sb="0" eb="2">
      <t>ハンソク</t>
    </rPh>
    <rPh sb="9" eb="11">
      <t>バンゴウ</t>
    </rPh>
    <phoneticPr fontId="5"/>
  </si>
  <si>
    <t>mod v1_0r6</t>
    <phoneticPr fontId="5"/>
  </si>
  <si>
    <t>PromotionCode</t>
    <phoneticPr fontId="6"/>
  </si>
  <si>
    <t>販促コード</t>
    <phoneticPr fontId="7"/>
  </si>
  <si>
    <t>特売を管理する企画コードを設定する</t>
    <phoneticPr fontId="5"/>
  </si>
  <si>
    <t>SpecialPriceTypeCode</t>
    <phoneticPr fontId="6"/>
  </si>
  <si>
    <t>特売タイプコード</t>
    <rPh sb="0" eb="2">
      <t>トクバイ</t>
    </rPh>
    <phoneticPr fontId="7"/>
  </si>
  <si>
    <t>特売タイプを設定する
01：タイムサービス
02：期間特売</t>
    <rPh sb="0" eb="2">
      <t>トクバイ</t>
    </rPh>
    <rPh sb="6" eb="8">
      <t>セッテイ</t>
    </rPh>
    <phoneticPr fontId="5"/>
  </si>
  <si>
    <t>単品コード</t>
    <rPh sb="0" eb="2">
      <t>タンピン</t>
    </rPh>
    <phoneticPr fontId="7"/>
  </si>
  <si>
    <t>対象となる単品コードを設定する</t>
    <rPh sb="5" eb="7">
      <t>タンピン</t>
    </rPh>
    <phoneticPr fontId="5"/>
  </si>
  <si>
    <t>DiscountMethodCode</t>
    <phoneticPr fontId="6"/>
  </si>
  <si>
    <t>値引方法コード</t>
    <rPh sb="0" eb="2">
      <t>ネビ</t>
    </rPh>
    <phoneticPr fontId="7"/>
  </si>
  <si>
    <t>値引方法コードを設定する
　01：値引
　02：割引
　03：金額指定</t>
    <rPh sb="0" eb="2">
      <t>ネビキ</t>
    </rPh>
    <rPh sb="2" eb="4">
      <t>ホウホウ</t>
    </rPh>
    <rPh sb="8" eb="10">
      <t>セッテイ</t>
    </rPh>
    <rPh sb="17" eb="19">
      <t>ネビキ</t>
    </rPh>
    <rPh sb="24" eb="26">
      <t>ワリビキ</t>
    </rPh>
    <rPh sb="31" eb="33">
      <t>キンガク</t>
    </rPh>
    <rPh sb="33" eb="35">
      <t>シテイ</t>
    </rPh>
    <phoneticPr fontId="5"/>
  </si>
  <si>
    <t>DiscountValue</t>
    <phoneticPr fontId="6"/>
  </si>
  <si>
    <t>値引金額/率</t>
    <phoneticPr fontId="7"/>
  </si>
  <si>
    <t>特売商品販売時の販売単価/値引額/率（値引方法コードにより金額/割引率で意味が変わります）</t>
    <rPh sb="0" eb="2">
      <t>トクバイ</t>
    </rPh>
    <rPh sb="2" eb="4">
      <t>ショウヒン</t>
    </rPh>
    <rPh sb="4" eb="6">
      <t>ハンバイ</t>
    </rPh>
    <rPh sb="6" eb="7">
      <t>ドキ</t>
    </rPh>
    <rPh sb="8" eb="10">
      <t>ハンバイ</t>
    </rPh>
    <rPh sb="10" eb="12">
      <t>タンカ</t>
    </rPh>
    <rPh sb="13" eb="15">
      <t>ネビキ</t>
    </rPh>
    <rPh sb="15" eb="16">
      <t>ガク</t>
    </rPh>
    <rPh sb="17" eb="18">
      <t>リツ</t>
    </rPh>
    <rPh sb="19" eb="21">
      <t>ネビキ</t>
    </rPh>
    <rPh sb="21" eb="23">
      <t>ホウホウ</t>
    </rPh>
    <rPh sb="29" eb="31">
      <t>キンガク</t>
    </rPh>
    <rPh sb="32" eb="34">
      <t>ワリビキ</t>
    </rPh>
    <rPh sb="34" eb="35">
      <t>リツ</t>
    </rPh>
    <rPh sb="36" eb="38">
      <t>イミ</t>
    </rPh>
    <rPh sb="39" eb="40">
      <t>カ</t>
    </rPh>
    <phoneticPr fontId="5"/>
  </si>
  <si>
    <t>SpecialPrice</t>
    <phoneticPr fontId="6"/>
  </si>
  <si>
    <t>特売値段</t>
    <phoneticPr fontId="7"/>
  </si>
  <si>
    <t>値引方法コードが01：値引、02：割引の場合、0を設定</t>
    <rPh sb="11" eb="13">
      <t>ネビキ</t>
    </rPh>
    <rPh sb="17" eb="19">
      <t>ワリビキ</t>
    </rPh>
    <rPh sb="20" eb="22">
      <t>バアイ</t>
    </rPh>
    <rPh sb="25" eb="27">
      <t>セッテイ</t>
    </rPh>
    <phoneticPr fontId="5"/>
  </si>
  <si>
    <t>SpecialCostPrice</t>
    <phoneticPr fontId="6"/>
  </si>
  <si>
    <t>特売原価</t>
    <rPh sb="0" eb="2">
      <t>トクバイ</t>
    </rPh>
    <rPh sb="2" eb="4">
      <t>ゲンカ</t>
    </rPh>
    <phoneticPr fontId="7"/>
  </si>
  <si>
    <t>特売商品の原価を設定する。
原価額ではなく値入率で管理する場合はNULLとする
※特売原価、特売値入率が未設定(NULL)の場合、商品マスタの原価、値入率が採用される</t>
    <rPh sb="21" eb="23">
      <t>ネイレ</t>
    </rPh>
    <rPh sb="23" eb="24">
      <t>リツ</t>
    </rPh>
    <rPh sb="41" eb="43">
      <t>トクバイ</t>
    </rPh>
    <rPh sb="46" eb="48">
      <t>トクバイ</t>
    </rPh>
    <rPh sb="48" eb="49">
      <t>ネ</t>
    </rPh>
    <rPh sb="49" eb="50">
      <t>イ</t>
    </rPh>
    <rPh sb="50" eb="51">
      <t>リツ</t>
    </rPh>
    <rPh sb="74" eb="75">
      <t>ネ</t>
    </rPh>
    <rPh sb="75" eb="76">
      <t>イ</t>
    </rPh>
    <rPh sb="76" eb="77">
      <t>リツ</t>
    </rPh>
    <phoneticPr fontId="5"/>
  </si>
  <si>
    <t>SpecialMarkupRatio</t>
    <phoneticPr fontId="6"/>
  </si>
  <si>
    <t>特売値入率</t>
    <rPh sb="0" eb="2">
      <t>トクバイ</t>
    </rPh>
    <rPh sb="3" eb="4">
      <t>ハイ</t>
    </rPh>
    <rPh sb="4" eb="5">
      <t>リツ</t>
    </rPh>
    <phoneticPr fontId="7"/>
  </si>
  <si>
    <t>5, 2</t>
  </si>
  <si>
    <t>特売商品の粗利率を設定する（100-原価率)
値入率ではなく原価額で管理する場合はNULLとする
※特売原価、特売値入率が未設定(NULL)の場合、商品マスタの原価、値入率が採用される</t>
    <rPh sb="23" eb="25">
      <t>ネイレ</t>
    </rPh>
    <phoneticPr fontId="5"/>
  </si>
  <si>
    <t>Name</t>
    <phoneticPr fontId="6"/>
  </si>
  <si>
    <t>名称</t>
    <phoneticPr fontId="7"/>
  </si>
  <si>
    <t>特売商品の名称を設定する
画面、レシートにて使用</t>
    <rPh sb="0" eb="2">
      <t>トクバイ</t>
    </rPh>
    <rPh sb="2" eb="4">
      <t>ショウヒン</t>
    </rPh>
    <rPh sb="5" eb="7">
      <t>メイショウ</t>
    </rPh>
    <rPh sb="8" eb="10">
      <t>セッテイ</t>
    </rPh>
    <rPh sb="13" eb="15">
      <t>ガメン</t>
    </rPh>
    <rPh sb="22" eb="24">
      <t>シヨウ</t>
    </rPh>
    <phoneticPr fontId="5"/>
  </si>
  <si>
    <t>StartDateTime</t>
    <phoneticPr fontId="6"/>
  </si>
  <si>
    <t>開始日時</t>
    <phoneticPr fontId="7"/>
  </si>
  <si>
    <t>特売販売の開始日時（システム日時）を設定する_x000D_
"YYYY-MM-DD hh:mm:ss.sssssss"の形式で設定する</t>
    <phoneticPr fontId="5"/>
  </si>
  <si>
    <t>EndDateTime</t>
    <phoneticPr fontId="6"/>
  </si>
  <si>
    <t>終了日時</t>
    <phoneticPr fontId="7"/>
  </si>
  <si>
    <t>特売販売の終了日時（システム日時）を設定する_x000D_
"YYYY-MM-DD hh:mm:ss.sssssss"の形式で設定する</t>
    <phoneticPr fontId="5"/>
  </si>
  <si>
    <t>DateCategorizeTypeCode</t>
    <phoneticPr fontId="6"/>
  </si>
  <si>
    <t>採用曜日区分</t>
    <phoneticPr fontId="7"/>
  </si>
  <si>
    <t>1：全曜日
2：曜日指定
※2以外の場合、月曜日フラグ～日曜日フラグの内容は無視する</t>
    <phoneticPr fontId="5"/>
  </si>
  <si>
    <t>IsMonday</t>
    <phoneticPr fontId="6"/>
  </si>
  <si>
    <t>月曜日実施フラグ</t>
    <phoneticPr fontId="7"/>
  </si>
  <si>
    <t>特売期間の内、月曜日に特売を行うか否かを設定する
　0：未実施
　1：実施</t>
    <rPh sb="0" eb="2">
      <t>トクバイ</t>
    </rPh>
    <rPh sb="2" eb="4">
      <t>キカン</t>
    </rPh>
    <rPh sb="5" eb="6">
      <t>ウチ</t>
    </rPh>
    <rPh sb="7" eb="10">
      <t>ゲツヨウビ</t>
    </rPh>
    <rPh sb="11" eb="13">
      <t>トクバイ</t>
    </rPh>
    <rPh sb="14" eb="15">
      <t>オコナ</t>
    </rPh>
    <rPh sb="17" eb="18">
      <t>イナ</t>
    </rPh>
    <rPh sb="20" eb="22">
      <t>セッテイ</t>
    </rPh>
    <rPh sb="28" eb="31">
      <t>ミジッシ</t>
    </rPh>
    <rPh sb="35" eb="37">
      <t>ジッシ</t>
    </rPh>
    <phoneticPr fontId="5"/>
  </si>
  <si>
    <t>IsTuesday</t>
    <phoneticPr fontId="6"/>
  </si>
  <si>
    <t>火曜日実施フラグ</t>
    <phoneticPr fontId="7"/>
  </si>
  <si>
    <t>特売期間の内、火曜日に特売を行うか否かを設定する
　0：未実施
　1：実施</t>
    <phoneticPr fontId="5"/>
  </si>
  <si>
    <t>IsWednesday</t>
    <phoneticPr fontId="6"/>
  </si>
  <si>
    <t>水曜日実施フラグ</t>
    <phoneticPr fontId="7"/>
  </si>
  <si>
    <t>特売期間の内、水曜日に特売を行うか否かを設定する
　0：未実施
　1：実施</t>
    <phoneticPr fontId="5"/>
  </si>
  <si>
    <t>IsThursday</t>
    <phoneticPr fontId="6"/>
  </si>
  <si>
    <t>木曜日実施フラグ</t>
    <phoneticPr fontId="7"/>
  </si>
  <si>
    <t>特売期間の内、木曜日に特売を行うか否かを設定する
　0：未実施
　1：実施</t>
    <phoneticPr fontId="5"/>
  </si>
  <si>
    <t>IsFriday</t>
    <phoneticPr fontId="6"/>
  </si>
  <si>
    <t>金曜日実施フラグ</t>
    <phoneticPr fontId="7"/>
  </si>
  <si>
    <t>特売期間の内、金曜日に特売を行うか否かを設定する
　0：未実施
　1：実施</t>
    <phoneticPr fontId="5"/>
  </si>
  <si>
    <t>IsSaturday</t>
    <phoneticPr fontId="6"/>
  </si>
  <si>
    <t>土曜日実施フラグ</t>
    <phoneticPr fontId="7"/>
  </si>
  <si>
    <t>特売期間の内、土曜日に特売を行うか否かを設定する
　0：未実施
　1：実施</t>
    <phoneticPr fontId="5"/>
  </si>
  <si>
    <t>IsSunday</t>
    <phoneticPr fontId="6"/>
  </si>
  <si>
    <t>日曜日実施フラグ</t>
    <phoneticPr fontId="7"/>
  </si>
  <si>
    <t>特売期間の内、日曜日に特売を行うか否かを設定する
　0：未実施
　1：実施</t>
    <rPh sb="7" eb="9">
      <t>ニチヨウ</t>
    </rPh>
    <phoneticPr fontId="5"/>
  </si>
  <si>
    <t>MMマスタ　《CombinationKsmMaster》</t>
    <phoneticPr fontId="6"/>
  </si>
  <si>
    <t>CombinationCode</t>
    <phoneticPr fontId="6"/>
  </si>
  <si>
    <t>ミックスマッチコード</t>
    <phoneticPr fontId="7"/>
  </si>
  <si>
    <t>ミックスマッチを管理するコードを設定する
※以降、企画販売と記載する</t>
    <rPh sb="8" eb="10">
      <t>カンリ</t>
    </rPh>
    <rPh sb="16" eb="18">
      <t>セッテイ</t>
    </rPh>
    <rPh sb="22" eb="24">
      <t>イコウ</t>
    </rPh>
    <rPh sb="25" eb="27">
      <t>キカク</t>
    </rPh>
    <rPh sb="27" eb="29">
      <t>ハンバイ</t>
    </rPh>
    <rPh sb="30" eb="32">
      <t>キサイ</t>
    </rPh>
    <phoneticPr fontId="6"/>
  </si>
  <si>
    <t>説明　（企画名称）</t>
    <rPh sb="0" eb="2">
      <t>セツメイ</t>
    </rPh>
    <rPh sb="4" eb="6">
      <t>キカク</t>
    </rPh>
    <rPh sb="6" eb="8">
      <t>メイショウ</t>
    </rPh>
    <phoneticPr fontId="7"/>
  </si>
  <si>
    <t>30桁（全角名称15文字）</t>
    <rPh sb="2" eb="3">
      <t>ケタ</t>
    </rPh>
    <phoneticPr fontId="6"/>
  </si>
  <si>
    <t>企画コード</t>
    <rPh sb="0" eb="2">
      <t>キカク</t>
    </rPh>
    <phoneticPr fontId="7"/>
  </si>
  <si>
    <t>企画販売を管理する企画コードを設定する</t>
    <rPh sb="0" eb="2">
      <t>キカク</t>
    </rPh>
    <rPh sb="2" eb="4">
      <t>ハンバイ</t>
    </rPh>
    <rPh sb="5" eb="7">
      <t>カンリ</t>
    </rPh>
    <rPh sb="9" eb="11">
      <t>キカク</t>
    </rPh>
    <rPh sb="15" eb="17">
      <t>セッテイ</t>
    </rPh>
    <phoneticPr fontId="6"/>
  </si>
  <si>
    <t>CombinationType</t>
    <phoneticPr fontId="6"/>
  </si>
  <si>
    <t>ミックスマッチタイプ</t>
    <phoneticPr fontId="7"/>
  </si>
  <si>
    <t>1桁
2：バンドルミックス
3：ペアマッチ…未使用</t>
    <rPh sb="22" eb="25">
      <t>ミシヨウ</t>
    </rPh>
    <phoneticPr fontId="6"/>
  </si>
  <si>
    <t>企画販売の開始日（システム日付）を設定する
"YYYY-MM-DD hh:mm:ss.sssssss"の形式で設定する</t>
    <rPh sb="0" eb="2">
      <t>キカク</t>
    </rPh>
    <rPh sb="2" eb="4">
      <t>ハンバイ</t>
    </rPh>
    <rPh sb="5" eb="8">
      <t>カイシヒ</t>
    </rPh>
    <rPh sb="13" eb="15">
      <t>ヒヅケ</t>
    </rPh>
    <rPh sb="17" eb="19">
      <t>セッテイ</t>
    </rPh>
    <phoneticPr fontId="6"/>
  </si>
  <si>
    <t>企画販売の終了日（システム日付）を設定する
"YYYY-MM-DD hh:mm:ss.sssssss"の形式で設定する</t>
    <rPh sb="5" eb="7">
      <t>シュウリョウ</t>
    </rPh>
    <rPh sb="13" eb="15">
      <t>ヒヅケ</t>
    </rPh>
    <phoneticPr fontId="6"/>
  </si>
  <si>
    <t>CombinationCount1</t>
    <phoneticPr fontId="6"/>
  </si>
  <si>
    <t>成立数１</t>
    <rPh sb="0" eb="2">
      <t>セイリツ</t>
    </rPh>
    <rPh sb="2" eb="3">
      <t>スウ</t>
    </rPh>
    <phoneticPr fontId="7"/>
  </si>
  <si>
    <t>１段階目のバンドルが成立する個数</t>
    <rPh sb="1" eb="3">
      <t>ダンカイ</t>
    </rPh>
    <rPh sb="3" eb="4">
      <t>メ</t>
    </rPh>
    <rPh sb="10" eb="12">
      <t>セイリツ</t>
    </rPh>
    <rPh sb="14" eb="16">
      <t>コスウ</t>
    </rPh>
    <phoneticPr fontId="6"/>
  </si>
  <si>
    <t>CombinationPrice1</t>
    <phoneticPr fontId="6"/>
  </si>
  <si>
    <t>成立価格１</t>
    <rPh sb="0" eb="2">
      <t>セイリツ</t>
    </rPh>
    <rPh sb="2" eb="4">
      <t>カカク</t>
    </rPh>
    <phoneticPr fontId="7"/>
  </si>
  <si>
    <t>１段階目のバンドルが成立した場合の販売金額</t>
    <rPh sb="1" eb="3">
      <t>ダンカイ</t>
    </rPh>
    <rPh sb="3" eb="4">
      <t>メ</t>
    </rPh>
    <rPh sb="10" eb="12">
      <t>セイリツ</t>
    </rPh>
    <rPh sb="14" eb="16">
      <t>バアイ</t>
    </rPh>
    <rPh sb="17" eb="19">
      <t>ハンバイ</t>
    </rPh>
    <rPh sb="19" eb="21">
      <t>キンガク</t>
    </rPh>
    <phoneticPr fontId="6"/>
  </si>
  <si>
    <t>CombinationOnePrice1</t>
    <phoneticPr fontId="6"/>
  </si>
  <si>
    <t>成立後単品価格１</t>
    <rPh sb="0" eb="2">
      <t>セイリツ</t>
    </rPh>
    <rPh sb="2" eb="3">
      <t>ゴ</t>
    </rPh>
    <rPh sb="3" eb="5">
      <t>タンピン</t>
    </rPh>
    <rPh sb="5" eb="7">
      <t>カカク</t>
    </rPh>
    <phoneticPr fontId="7"/>
  </si>
  <si>
    <t>１段階目のバンドルの溢れ単品価格</t>
    <rPh sb="10" eb="11">
      <t>アフ</t>
    </rPh>
    <rPh sb="12" eb="14">
      <t>タンピン</t>
    </rPh>
    <rPh sb="14" eb="16">
      <t>カカク</t>
    </rPh>
    <phoneticPr fontId="6"/>
  </si>
  <si>
    <t>CombinationCount2</t>
    <phoneticPr fontId="6"/>
  </si>
  <si>
    <t>成立数２</t>
    <rPh sb="0" eb="2">
      <t>セイリツ</t>
    </rPh>
    <rPh sb="2" eb="3">
      <t>スウ</t>
    </rPh>
    <phoneticPr fontId="7"/>
  </si>
  <si>
    <t>２段階目のバンドルが成立する個数</t>
    <rPh sb="1" eb="3">
      <t>ダンカイ</t>
    </rPh>
    <rPh sb="3" eb="4">
      <t>メ</t>
    </rPh>
    <rPh sb="10" eb="12">
      <t>セイリツ</t>
    </rPh>
    <rPh sb="14" eb="16">
      <t>コスウ</t>
    </rPh>
    <phoneticPr fontId="6"/>
  </si>
  <si>
    <t>CombinationPrice2</t>
    <phoneticPr fontId="6"/>
  </si>
  <si>
    <t>成立価格２</t>
    <rPh sb="0" eb="2">
      <t>セイリツ</t>
    </rPh>
    <rPh sb="2" eb="4">
      <t>カカク</t>
    </rPh>
    <phoneticPr fontId="7"/>
  </si>
  <si>
    <t>２段階目のバンドルが成立した場合の販売金額</t>
    <rPh sb="1" eb="3">
      <t>ダンカイ</t>
    </rPh>
    <rPh sb="3" eb="4">
      <t>メ</t>
    </rPh>
    <rPh sb="10" eb="12">
      <t>セイリツ</t>
    </rPh>
    <rPh sb="14" eb="16">
      <t>バアイ</t>
    </rPh>
    <rPh sb="17" eb="19">
      <t>ハンバイ</t>
    </rPh>
    <rPh sb="19" eb="21">
      <t>キンガク</t>
    </rPh>
    <phoneticPr fontId="6"/>
  </si>
  <si>
    <t>CombinationOnePrice2</t>
    <phoneticPr fontId="6"/>
  </si>
  <si>
    <t>成立後単品価格２</t>
    <rPh sb="0" eb="2">
      <t>セイリツ</t>
    </rPh>
    <rPh sb="2" eb="3">
      <t>ゴ</t>
    </rPh>
    <rPh sb="3" eb="5">
      <t>タンピン</t>
    </rPh>
    <rPh sb="5" eb="7">
      <t>カカク</t>
    </rPh>
    <phoneticPr fontId="7"/>
  </si>
  <si>
    <t>２段階目のバンドルの溢れ単品価格</t>
    <rPh sb="10" eb="11">
      <t>アフ</t>
    </rPh>
    <rPh sb="12" eb="14">
      <t>タンピン</t>
    </rPh>
    <rPh sb="14" eb="16">
      <t>カカク</t>
    </rPh>
    <phoneticPr fontId="6"/>
  </si>
  <si>
    <t>CombinationCount3</t>
    <phoneticPr fontId="6"/>
  </si>
  <si>
    <t>成立数３</t>
    <rPh sb="0" eb="2">
      <t>セイリツ</t>
    </rPh>
    <rPh sb="2" eb="3">
      <t>スウ</t>
    </rPh>
    <phoneticPr fontId="7"/>
  </si>
  <si>
    <t>３段階目のバンドルが成立する個数…未使用</t>
    <rPh sb="1" eb="3">
      <t>ダンカイ</t>
    </rPh>
    <rPh sb="3" eb="4">
      <t>メ</t>
    </rPh>
    <rPh sb="10" eb="12">
      <t>セイリツ</t>
    </rPh>
    <rPh sb="14" eb="16">
      <t>コスウ</t>
    </rPh>
    <rPh sb="17" eb="20">
      <t>ミシヨウ</t>
    </rPh>
    <phoneticPr fontId="6"/>
  </si>
  <si>
    <t>CombinationPrice3</t>
    <phoneticPr fontId="6"/>
  </si>
  <si>
    <t>成立価格３</t>
    <rPh sb="0" eb="2">
      <t>セイリツ</t>
    </rPh>
    <rPh sb="2" eb="4">
      <t>カカク</t>
    </rPh>
    <phoneticPr fontId="7"/>
  </si>
  <si>
    <t>３段階目のバンドルが成立した場合の販売金額…未使用</t>
    <rPh sb="1" eb="3">
      <t>ダンカイ</t>
    </rPh>
    <rPh sb="3" eb="4">
      <t>メ</t>
    </rPh>
    <rPh sb="10" eb="12">
      <t>セイリツ</t>
    </rPh>
    <rPh sb="14" eb="16">
      <t>バアイ</t>
    </rPh>
    <rPh sb="17" eb="19">
      <t>ハンバイ</t>
    </rPh>
    <rPh sb="19" eb="21">
      <t>キンガク</t>
    </rPh>
    <phoneticPr fontId="6"/>
  </si>
  <si>
    <t>CombinationOnePrice3</t>
    <phoneticPr fontId="6"/>
  </si>
  <si>
    <t>成立後単品価格３</t>
    <rPh sb="0" eb="2">
      <t>セイリツ</t>
    </rPh>
    <rPh sb="2" eb="3">
      <t>ゴ</t>
    </rPh>
    <rPh sb="3" eb="5">
      <t>タンピン</t>
    </rPh>
    <rPh sb="5" eb="7">
      <t>カカク</t>
    </rPh>
    <phoneticPr fontId="7"/>
  </si>
  <si>
    <t>３段階目のバンドルの溢れ単品価格…未使用</t>
    <rPh sb="10" eb="11">
      <t>アフ</t>
    </rPh>
    <rPh sb="12" eb="14">
      <t>タンピン</t>
    </rPh>
    <rPh sb="14" eb="16">
      <t>カカク</t>
    </rPh>
    <phoneticPr fontId="6"/>
  </si>
  <si>
    <t>CombinationCount4</t>
    <phoneticPr fontId="6"/>
  </si>
  <si>
    <t>成立数４</t>
    <rPh sb="0" eb="2">
      <t>セイリツ</t>
    </rPh>
    <rPh sb="2" eb="3">
      <t>スウ</t>
    </rPh>
    <phoneticPr fontId="7"/>
  </si>
  <si>
    <t>４段階目のバンドルが成立する個数…未使用</t>
    <rPh sb="1" eb="3">
      <t>ダンカイ</t>
    </rPh>
    <rPh sb="3" eb="4">
      <t>メ</t>
    </rPh>
    <rPh sb="10" eb="12">
      <t>セイリツ</t>
    </rPh>
    <rPh sb="14" eb="16">
      <t>コスウ</t>
    </rPh>
    <phoneticPr fontId="6"/>
  </si>
  <si>
    <t>CombinationPrice4</t>
    <phoneticPr fontId="6"/>
  </si>
  <si>
    <t>成立価格４</t>
    <rPh sb="0" eb="2">
      <t>セイリツ</t>
    </rPh>
    <rPh sb="2" eb="4">
      <t>カカク</t>
    </rPh>
    <phoneticPr fontId="7"/>
  </si>
  <si>
    <t>４段階目のバンドルが成立した場合の販売金額…未使用</t>
    <rPh sb="1" eb="3">
      <t>ダンカイ</t>
    </rPh>
    <rPh sb="3" eb="4">
      <t>メ</t>
    </rPh>
    <rPh sb="10" eb="12">
      <t>セイリツ</t>
    </rPh>
    <rPh sb="14" eb="16">
      <t>バアイ</t>
    </rPh>
    <rPh sb="17" eb="19">
      <t>ハンバイ</t>
    </rPh>
    <rPh sb="19" eb="21">
      <t>キンガク</t>
    </rPh>
    <phoneticPr fontId="6"/>
  </si>
  <si>
    <t>CombinationOnePrice4</t>
    <phoneticPr fontId="6"/>
  </si>
  <si>
    <t>成立後単品価格４</t>
    <rPh sb="0" eb="2">
      <t>セイリツ</t>
    </rPh>
    <rPh sb="2" eb="3">
      <t>ゴ</t>
    </rPh>
    <rPh sb="3" eb="5">
      <t>タンピン</t>
    </rPh>
    <rPh sb="5" eb="7">
      <t>カカク</t>
    </rPh>
    <phoneticPr fontId="7"/>
  </si>
  <si>
    <t>４段階目のバンドルの溢れ単品価格…未使用</t>
    <rPh sb="10" eb="11">
      <t>アフ</t>
    </rPh>
    <rPh sb="12" eb="14">
      <t>タンピン</t>
    </rPh>
    <rPh sb="14" eb="16">
      <t>カカク</t>
    </rPh>
    <phoneticPr fontId="6"/>
  </si>
  <si>
    <t>CombinationCount5</t>
    <phoneticPr fontId="6"/>
  </si>
  <si>
    <t>成立数５</t>
    <rPh sb="0" eb="2">
      <t>セイリツ</t>
    </rPh>
    <rPh sb="2" eb="3">
      <t>スウ</t>
    </rPh>
    <phoneticPr fontId="7"/>
  </si>
  <si>
    <t>５段階目のバンドルが成立する個数…未使用</t>
    <rPh sb="1" eb="3">
      <t>ダンカイ</t>
    </rPh>
    <rPh sb="3" eb="4">
      <t>メ</t>
    </rPh>
    <rPh sb="10" eb="12">
      <t>セイリツ</t>
    </rPh>
    <rPh sb="14" eb="16">
      <t>コスウ</t>
    </rPh>
    <phoneticPr fontId="6"/>
  </si>
  <si>
    <t>CombinationPrice5</t>
    <phoneticPr fontId="6"/>
  </si>
  <si>
    <t>成立価格５</t>
    <rPh sb="0" eb="2">
      <t>セイリツ</t>
    </rPh>
    <rPh sb="2" eb="4">
      <t>カカク</t>
    </rPh>
    <phoneticPr fontId="7"/>
  </si>
  <si>
    <t>５段階目のバンドルが成立した場合の販売金額…未使用</t>
    <rPh sb="1" eb="3">
      <t>ダンカイ</t>
    </rPh>
    <rPh sb="3" eb="4">
      <t>メ</t>
    </rPh>
    <rPh sb="10" eb="12">
      <t>セイリツ</t>
    </rPh>
    <rPh sb="14" eb="16">
      <t>バアイ</t>
    </rPh>
    <rPh sb="17" eb="19">
      <t>ハンバイ</t>
    </rPh>
    <rPh sb="19" eb="21">
      <t>キンガク</t>
    </rPh>
    <phoneticPr fontId="6"/>
  </si>
  <si>
    <t>CombinationOnePrice5</t>
    <phoneticPr fontId="6"/>
  </si>
  <si>
    <t>成立後単品価格５</t>
    <rPh sb="0" eb="2">
      <t>セイリツ</t>
    </rPh>
    <rPh sb="2" eb="3">
      <t>ゴ</t>
    </rPh>
    <rPh sb="3" eb="5">
      <t>タンピン</t>
    </rPh>
    <rPh sb="5" eb="7">
      <t>カカク</t>
    </rPh>
    <phoneticPr fontId="7"/>
  </si>
  <si>
    <t>５段階目のバンドルの溢れ単品価格…未使用</t>
    <rPh sb="10" eb="11">
      <t>アフ</t>
    </rPh>
    <rPh sb="12" eb="14">
      <t>タンピン</t>
    </rPh>
    <rPh sb="14" eb="16">
      <t>カカク</t>
    </rPh>
    <phoneticPr fontId="6"/>
  </si>
  <si>
    <t>PairMatchCombinationPrice</t>
    <phoneticPr fontId="6"/>
  </si>
  <si>
    <t>ＰＭ成立価格</t>
    <rPh sb="2" eb="4">
      <t>セイリツ</t>
    </rPh>
    <rPh sb="4" eb="6">
      <t>カカク</t>
    </rPh>
    <phoneticPr fontId="7"/>
  </si>
  <si>
    <t>ペアマッチが成立した場合の販売金額</t>
    <rPh sb="6" eb="8">
      <t>セイリツ</t>
    </rPh>
    <rPh sb="10" eb="12">
      <t>バアイ</t>
    </rPh>
    <rPh sb="13" eb="15">
      <t>ハンバイ</t>
    </rPh>
    <rPh sb="15" eb="17">
      <t>キンガク</t>
    </rPh>
    <phoneticPr fontId="6"/>
  </si>
  <si>
    <t>企画販売期間の内、企画販売を行う特定曜日を指定するか否かを設定する
　1：全曜日
　2：曜日指定
　　※2以外の場合、月曜日フラグ～日曜日フラグの内容は無視する</t>
    <rPh sb="0" eb="2">
      <t>キカク</t>
    </rPh>
    <rPh sb="2" eb="4">
      <t>ハンバイ</t>
    </rPh>
    <rPh sb="9" eb="11">
      <t>キカク</t>
    </rPh>
    <phoneticPr fontId="6"/>
  </si>
  <si>
    <t>企画販売期間の内、月曜日に企画販売を行うか否かを設定する
　0：未実施
　1：実施</t>
    <rPh sb="13" eb="15">
      <t>キカク</t>
    </rPh>
    <rPh sb="15" eb="17">
      <t>ハンバイ</t>
    </rPh>
    <phoneticPr fontId="6"/>
  </si>
  <si>
    <t>企画販売期間の内、火曜日に企画販売を行うか否かを設定する
　0：未実施
　1：実施</t>
    <phoneticPr fontId="6"/>
  </si>
  <si>
    <t>企画販売期間の内、水曜日に企画販売を行うか否かを設定する
　0：未実施
　1：実施</t>
    <phoneticPr fontId="6"/>
  </si>
  <si>
    <t>企画販売期間の内、木曜日に企画販売を行うか否かを設定する
　0：未実施
　1：実施</t>
    <phoneticPr fontId="6"/>
  </si>
  <si>
    <t>企画販売期間の内、金曜日に企画販売を行うか否かを設定する
　0：未実施
　1：実施</t>
    <phoneticPr fontId="6"/>
  </si>
  <si>
    <t>企画販売期間の内、土曜日に企画販売を行うか否かを設定する
　0：未実施
　1：実施</t>
    <phoneticPr fontId="6"/>
  </si>
  <si>
    <t>企画販売期間の内、日曜日に企画販売を行うか否かを設定する
　0：未実施
　1：実施</t>
    <rPh sb="9" eb="11">
      <t>ニチヨウ</t>
    </rPh>
    <phoneticPr fontId="6"/>
  </si>
  <si>
    <t>MM商品マスタ　《CombinationItemKsmMaster》</t>
    <rPh sb="2" eb="4">
      <t>ショウヒン</t>
    </rPh>
    <phoneticPr fontId="6"/>
  </si>
  <si>
    <t>企画販売の対象商品郡を管理するコードを設定する</t>
  </si>
  <si>
    <t>対象となる単品コードを設定する</t>
  </si>
  <si>
    <t>CategoryCode</t>
    <phoneticPr fontId="6"/>
  </si>
  <si>
    <t>対象商品に設定されている親コードを設定する</t>
    <rPh sb="0" eb="2">
      <t>タイショウ</t>
    </rPh>
    <rPh sb="2" eb="4">
      <t>ショウヒン</t>
    </rPh>
    <rPh sb="5" eb="7">
      <t>セッテイ</t>
    </rPh>
    <rPh sb="17" eb="19">
      <t>セッテイ</t>
    </rPh>
    <phoneticPr fontId="6"/>
  </si>
  <si>
    <t>CombinationCostPrice</t>
  </si>
  <si>
    <t>ミックスマッチ成立時原価</t>
    <rPh sb="7" eb="9">
      <t>セイリツ</t>
    </rPh>
    <rPh sb="9" eb="10">
      <t>ジ</t>
    </rPh>
    <rPh sb="10" eb="12">
      <t>ゲンカ</t>
    </rPh>
    <phoneticPr fontId="6"/>
  </si>
  <si>
    <t>money</t>
  </si>
  <si>
    <t>ミックスマッチ成立時の商品原価を設定する
※ミックスマッチ成立時原価が未設定(NULL)の場合、商品マスタの原価が採用される</t>
  </si>
  <si>
    <t>PairMatchQuantity</t>
  </si>
  <si>
    <t>ペアマッチ成立点数</t>
    <rPh sb="5" eb="7">
      <t>セイリツ</t>
    </rPh>
    <phoneticPr fontId="6"/>
  </si>
  <si>
    <t>int</t>
  </si>
  <si>
    <t>ペアマッチ販売成立条件</t>
    <rPh sb="5" eb="7">
      <t>ハンバイ</t>
    </rPh>
    <rPh sb="7" eb="9">
      <t>セイリツ</t>
    </rPh>
    <rPh sb="9" eb="11">
      <t>ジョウケン</t>
    </rPh>
    <phoneticPr fontId="6"/>
  </si>
  <si>
    <t>MD階層値引マスタ（TBP用）　《DiscountMDHierarchyMVKMaster》</t>
    <phoneticPr fontId="6"/>
  </si>
  <si>
    <t>Primary Key</t>
    <phoneticPr fontId="5"/>
  </si>
  <si>
    <t>DiscountMDHierarchyCode</t>
    <phoneticPr fontId="6"/>
  </si>
  <si>
    <t>MD階層自動値引コード</t>
    <rPh sb="6" eb="8">
      <t>ネビ</t>
    </rPh>
    <phoneticPr fontId="7"/>
  </si>
  <si>
    <t>MD階層自動値下コード</t>
    <phoneticPr fontId="6"/>
  </si>
  <si>
    <t>説明</t>
    <rPh sb="0" eb="2">
      <t>セツメイ</t>
    </rPh>
    <phoneticPr fontId="7"/>
  </si>
  <si>
    <t>MD階層自動値下名称</t>
    <phoneticPr fontId="6"/>
  </si>
  <si>
    <t>自動値下対象のMD階層コード</t>
    <phoneticPr fontId="6"/>
  </si>
  <si>
    <t>自動値下対象のMD階層レベル</t>
    <phoneticPr fontId="6"/>
  </si>
  <si>
    <t>企画コード（企画マスタ参照等はなし）</t>
    <rPh sb="6" eb="8">
      <t>キカク</t>
    </rPh>
    <rPh sb="11" eb="13">
      <t>サンショウ</t>
    </rPh>
    <rPh sb="13" eb="14">
      <t>トウ</t>
    </rPh>
    <phoneticPr fontId="6"/>
  </si>
  <si>
    <t>DiscountTypeCode</t>
    <phoneticPr fontId="6"/>
  </si>
  <si>
    <t>値引タイプコード</t>
    <phoneticPr fontId="7"/>
  </si>
  <si>
    <t>値引タイプコード（DiscountTypeMasterを参照）</t>
    <rPh sb="0" eb="2">
      <t>ネビ</t>
    </rPh>
    <phoneticPr fontId="6"/>
  </si>
  <si>
    <r>
      <t xml:space="preserve">値引方法コード（DiscountMethodMasterを参照　01：値引　02：割引　03：金額指定）
</t>
    </r>
    <r>
      <rPr>
        <sz val="11"/>
        <color theme="1"/>
        <rFont val="MS UI Gothic"/>
        <family val="3"/>
        <charset val="128"/>
      </rPr>
      <t>※03：金額指定 未対応</t>
    </r>
    <rPh sb="0" eb="2">
      <t>ネビ</t>
    </rPh>
    <rPh sb="57" eb="59">
      <t>キンガク</t>
    </rPh>
    <rPh sb="59" eb="61">
      <t>シテイ</t>
    </rPh>
    <rPh sb="62" eb="65">
      <t>ミタイオウ</t>
    </rPh>
    <phoneticPr fontId="6"/>
  </si>
  <si>
    <t>値引金額/率（値引方法コードにより金額/割引率で意味が変わります）</t>
    <rPh sb="0" eb="2">
      <t>ネビ</t>
    </rPh>
    <phoneticPr fontId="6"/>
  </si>
  <si>
    <t>ApplyDateTime</t>
    <phoneticPr fontId="6"/>
  </si>
  <si>
    <t>適用開始日時</t>
    <rPh sb="0" eb="2">
      <t>テキヨウ</t>
    </rPh>
    <rPh sb="2" eb="4">
      <t>カイシ</t>
    </rPh>
    <rPh sb="4" eb="6">
      <t>ニチジ</t>
    </rPh>
    <phoneticPr fontId="7"/>
  </si>
  <si>
    <t>適用開始日時</t>
    <rPh sb="0" eb="2">
      <t>テキヨウ</t>
    </rPh>
    <rPh sb="2" eb="4">
      <t>カイシ</t>
    </rPh>
    <rPh sb="4" eb="6">
      <t>ニチジ</t>
    </rPh>
    <phoneticPr fontId="6"/>
  </si>
  <si>
    <t>開始日時</t>
    <phoneticPr fontId="6"/>
  </si>
  <si>
    <t>終了日時</t>
    <phoneticPr fontId="6"/>
  </si>
  <si>
    <t>StartServiceTime</t>
    <phoneticPr fontId="6"/>
  </si>
  <si>
    <t>開始サービス時間</t>
    <phoneticPr fontId="7"/>
  </si>
  <si>
    <t>time</t>
    <phoneticPr fontId="6"/>
  </si>
  <si>
    <t>サービス開始時間（例：タイムセール開始時間を指定する）※未対応(開始日時で時間部分も判定している)</t>
    <rPh sb="28" eb="31">
      <t>ミタイオウ</t>
    </rPh>
    <rPh sb="32" eb="34">
      <t>カイシ</t>
    </rPh>
    <rPh sb="34" eb="36">
      <t>ニチジ</t>
    </rPh>
    <rPh sb="37" eb="39">
      <t>ジカン</t>
    </rPh>
    <rPh sb="39" eb="41">
      <t>ブブン</t>
    </rPh>
    <rPh sb="42" eb="44">
      <t>ハンテイ</t>
    </rPh>
    <phoneticPr fontId="6"/>
  </si>
  <si>
    <t>EndServiceTime</t>
    <phoneticPr fontId="6"/>
  </si>
  <si>
    <t>終了サービス時間</t>
    <phoneticPr fontId="7"/>
  </si>
  <si>
    <t>サービス終了時間（例：タイムセール終了時間を指定する）※未対応(終了日時で時間部分も判定している)</t>
    <rPh sb="28" eb="31">
      <t>ミタイオウ</t>
    </rPh>
    <rPh sb="32" eb="34">
      <t>シュウリョウ</t>
    </rPh>
    <rPh sb="34" eb="36">
      <t>ニチジ</t>
    </rPh>
    <rPh sb="37" eb="39">
      <t>ジカン</t>
    </rPh>
    <rPh sb="39" eb="41">
      <t>ブブン</t>
    </rPh>
    <rPh sb="42" eb="44">
      <t>ハンテイ</t>
    </rPh>
    <phoneticPr fontId="6"/>
  </si>
  <si>
    <t>"1：全曜日
2：曜日指定
※2以外の場合、月曜日フラグ～日曜日フラグの内容は無視する"</t>
    <phoneticPr fontId="6"/>
  </si>
  <si>
    <t>月曜日実施フラグ（Ｔｒｕｅ：実施　False：未実施）</t>
    <phoneticPr fontId="6"/>
  </si>
  <si>
    <t>火曜日実施フラグ（Ｔｒｕｅ：実施　False：未実施）</t>
    <phoneticPr fontId="6"/>
  </si>
  <si>
    <t>水曜日実施フラグ（Ｔｒｕｅ：実施　False：未実施）</t>
    <phoneticPr fontId="6"/>
  </si>
  <si>
    <t>木曜日実施フラグ（Ｔｒｕｅ：実施　False：未実施）</t>
    <phoneticPr fontId="6"/>
  </si>
  <si>
    <t>金曜日実施フラグ（Ｔｒｕｅ：実施　False：未実施）</t>
    <phoneticPr fontId="6"/>
  </si>
  <si>
    <t>土曜日実施フラグ（Ｔｒｕｅ：実施　False：未実施）</t>
    <phoneticPr fontId="6"/>
  </si>
  <si>
    <t>日曜日実施フラグ（Ｔｒｕｅ：実施　False：未実施）</t>
    <phoneticPr fontId="6"/>
  </si>
  <si>
    <t>PromotionType</t>
    <phoneticPr fontId="6"/>
  </si>
  <si>
    <t>プロモーションタイプ</t>
    <phoneticPr fontId="7"/>
  </si>
  <si>
    <t>101：一般プロモーション、104～106：会員プロモーション（104：キー、105：MSR、106：バーコード）</t>
    <rPh sb="4" eb="6">
      <t>イッパン</t>
    </rPh>
    <phoneticPr fontId="6"/>
  </si>
  <si>
    <t>LongDescription</t>
    <phoneticPr fontId="6"/>
  </si>
  <si>
    <t>プロモーション名称</t>
    <phoneticPr fontId="7"/>
  </si>
  <si>
    <t>プロモーション名称</t>
    <phoneticPr fontId="6"/>
  </si>
  <si>
    <t>DiscountPriority</t>
    <phoneticPr fontId="6"/>
  </si>
  <si>
    <t>割引優先度</t>
    <phoneticPr fontId="7"/>
  </si>
  <si>
    <t>1, 5, 10, 15, 20, 0　のどれか一つ。※優先順は昇順であるが0は最弱。　（TBP会員のみ使用）</t>
    <rPh sb="24" eb="25">
      <t>ヒト</t>
    </rPh>
    <rPh sb="32" eb="34">
      <t>ショウジュン</t>
    </rPh>
    <rPh sb="40" eb="42">
      <t>サイジャク</t>
    </rPh>
    <rPh sb="48" eb="50">
      <t>カイイン</t>
    </rPh>
    <rPh sb="52" eb="54">
      <t>シヨウ</t>
    </rPh>
    <phoneticPr fontId="6"/>
  </si>
  <si>
    <t>PaymentLimitPattern</t>
    <phoneticPr fontId="6"/>
  </si>
  <si>
    <t>支払制限パターン</t>
    <phoneticPr fontId="7"/>
  </si>
  <si>
    <t>0：すべて、1：イオンカード限定パターン、2：特定WAONパターン、4：感謝デーパターン、8：イオンカード＋ＷＡＯＮ</t>
    <phoneticPr fontId="6"/>
  </si>
  <si>
    <t>担当者マスタ　《EmployeeMaster》</t>
    <phoneticPr fontId="5"/>
  </si>
  <si>
    <t>Y</t>
    <phoneticPr fontId="5"/>
  </si>
  <si>
    <t>企業コード</t>
    <rPh sb="0" eb="2">
      <t>キギョウ</t>
    </rPh>
    <phoneticPr fontId="6"/>
  </si>
  <si>
    <t>EmployeeCode</t>
    <phoneticPr fontId="6"/>
  </si>
  <si>
    <t>従業員コード</t>
    <phoneticPr fontId="7"/>
  </si>
  <si>
    <t>EmployeeRoleCode</t>
    <phoneticPr fontId="6"/>
  </si>
  <si>
    <t>従業員役職コード</t>
    <phoneticPr fontId="7"/>
  </si>
  <si>
    <t>0:特権
3:クライアントジャーナル照会権限
4:クライアントメンテ権限
5:クライアント照会権限
9:なし</t>
    <phoneticPr fontId="5"/>
  </si>
  <si>
    <t>従業員名</t>
    <phoneticPr fontId="7"/>
  </si>
  <si>
    <t>Namekana</t>
  </si>
  <si>
    <t>カナ名称</t>
  </si>
  <si>
    <t>nvarchar</t>
  </si>
  <si>
    <t>従業員区分説明</t>
  </si>
  <si>
    <t>担当者拡張マスタ　《EmployeeExMVKMaster》</t>
    <phoneticPr fontId="5"/>
  </si>
  <si>
    <t>Password</t>
    <phoneticPr fontId="6"/>
  </si>
  <si>
    <t>パスワード</t>
    <phoneticPr fontId="7"/>
  </si>
  <si>
    <t>プリセットメニューマスタ　《PresetMenuMaster》</t>
    <phoneticPr fontId="6"/>
  </si>
  <si>
    <t>ButtonLayoutCode</t>
    <phoneticPr fontId="6"/>
  </si>
  <si>
    <t>プリセットボタンレイアウトコード</t>
    <phoneticPr fontId="7"/>
  </si>
  <si>
    <t>GroupCode</t>
    <phoneticPr fontId="6"/>
  </si>
  <si>
    <t>グループコード</t>
    <phoneticPr fontId="7"/>
  </si>
  <si>
    <t>PageNumber</t>
    <phoneticPr fontId="6"/>
  </si>
  <si>
    <t>ページ番号</t>
    <phoneticPr fontId="7"/>
  </si>
  <si>
    <t>ButtonColumnCount</t>
    <phoneticPr fontId="6"/>
  </si>
  <si>
    <t>ボタンの数（横）</t>
    <phoneticPr fontId="7"/>
  </si>
  <si>
    <t>ButtonRowCount</t>
    <phoneticPr fontId="6"/>
  </si>
  <si>
    <t>ボタンの数（縦）</t>
    <phoneticPr fontId="7"/>
  </si>
  <si>
    <t>ボタン表示名称</t>
    <phoneticPr fontId="7"/>
  </si>
  <si>
    <t>StyleKey</t>
    <phoneticPr fontId="6"/>
  </si>
  <si>
    <t>ボタンイメージファイル名（押下時）</t>
    <phoneticPr fontId="7"/>
  </si>
  <si>
    <t>PresetRadioButtonLeftStyle1：青
PresetRadioButtonLeftStyle2：緑
PresetRadioButtonLeftStyle3：ピンク
PresetRadioButtonLeftStyle4：黄色
PresetRadioButtonLeftStyle5：灰色
PresetRadioButtonLeftStyle6：紫
PresetRadioButtonLeftStyle7：茶色
未設定　　　　　　　　　　　　　　 ：濃緑
※Styleにはボタンの色だけでなくレイアウトも兼ねているため未設定はレイアウトが変わります。</t>
    <phoneticPr fontId="6"/>
  </si>
  <si>
    <t>プリセットメニューボタンマスタ《PresetMenuButtonMaster》</t>
    <phoneticPr fontId="5"/>
  </si>
  <si>
    <t>ON DELETE CASCADE</t>
    <phoneticPr fontId="6"/>
  </si>
  <si>
    <t>ページ</t>
    <phoneticPr fontId="7"/>
  </si>
  <si>
    <t>ButtonColumnNumber</t>
    <phoneticPr fontId="6"/>
  </si>
  <si>
    <t>簡易X座標</t>
    <phoneticPr fontId="7"/>
  </si>
  <si>
    <t>ButtonRowNumber</t>
    <phoneticPr fontId="6"/>
  </si>
  <si>
    <t>簡易Y座標</t>
    <phoneticPr fontId="7"/>
  </si>
  <si>
    <t>適用日</t>
    <phoneticPr fontId="7"/>
  </si>
  <si>
    <t>ButtonColumnSpan</t>
    <phoneticPr fontId="6"/>
  </si>
  <si>
    <t>ボタンサイズ（１：通常、２：横倍）</t>
    <phoneticPr fontId="7"/>
  </si>
  <si>
    <t>ButtonRowSpan</t>
    <phoneticPr fontId="6"/>
  </si>
  <si>
    <t>ボタンサイズ（１：通常、２：縦倍）</t>
    <phoneticPr fontId="7"/>
  </si>
  <si>
    <t>WPFリソースディクショナリのキー</t>
    <phoneticPr fontId="7"/>
  </si>
  <si>
    <t>PresetButtonStyle1：青
PresetButtonStyle2：緑
PresetButtonStyle3：ピンク
PresetButtonStyle4：黄
PresetButtonStyle5：薄灰
PresetButtonStyle6：薄青
PresetButtonStyle7：黄緑
PresetButtonStyle8：水色
未設定　　　　　　　　：灰色
※Styleにはボタンの色だけでなくレイアウトも兼ねているため未設定はレイアウトが変わります。</t>
    <phoneticPr fontId="6"/>
  </si>
  <si>
    <t>StyleInformation</t>
    <phoneticPr fontId="6"/>
  </si>
  <si>
    <t>ボタン表示名イメージファイル名など</t>
    <phoneticPr fontId="7"/>
  </si>
  <si>
    <t>EventGroupCode</t>
    <phoneticPr fontId="6"/>
  </si>
  <si>
    <t>イベントグループコード</t>
    <phoneticPr fontId="7"/>
  </si>
  <si>
    <t>SettingData</t>
    <phoneticPr fontId="6"/>
  </si>
  <si>
    <t>設定値</t>
    <phoneticPr fontId="7"/>
  </si>
  <si>
    <t>TaxCodeMaster</t>
    <phoneticPr fontId="6"/>
  </si>
  <si>
    <t>Precision,Scale</t>
  </si>
  <si>
    <t>Foreign Key</t>
  </si>
  <si>
    <t>0：登録（新規／更新）、 2：洗い替え</t>
    <phoneticPr fontId="6"/>
  </si>
  <si>
    <t>TaxCode</t>
  </si>
  <si>
    <t>税コード</t>
  </si>
  <si>
    <t>TaxType</t>
  </si>
  <si>
    <t>税タイプ</t>
  </si>
  <si>
    <t>『設定値』シート参照</t>
    <phoneticPr fontId="6"/>
  </si>
  <si>
    <t>Rate</t>
  </si>
  <si>
    <t>レート</t>
  </si>
  <si>
    <t>numeric</t>
  </si>
  <si>
    <t>4, 2</t>
    <phoneticPr fontId="6"/>
  </si>
  <si>
    <t>説明</t>
  </si>
  <si>
    <t>RoundDigit</t>
  </si>
  <si>
    <t>丸め桁</t>
  </si>
  <si>
    <t>RoundMethod</t>
  </si>
  <si>
    <t>丸め方法</t>
  </si>
  <si>
    <t>TaxGroupDetailMaster</t>
    <phoneticPr fontId="6"/>
  </si>
  <si>
    <t>TaxGroupDetailCode</t>
    <phoneticPr fontId="6"/>
  </si>
  <si>
    <t>税グループ詳細コード</t>
    <rPh sb="0" eb="1">
      <t>ゼイ</t>
    </rPh>
    <rPh sb="5" eb="7">
      <t>ショウサイ</t>
    </rPh>
    <phoneticPr fontId="6"/>
  </si>
  <si>
    <t>TaxCode</t>
    <phoneticPr fontId="6"/>
  </si>
  <si>
    <t>税コード</t>
    <rPh sb="0" eb="1">
      <t>ゼイ</t>
    </rPh>
    <phoneticPr fontId="6"/>
  </si>
  <si>
    <t>TaxGroupMaster</t>
  </si>
  <si>
    <t>TaxGroupCode</t>
  </si>
  <si>
    <t>税グループコード</t>
  </si>
  <si>
    <t>StartDate</t>
    <phoneticPr fontId="6"/>
  </si>
  <si>
    <t>税提供開始日</t>
    <rPh sb="0" eb="1">
      <t>ゼイ</t>
    </rPh>
    <rPh sb="1" eb="3">
      <t>テイキョウ</t>
    </rPh>
    <rPh sb="3" eb="6">
      <t>カイシビ</t>
    </rPh>
    <phoneticPr fontId="6"/>
  </si>
  <si>
    <t>説明</t>
    <phoneticPr fontId="6"/>
  </si>
  <si>
    <t>税グループ詳細コード</t>
    <rPh sb="5" eb="7">
      <t>ショウサイ</t>
    </rPh>
    <phoneticPr fontId="6"/>
  </si>
  <si>
    <t>TaxTypeMaster</t>
  </si>
  <si>
    <t>税種別</t>
  </si>
  <si>
    <t>ReducedTaxRateMaster</t>
  </si>
  <si>
    <t>IsReducedTaxRate</t>
  </si>
  <si>
    <t>軽減税率対象フラグ</t>
    <rPh sb="0" eb="2">
      <t>ケイゲン</t>
    </rPh>
    <rPh sb="2" eb="4">
      <t>ゼイリツ</t>
    </rPh>
    <rPh sb="4" eb="6">
      <t>タイショウ</t>
    </rPh>
    <phoneticPr fontId="76"/>
  </si>
  <si>
    <t>bit</t>
  </si>
  <si>
    <t>Trueの場合、レシートに軽減税率マークを印字する</t>
    <rPh sb="5" eb="7">
      <t>バアイ</t>
    </rPh>
    <rPh sb="13" eb="15">
      <t>ケイゲン</t>
    </rPh>
    <rPh sb="15" eb="17">
      <t>ゼイリツ</t>
    </rPh>
    <rPh sb="21" eb="23">
      <t>インジ</t>
    </rPh>
    <phoneticPr fontId="76"/>
  </si>
  <si>
    <t>SwitchTaxGroupCode</t>
  </si>
  <si>
    <t>変更先税グループコード</t>
    <rPh sb="0" eb="2">
      <t>ヘンコウ</t>
    </rPh>
    <rPh sb="2" eb="3">
      <t>サキ</t>
    </rPh>
    <rPh sb="3" eb="4">
      <t>ゼイ</t>
    </rPh>
    <phoneticPr fontId="76"/>
  </si>
  <si>
    <t>税率変更機能で利用(ここで設定された税グループコードに変更する)</t>
    <rPh sb="0" eb="2">
      <t>ゼイリツ</t>
    </rPh>
    <rPh sb="2" eb="4">
      <t>ヘンコウ</t>
    </rPh>
    <rPh sb="4" eb="6">
      <t>キノウ</t>
    </rPh>
    <rPh sb="7" eb="9">
      <t>リヨウ</t>
    </rPh>
    <rPh sb="13" eb="15">
      <t>セッテイ</t>
    </rPh>
    <rPh sb="18" eb="19">
      <t>ゼイ</t>
    </rPh>
    <rPh sb="27" eb="29">
      <t>ヘンコウ</t>
    </rPh>
    <phoneticPr fontId="76"/>
  </si>
  <si>
    <t>PaymentTicketMaster</t>
    <phoneticPr fontId="6"/>
  </si>
  <si>
    <t>PaymentCode</t>
    <phoneticPr fontId="6"/>
  </si>
  <si>
    <t>支払コード</t>
    <phoneticPr fontId="7"/>
  </si>
  <si>
    <t>PaymentMaster</t>
    <phoneticPr fontId="6"/>
  </si>
  <si>
    <t>TicketCode</t>
    <phoneticPr fontId="6"/>
  </si>
  <si>
    <t>券コード</t>
    <phoneticPr fontId="7"/>
  </si>
  <si>
    <t>2⇒3⇒5へ変更 
カスミ様カスタマイズ⇒26に変更</t>
    <rPh sb="6" eb="8">
      <t>ヘンコウ</t>
    </rPh>
    <rPh sb="13" eb="14">
      <t>サマ</t>
    </rPh>
    <rPh sb="24" eb="26">
      <t>ヘンコウ</t>
    </rPh>
    <phoneticPr fontId="6"/>
  </si>
  <si>
    <t>UnitAmount</t>
    <phoneticPr fontId="6"/>
  </si>
  <si>
    <t>単位額</t>
    <phoneticPr fontId="7"/>
  </si>
  <si>
    <t>支払可能な最少単位を設定。
1円の場合は1を設定します。
1ドルの場合は0.01を設定します。</t>
    <rPh sb="0" eb="2">
      <t>シハライ</t>
    </rPh>
    <rPh sb="2" eb="4">
      <t>カノウ</t>
    </rPh>
    <rPh sb="5" eb="7">
      <t>サイショウ</t>
    </rPh>
    <rPh sb="7" eb="9">
      <t>タンイ</t>
    </rPh>
    <rPh sb="10" eb="12">
      <t>セッテイ</t>
    </rPh>
    <rPh sb="15" eb="16">
      <t>エン</t>
    </rPh>
    <rPh sb="17" eb="19">
      <t>バアイ</t>
    </rPh>
    <rPh sb="22" eb="24">
      <t>セッテイ</t>
    </rPh>
    <rPh sb="33" eb="35">
      <t>バアイ</t>
    </rPh>
    <rPh sb="41" eb="43">
      <t>セッテイ</t>
    </rPh>
    <phoneticPr fontId="6"/>
  </si>
  <si>
    <t>CanReturn</t>
    <phoneticPr fontId="6"/>
  </si>
  <si>
    <t>返品使用許可フラグ</t>
    <rPh sb="0" eb="2">
      <t>ヘンピン</t>
    </rPh>
    <rPh sb="2" eb="4">
      <t>シヨウ</t>
    </rPh>
    <rPh sb="4" eb="6">
      <t>キョカ</t>
    </rPh>
    <phoneticPr fontId="7"/>
  </si>
  <si>
    <t>カスミ様案件では、本フラグは参照しておらず、PGで制御している。
Trueの場合、返品で使用可
Falseの場合、返品で使用不可</t>
    <rPh sb="14" eb="16">
      <t>サンショウ</t>
    </rPh>
    <rPh sb="25" eb="27">
      <t>セイギョ</t>
    </rPh>
    <rPh sb="39" eb="41">
      <t>バアイ</t>
    </rPh>
    <rPh sb="42" eb="44">
      <t>ヘンピン</t>
    </rPh>
    <rPh sb="45" eb="47">
      <t>シヨウ</t>
    </rPh>
    <rPh sb="47" eb="48">
      <t>カ</t>
    </rPh>
    <rPh sb="55" eb="57">
      <t>バアイ</t>
    </rPh>
    <rPh sb="58" eb="60">
      <t>ヘンピン</t>
    </rPh>
    <rPh sb="61" eb="63">
      <t>シヨウ</t>
    </rPh>
    <rPh sb="63" eb="65">
      <t>フカ</t>
    </rPh>
    <phoneticPr fontId="6"/>
  </si>
  <si>
    <t>CanCancel</t>
    <phoneticPr fontId="6"/>
  </si>
  <si>
    <t>取消許可フラグ</t>
    <rPh sb="0" eb="2">
      <t>トリケシ</t>
    </rPh>
    <rPh sb="2" eb="4">
      <t>キョカ</t>
    </rPh>
    <phoneticPr fontId="7"/>
  </si>
  <si>
    <t>Trueの場合、支払明細クリア可
Falseの場合、支払明細クリア不可</t>
    <rPh sb="5" eb="7">
      <t>バアイ</t>
    </rPh>
    <rPh sb="8" eb="10">
      <t>シハラ</t>
    </rPh>
    <rPh sb="10" eb="12">
      <t>メイサイ</t>
    </rPh>
    <rPh sb="15" eb="16">
      <t>カ</t>
    </rPh>
    <rPh sb="23" eb="25">
      <t>バアイ</t>
    </rPh>
    <rPh sb="33" eb="35">
      <t>フカ</t>
    </rPh>
    <phoneticPr fontId="6"/>
  </si>
  <si>
    <t>CanReSale</t>
    <phoneticPr fontId="6"/>
  </si>
  <si>
    <t>一部返品交換許可フラグ</t>
    <rPh sb="0" eb="2">
      <t>イチブ</t>
    </rPh>
    <rPh sb="2" eb="4">
      <t>ヘンピン</t>
    </rPh>
    <rPh sb="4" eb="6">
      <t>コウカン</t>
    </rPh>
    <rPh sb="6" eb="8">
      <t>キョカ</t>
    </rPh>
    <phoneticPr fontId="7"/>
  </si>
  <si>
    <t>Trueの場合、一部返品交換呼出し可
Falseの場合、一部返品交換呼出し不可</t>
    <rPh sb="8" eb="10">
      <t>イチブ</t>
    </rPh>
    <rPh sb="10" eb="12">
      <t>ヘンピン</t>
    </rPh>
    <rPh sb="12" eb="14">
      <t>コウカン</t>
    </rPh>
    <rPh sb="14" eb="16">
      <t>ヨビダ</t>
    </rPh>
    <phoneticPr fontId="6"/>
  </si>
  <si>
    <t>CanVoid</t>
    <phoneticPr fontId="6"/>
  </si>
  <si>
    <t>レジマイナス許可フラグ</t>
    <rPh sb="6" eb="8">
      <t>キョカ</t>
    </rPh>
    <phoneticPr fontId="7"/>
  </si>
  <si>
    <t>Trueの場合、レジマイナス呼出し可
Falseの場合、レジマイナス呼出し不可</t>
    <phoneticPr fontId="6"/>
  </si>
  <si>
    <t>CanChange</t>
    <phoneticPr fontId="6"/>
  </si>
  <si>
    <t>釣り許可フラグ</t>
    <phoneticPr fontId="7"/>
  </si>
  <si>
    <t>残金以上の預り金の場合に、釣銭を出すかを設定します。
False設定時は、残金500円で1000円預りの場合、釣銭は0円となります。
※返品時使用許可フラグ(True)の場合、本設定は不可(False)</t>
    <rPh sb="0" eb="2">
      <t>ザンキン</t>
    </rPh>
    <rPh sb="2" eb="4">
      <t>イジョウ</t>
    </rPh>
    <rPh sb="5" eb="6">
      <t>アズカ</t>
    </rPh>
    <rPh sb="7" eb="8">
      <t>キン</t>
    </rPh>
    <rPh sb="9" eb="11">
      <t>バアイ</t>
    </rPh>
    <rPh sb="13" eb="15">
      <t>ツリセン</t>
    </rPh>
    <rPh sb="16" eb="17">
      <t>ダ</t>
    </rPh>
    <rPh sb="20" eb="22">
      <t>セッテイ</t>
    </rPh>
    <rPh sb="32" eb="34">
      <t>セッテイ</t>
    </rPh>
    <rPh sb="34" eb="35">
      <t>ジ</t>
    </rPh>
    <rPh sb="37" eb="39">
      <t>ザンキン</t>
    </rPh>
    <rPh sb="42" eb="43">
      <t>エン</t>
    </rPh>
    <rPh sb="48" eb="49">
      <t>エン</t>
    </rPh>
    <rPh sb="49" eb="50">
      <t>アズカ</t>
    </rPh>
    <rPh sb="52" eb="54">
      <t>バアイ</t>
    </rPh>
    <rPh sb="55" eb="57">
      <t>ツリセン</t>
    </rPh>
    <rPh sb="59" eb="60">
      <t>エン</t>
    </rPh>
    <rPh sb="68" eb="70">
      <t>ヘンピン</t>
    </rPh>
    <rPh sb="70" eb="71">
      <t>トキ</t>
    </rPh>
    <rPh sb="71" eb="73">
      <t>シヨウ</t>
    </rPh>
    <rPh sb="73" eb="75">
      <t>キョカ</t>
    </rPh>
    <rPh sb="85" eb="87">
      <t>バアイ</t>
    </rPh>
    <rPh sb="88" eb="89">
      <t>ホン</t>
    </rPh>
    <rPh sb="89" eb="91">
      <t>セッテイ</t>
    </rPh>
    <rPh sb="92" eb="94">
      <t>フカ</t>
    </rPh>
    <phoneticPr fontId="6"/>
  </si>
  <si>
    <t>CanOverDeposit</t>
    <phoneticPr fontId="6"/>
  </si>
  <si>
    <t>預かりオーバー許可フラグ</t>
    <phoneticPr fontId="7"/>
  </si>
  <si>
    <t>残金以上の値を入力可能かを設定します。</t>
    <rPh sb="0" eb="2">
      <t>ザンキン</t>
    </rPh>
    <rPh sb="2" eb="4">
      <t>イジョウ</t>
    </rPh>
    <rPh sb="5" eb="6">
      <t>アタイ</t>
    </rPh>
    <rPh sb="7" eb="9">
      <t>ニュウリョク</t>
    </rPh>
    <rPh sb="9" eb="11">
      <t>カノウ</t>
    </rPh>
    <rPh sb="13" eb="15">
      <t>セッテイ</t>
    </rPh>
    <phoneticPr fontId="6"/>
  </si>
  <si>
    <t>CanJustFix</t>
    <phoneticPr fontId="6"/>
  </si>
  <si>
    <t>丁度預かり許可フラグ</t>
    <phoneticPr fontId="7"/>
  </si>
  <si>
    <t>Trueの場合、置数なしで登録を行った場合に残金での支払いとします。</t>
    <rPh sb="5" eb="7">
      <t>バアイ</t>
    </rPh>
    <rPh sb="8" eb="9">
      <t>オ</t>
    </rPh>
    <rPh sb="9" eb="10">
      <t>スウ</t>
    </rPh>
    <rPh sb="13" eb="15">
      <t>トウロク</t>
    </rPh>
    <rPh sb="16" eb="17">
      <t>オコナ</t>
    </rPh>
    <rPh sb="19" eb="21">
      <t>バアイ</t>
    </rPh>
    <rPh sb="22" eb="24">
      <t>ザンキン</t>
    </rPh>
    <rPh sb="26" eb="28">
      <t>シハラ</t>
    </rPh>
    <phoneticPr fontId="6"/>
  </si>
  <si>
    <t>CanChangeCount</t>
    <phoneticPr fontId="6"/>
  </si>
  <si>
    <t>枚数変更許可フラグ</t>
    <rPh sb="0" eb="2">
      <t>マイスウ</t>
    </rPh>
    <rPh sb="2" eb="4">
      <t>ヘンコウ</t>
    </rPh>
    <rPh sb="4" eb="6">
      <t>キョカ</t>
    </rPh>
    <phoneticPr fontId="7"/>
  </si>
  <si>
    <t>商品券など枚数変更可能なチケットの場合は、Trueを設定してください。</t>
    <rPh sb="0" eb="3">
      <t>ショウヒンケン</t>
    </rPh>
    <rPh sb="5" eb="7">
      <t>マイスウ</t>
    </rPh>
    <rPh sb="7" eb="9">
      <t>ヘンコウ</t>
    </rPh>
    <rPh sb="9" eb="11">
      <t>カノウ</t>
    </rPh>
    <rPh sb="17" eb="19">
      <t>バアイ</t>
    </rPh>
    <rPh sb="26" eb="28">
      <t>セッテイ</t>
    </rPh>
    <phoneticPr fontId="6"/>
  </si>
  <si>
    <t>IsDrawer</t>
    <phoneticPr fontId="6"/>
  </si>
  <si>
    <t>ドロア開閉制御</t>
    <rPh sb="3" eb="5">
      <t>カイヘイ</t>
    </rPh>
    <rPh sb="5" eb="7">
      <t>セイギョ</t>
    </rPh>
    <phoneticPr fontId="7"/>
  </si>
  <si>
    <t>ph1未対応
Trueの場合、ドロア開放する
Falseの場合、ドロア開放しない</t>
    <rPh sb="3" eb="6">
      <t>ミタイオウ</t>
    </rPh>
    <rPh sb="12" eb="14">
      <t>バアイ</t>
    </rPh>
    <rPh sb="18" eb="20">
      <t>カイホウ</t>
    </rPh>
    <rPh sb="29" eb="31">
      <t>バアイ</t>
    </rPh>
    <rPh sb="35" eb="37">
      <t>カイホウ</t>
    </rPh>
    <phoneticPr fontId="6"/>
  </si>
  <si>
    <t>0：ポイント対象　1：ポイント対象外</t>
    <phoneticPr fontId="6"/>
  </si>
  <si>
    <t>IsRevenueStampTarget</t>
    <phoneticPr fontId="6"/>
  </si>
  <si>
    <t>収入印紙対象フラグ</t>
    <phoneticPr fontId="7"/>
  </si>
  <si>
    <t>PaymentSummaryGroupCode</t>
    <phoneticPr fontId="6"/>
  </si>
  <si>
    <t>集計グループコード</t>
    <phoneticPr fontId="7"/>
  </si>
  <si>
    <t>PaymentSummaryGroupMaster</t>
  </si>
  <si>
    <t>PaymentSummaryGroupCode</t>
  </si>
  <si>
    <t>TicketSummaryGroupCode</t>
    <phoneticPr fontId="6"/>
  </si>
  <si>
    <t>券集計グループコード</t>
    <rPh sb="0" eb="1">
      <t>ケン</t>
    </rPh>
    <phoneticPr fontId="7"/>
  </si>
  <si>
    <t>本部システムでの券実績の集計コード</t>
    <rPh sb="0" eb="2">
      <t>ホンブ</t>
    </rPh>
    <rPh sb="8" eb="9">
      <t>ケン</t>
    </rPh>
    <rPh sb="9" eb="11">
      <t>ジッセキ</t>
    </rPh>
    <rPh sb="12" eb="14">
      <t>シュウケイ</t>
    </rPh>
    <phoneticPr fontId="6"/>
  </si>
  <si>
    <t>TerminalNo</t>
  </si>
  <si>
    <t>端末番号</t>
  </si>
  <si>
    <t>回収対象となるレジの端末番号を設定します
すべての端末に適用する場合は特定の値を設定します</t>
    <rPh sb="0" eb="2">
      <t>カイシュウ</t>
    </rPh>
    <rPh sb="2" eb="4">
      <t>タイショウ</t>
    </rPh>
    <rPh sb="10" eb="12">
      <t>タンマツ</t>
    </rPh>
    <rPh sb="12" eb="14">
      <t>バンゴウ</t>
    </rPh>
    <rPh sb="15" eb="17">
      <t>セッテイ</t>
    </rPh>
    <rPh sb="25" eb="27">
      <t>タンマツ</t>
    </rPh>
    <rPh sb="28" eb="30">
      <t>テキヨウ</t>
    </rPh>
    <rPh sb="32" eb="34">
      <t>バアイ</t>
    </rPh>
    <rPh sb="35" eb="37">
      <t>トクテイ</t>
    </rPh>
    <rPh sb="38" eb="39">
      <t>アタイ</t>
    </rPh>
    <rPh sb="40" eb="42">
      <t>セッテイ</t>
    </rPh>
    <phoneticPr fontId="6"/>
  </si>
  <si>
    <t>RecoverCode</t>
    <phoneticPr fontId="6"/>
  </si>
  <si>
    <t>回収区分
0：残置 1：設定 8：ニアエンプティ 9：ニアフル</t>
    <rPh sb="0" eb="2">
      <t>カイシュウ</t>
    </rPh>
    <rPh sb="2" eb="4">
      <t>クブン</t>
    </rPh>
    <rPh sb="7" eb="8">
      <t>ザン</t>
    </rPh>
    <rPh sb="8" eb="9">
      <t>チ</t>
    </rPh>
    <rPh sb="12" eb="14">
      <t>セッテイ</t>
    </rPh>
    <phoneticPr fontId="6"/>
  </si>
  <si>
    <t>回収方法の区分を設定します</t>
    <rPh sb="0" eb="2">
      <t>カイシュウ</t>
    </rPh>
    <rPh sb="2" eb="4">
      <t>ホウホウ</t>
    </rPh>
    <rPh sb="5" eb="7">
      <t>クブン</t>
    </rPh>
    <rPh sb="8" eb="10">
      <t>セッテイ</t>
    </rPh>
    <phoneticPr fontId="6"/>
  </si>
  <si>
    <t>Denominations</t>
  </si>
  <si>
    <t>金種</t>
    <rPh sb="0" eb="2">
      <t>キンシュ</t>
    </rPh>
    <phoneticPr fontId="6"/>
  </si>
  <si>
    <t>金種（全10種類）を設定します</t>
    <rPh sb="0" eb="2">
      <t>キンシュ</t>
    </rPh>
    <rPh sb="3" eb="4">
      <t>ゼン</t>
    </rPh>
    <rPh sb="6" eb="7">
      <t>シュ</t>
    </rPh>
    <rPh sb="7" eb="8">
      <t>ルイ</t>
    </rPh>
    <rPh sb="10" eb="12">
      <t>セッテイ</t>
    </rPh>
    <phoneticPr fontId="6"/>
  </si>
  <si>
    <t>NumberOfLimit</t>
    <phoneticPr fontId="6"/>
  </si>
  <si>
    <t>上下限枚数</t>
    <rPh sb="0" eb="3">
      <t>ジョウカゲン</t>
    </rPh>
    <rPh sb="3" eb="5">
      <t>マイスウ</t>
    </rPh>
    <phoneticPr fontId="6"/>
  </si>
  <si>
    <t>ニアフルとなる上限枚数、ニアエンプティとなる下限枚数を設定します</t>
    <rPh sb="7" eb="9">
      <t>ジョウゲン</t>
    </rPh>
    <rPh sb="9" eb="11">
      <t>マイスウ</t>
    </rPh>
    <rPh sb="22" eb="24">
      <t>カゲン</t>
    </rPh>
    <rPh sb="24" eb="26">
      <t>マイスウ</t>
    </rPh>
    <rPh sb="27" eb="29">
      <t>セッテイ</t>
    </rPh>
    <phoneticPr fontId="6"/>
  </si>
  <si>
    <t>LeftBehind</t>
    <phoneticPr fontId="6"/>
  </si>
  <si>
    <t>残置枚数</t>
    <rPh sb="0" eb="1">
      <t>ザン</t>
    </rPh>
    <rPh sb="1" eb="2">
      <t>チ</t>
    </rPh>
    <rPh sb="2" eb="4">
      <t>マイスウ</t>
    </rPh>
    <phoneticPr fontId="6"/>
  </si>
  <si>
    <t>残置する枚数を設定します</t>
    <rPh sb="0" eb="1">
      <t>ザン</t>
    </rPh>
    <rPh sb="1" eb="2">
      <t>チ</t>
    </rPh>
    <rPh sb="4" eb="6">
      <t>マイスウ</t>
    </rPh>
    <rPh sb="7" eb="9">
      <t>セッテイ</t>
    </rPh>
    <phoneticPr fontId="6"/>
  </si>
  <si>
    <t>UsalLimit</t>
    <phoneticPr fontId="6"/>
  </si>
  <si>
    <t>有効期限</t>
    <rPh sb="0" eb="2">
      <t>ユウコウ</t>
    </rPh>
    <rPh sb="2" eb="4">
      <t>キゲン</t>
    </rPh>
    <phoneticPr fontId="6"/>
  </si>
  <si>
    <t>この設定が有効となる期限（設定日当日まで）を設定します</t>
    <rPh sb="2" eb="4">
      <t>セッテイ</t>
    </rPh>
    <rPh sb="5" eb="7">
      <t>ユウコウ</t>
    </rPh>
    <rPh sb="10" eb="12">
      <t>キゲン</t>
    </rPh>
    <rPh sb="13" eb="16">
      <t>セッテイビ</t>
    </rPh>
    <rPh sb="16" eb="18">
      <t>トウジツ</t>
    </rPh>
    <rPh sb="22" eb="24">
      <t>セッテイ</t>
    </rPh>
    <phoneticPr fontId="6"/>
  </si>
  <si>
    <t>DateCategorizeTypeCode</t>
  </si>
  <si>
    <t>採用曜日区分
1：全曜日 2：曜日指定
※2以外の場合、月曜日フラグ～日曜日フラグの内容は無視する</t>
    <phoneticPr fontId="6"/>
  </si>
  <si>
    <t>すべての曜日で同じ設定を用いる場合は「1」
曜日毎の設定とする場合は「2」
を設定します</t>
    <rPh sb="4" eb="6">
      <t>ヨウビ</t>
    </rPh>
    <rPh sb="7" eb="8">
      <t>オナ</t>
    </rPh>
    <rPh sb="9" eb="11">
      <t>セッテイ</t>
    </rPh>
    <rPh sb="12" eb="13">
      <t>モチ</t>
    </rPh>
    <rPh sb="15" eb="17">
      <t>バアイ</t>
    </rPh>
    <rPh sb="22" eb="24">
      <t>ヨウビ</t>
    </rPh>
    <rPh sb="24" eb="25">
      <t>ゴト</t>
    </rPh>
    <rPh sb="26" eb="28">
      <t>セッテイ</t>
    </rPh>
    <rPh sb="31" eb="33">
      <t>バアイ</t>
    </rPh>
    <rPh sb="39" eb="41">
      <t>セッテイ</t>
    </rPh>
    <phoneticPr fontId="6"/>
  </si>
  <si>
    <t>月曜日実施フラグ
Ｔｒｕｅ：実施　False：未実施</t>
    <phoneticPr fontId="6"/>
  </si>
  <si>
    <t>金種、枚数の組み合わせを月曜日に適用する場合は「true」を設定します</t>
    <rPh sb="0" eb="2">
      <t>キンシュ</t>
    </rPh>
    <rPh sb="3" eb="5">
      <t>マイスウ</t>
    </rPh>
    <rPh sb="6" eb="7">
      <t>ク</t>
    </rPh>
    <rPh sb="8" eb="9">
      <t>ア</t>
    </rPh>
    <rPh sb="12" eb="15">
      <t>ゲツヨウビ</t>
    </rPh>
    <rPh sb="16" eb="18">
      <t>テキヨウ</t>
    </rPh>
    <rPh sb="20" eb="22">
      <t>バアイ</t>
    </rPh>
    <rPh sb="30" eb="32">
      <t>セッテイ</t>
    </rPh>
    <phoneticPr fontId="6"/>
  </si>
  <si>
    <t>火曜日実施フラグ
Ｔｒｕｅ：実施　False：未実施</t>
    <phoneticPr fontId="6"/>
  </si>
  <si>
    <t>金種、枚数の組み合わせを火曜日に適用する場合は「true」を設定します</t>
    <rPh sb="0" eb="2">
      <t>キンシュ</t>
    </rPh>
    <rPh sb="3" eb="5">
      <t>マイスウ</t>
    </rPh>
    <rPh sb="6" eb="7">
      <t>ク</t>
    </rPh>
    <rPh sb="8" eb="9">
      <t>ア</t>
    </rPh>
    <rPh sb="12" eb="15">
      <t>カヨウビ</t>
    </rPh>
    <rPh sb="16" eb="18">
      <t>テキヨウ</t>
    </rPh>
    <rPh sb="20" eb="22">
      <t>バアイ</t>
    </rPh>
    <rPh sb="30" eb="32">
      <t>セッテイ</t>
    </rPh>
    <phoneticPr fontId="6"/>
  </si>
  <si>
    <t>水曜日実施フラグ
Ｔｒｕｅ：実施　False：未実施</t>
    <phoneticPr fontId="6"/>
  </si>
  <si>
    <t>金種、枚数の組み合わせを水曜日に適用する場合は「true」を設定します</t>
    <rPh sb="0" eb="2">
      <t>キンシュ</t>
    </rPh>
    <rPh sb="3" eb="5">
      <t>マイスウ</t>
    </rPh>
    <rPh sb="6" eb="7">
      <t>ク</t>
    </rPh>
    <rPh sb="8" eb="9">
      <t>ア</t>
    </rPh>
    <rPh sb="12" eb="15">
      <t>スイヨウビ</t>
    </rPh>
    <rPh sb="16" eb="18">
      <t>テキヨウ</t>
    </rPh>
    <rPh sb="20" eb="22">
      <t>バアイ</t>
    </rPh>
    <rPh sb="30" eb="32">
      <t>セッテイ</t>
    </rPh>
    <phoneticPr fontId="6"/>
  </si>
  <si>
    <t>木曜日実施フラグ
Ｔｒｕｅ：実施　False：未実施</t>
    <phoneticPr fontId="6"/>
  </si>
  <si>
    <t>金種、枚数の組み合わせを木曜日に適用する場合は「true」を設定します</t>
    <rPh sb="0" eb="2">
      <t>キンシュ</t>
    </rPh>
    <rPh sb="3" eb="5">
      <t>マイスウ</t>
    </rPh>
    <rPh sb="6" eb="7">
      <t>ク</t>
    </rPh>
    <rPh sb="8" eb="9">
      <t>ア</t>
    </rPh>
    <rPh sb="12" eb="15">
      <t>モクヨウビ</t>
    </rPh>
    <rPh sb="16" eb="18">
      <t>テキヨウ</t>
    </rPh>
    <rPh sb="20" eb="22">
      <t>バアイ</t>
    </rPh>
    <rPh sb="30" eb="32">
      <t>セッテイ</t>
    </rPh>
    <phoneticPr fontId="6"/>
  </si>
  <si>
    <t>金曜日実施フラグ
Ｔｒｕｅ：実施　False：未実施</t>
    <phoneticPr fontId="6"/>
  </si>
  <si>
    <t>金種、枚数の組み合わせを金曜日に適用する場合は「true」を設定します</t>
    <rPh sb="0" eb="2">
      <t>キンシュ</t>
    </rPh>
    <rPh sb="3" eb="5">
      <t>マイスウ</t>
    </rPh>
    <rPh sb="6" eb="7">
      <t>ク</t>
    </rPh>
    <rPh sb="8" eb="9">
      <t>ア</t>
    </rPh>
    <rPh sb="12" eb="15">
      <t>キンヨウビ</t>
    </rPh>
    <rPh sb="16" eb="18">
      <t>テキヨウ</t>
    </rPh>
    <rPh sb="20" eb="22">
      <t>バアイ</t>
    </rPh>
    <rPh sb="30" eb="32">
      <t>セッテイ</t>
    </rPh>
    <phoneticPr fontId="6"/>
  </si>
  <si>
    <t>土曜日実施フラグ
Ｔｒｕｅ：実施　False：未実施</t>
    <phoneticPr fontId="6"/>
  </si>
  <si>
    <t>金種、枚数の組み合わせを土曜日に適用する場合は「true」を設定します</t>
    <rPh sb="0" eb="2">
      <t>キンシュ</t>
    </rPh>
    <rPh sb="3" eb="5">
      <t>マイスウ</t>
    </rPh>
    <rPh sb="6" eb="7">
      <t>ク</t>
    </rPh>
    <rPh sb="8" eb="9">
      <t>ア</t>
    </rPh>
    <rPh sb="12" eb="15">
      <t>ドヨウビ</t>
    </rPh>
    <rPh sb="16" eb="18">
      <t>テキヨウ</t>
    </rPh>
    <rPh sb="20" eb="22">
      <t>バアイ</t>
    </rPh>
    <rPh sb="30" eb="32">
      <t>セッテイ</t>
    </rPh>
    <phoneticPr fontId="6"/>
  </si>
  <si>
    <t>日曜日実施フラグ
Ｔｒｕｅ：実施　False：未実施</t>
    <phoneticPr fontId="6"/>
  </si>
  <si>
    <t>金種、枚数の組み合わせを日曜日に適用する場合は「true」を設定します</t>
    <rPh sb="0" eb="2">
      <t>キンシュ</t>
    </rPh>
    <rPh sb="3" eb="5">
      <t>マイスウ</t>
    </rPh>
    <rPh sb="6" eb="7">
      <t>ク</t>
    </rPh>
    <rPh sb="8" eb="9">
      <t>ア</t>
    </rPh>
    <rPh sb="12" eb="15">
      <t>ニチヨウビ</t>
    </rPh>
    <rPh sb="16" eb="18">
      <t>テキヨウ</t>
    </rPh>
    <rPh sb="20" eb="22">
      <t>バアイ</t>
    </rPh>
    <rPh sb="30" eb="32">
      <t>セッテイ</t>
    </rPh>
    <phoneticPr fontId="6"/>
  </si>
  <si>
    <t>ReceiptCouponCode</t>
    <phoneticPr fontId="5"/>
  </si>
  <si>
    <t>レシートクーポン券コード</t>
    <rPh sb="8" eb="9">
      <t>ケン</t>
    </rPh>
    <phoneticPr fontId="5"/>
  </si>
  <si>
    <t>レシートタイプコード＝0の場合、値割引バーコード（８桁）
レシートタイプコード＝1の場合、識別コード:987のバーコード（１３桁）</t>
    <rPh sb="13" eb="15">
      <t>バアイ</t>
    </rPh>
    <rPh sb="26" eb="27">
      <t>ケタ</t>
    </rPh>
    <rPh sb="45" eb="47">
      <t>シキベツ</t>
    </rPh>
    <rPh sb="63" eb="64">
      <t>ケタ</t>
    </rPh>
    <phoneticPr fontId="5"/>
  </si>
  <si>
    <t>PrintFrom</t>
    <phoneticPr fontId="5"/>
  </si>
  <si>
    <t>印字期間From</t>
    <rPh sb="0" eb="2">
      <t>インジ</t>
    </rPh>
    <rPh sb="2" eb="4">
      <t>キカン</t>
    </rPh>
    <phoneticPr fontId="5"/>
  </si>
  <si>
    <t>datetime2</t>
    <phoneticPr fontId="5"/>
  </si>
  <si>
    <t>PrintTo</t>
    <phoneticPr fontId="5"/>
  </si>
  <si>
    <t>印字期間To</t>
    <rPh sb="0" eb="2">
      <t>インジ</t>
    </rPh>
    <rPh sb="2" eb="4">
      <t>キカン</t>
    </rPh>
    <phoneticPr fontId="5"/>
  </si>
  <si>
    <t>StartDate</t>
    <phoneticPr fontId="5"/>
  </si>
  <si>
    <t>有効期間From</t>
    <rPh sb="0" eb="2">
      <t>ユウコウ</t>
    </rPh>
    <rPh sb="2" eb="4">
      <t>キカン</t>
    </rPh>
    <phoneticPr fontId="5"/>
  </si>
  <si>
    <t>EndDate</t>
    <phoneticPr fontId="5"/>
  </si>
  <si>
    <t>有効期間To</t>
    <rPh sb="0" eb="2">
      <t>ユウコウ</t>
    </rPh>
    <rPh sb="2" eb="4">
      <t>キカン</t>
    </rPh>
    <phoneticPr fontId="5"/>
  </si>
  <si>
    <t>TicketingAmount</t>
  </si>
  <si>
    <t>発券金額</t>
    <phoneticPr fontId="5"/>
  </si>
  <si>
    <t>PrintConditionCode</t>
    <phoneticPr fontId="5"/>
  </si>
  <si>
    <t>印字コンディションコード</t>
    <rPh sb="0" eb="2">
      <t>インジ</t>
    </rPh>
    <phoneticPr fontId="5"/>
  </si>
  <si>
    <t>00：指定なし　Step1未使用</t>
    <rPh sb="3" eb="5">
      <t>シテイ</t>
    </rPh>
    <rPh sb="13" eb="16">
      <t>ミシヨウ</t>
    </rPh>
    <phoneticPr fontId="5"/>
  </si>
  <si>
    <t>ReceiptTypeCode</t>
    <phoneticPr fontId="5"/>
  </si>
  <si>
    <t>レシートタイプコード</t>
    <phoneticPr fontId="5"/>
  </si>
  <si>
    <t>0:有効期間付きバーコード出力　1:固定バーコード出力</t>
    <rPh sb="2" eb="4">
      <t>ユウコウ</t>
    </rPh>
    <rPh sb="4" eb="6">
      <t>キカン</t>
    </rPh>
    <rPh sb="6" eb="7">
      <t>ツ</t>
    </rPh>
    <rPh sb="13" eb="15">
      <t>シュツリョク</t>
    </rPh>
    <rPh sb="18" eb="20">
      <t>コテイ</t>
    </rPh>
    <rPh sb="25" eb="27">
      <t>シュツリョク</t>
    </rPh>
    <phoneticPr fontId="5"/>
  </si>
  <si>
    <t>ConditionsKey</t>
  </si>
  <si>
    <t>条件キー</t>
    <rPh sb="0" eb="2">
      <t>ジョウケン</t>
    </rPh>
    <phoneticPr fontId="5"/>
  </si>
  <si>
    <t>0：指定なし　Step1未使用</t>
    <rPh sb="2" eb="4">
      <t>シテイ</t>
    </rPh>
    <phoneticPr fontId="5"/>
  </si>
  <si>
    <t>Title</t>
    <phoneticPr fontId="5"/>
  </si>
  <si>
    <t>タイトル</t>
    <phoneticPr fontId="5"/>
  </si>
  <si>
    <t>nvarchar</t>
    <phoneticPr fontId="5"/>
  </si>
  <si>
    <t>MessagePosition</t>
    <phoneticPr fontId="6"/>
  </si>
  <si>
    <t>メッセージ表示位置</t>
    <rPh sb="5" eb="7">
      <t>ヒョウジ</t>
    </rPh>
    <rPh sb="7" eb="9">
      <t>イチ</t>
    </rPh>
    <phoneticPr fontId="6"/>
  </si>
  <si>
    <t>int</t>
    <phoneticPr fontId="5"/>
  </si>
  <si>
    <t>1：表面　2：裏面</t>
    <rPh sb="2" eb="4">
      <t>ヒョウメン</t>
    </rPh>
    <rPh sb="7" eb="9">
      <t>ウラメン</t>
    </rPh>
    <phoneticPr fontId="5"/>
  </si>
  <si>
    <t>MessageLineNo</t>
    <phoneticPr fontId="6"/>
  </si>
  <si>
    <t>行番号</t>
    <rPh sb="0" eb="1">
      <t>ギョウ</t>
    </rPh>
    <rPh sb="1" eb="3">
      <t>バンゴウ</t>
    </rPh>
    <phoneticPr fontId="6"/>
  </si>
  <si>
    <t>Message</t>
    <phoneticPr fontId="6"/>
  </si>
  <si>
    <t>メッセージ</t>
    <phoneticPr fontId="6"/>
  </si>
  <si>
    <t>MessageFontType</t>
    <phoneticPr fontId="6"/>
  </si>
  <si>
    <t>メッセージフォントタイプ</t>
    <phoneticPr fontId="6"/>
  </si>
  <si>
    <t>NULL/0：通常
1：太字
2：下線
3：4倍角</t>
    <rPh sb="7" eb="9">
      <t>ツウジョウ</t>
    </rPh>
    <rPh sb="12" eb="14">
      <t>フトジ</t>
    </rPh>
    <rPh sb="17" eb="19">
      <t>シタセン</t>
    </rPh>
    <rPh sb="23" eb="25">
      <t>バイカク</t>
    </rPh>
    <phoneticPr fontId="5"/>
  </si>
  <si>
    <t>NodeMaster</t>
    <phoneticPr fontId="6"/>
  </si>
  <si>
    <t>NodeType</t>
  </si>
  <si>
    <t>ノード種別</t>
  </si>
  <si>
    <t>KeyboardLayoutCode</t>
  </si>
  <si>
    <t>キーボードレイアウトコード</t>
  </si>
  <si>
    <t>KeyPresetButtonLayoutCode</t>
    <phoneticPr fontId="6"/>
  </si>
  <si>
    <t>プリセットボタンレイアウトコード</t>
    <phoneticPr fontId="6"/>
  </si>
  <si>
    <t>KeyFunctionButtonLayoutCode</t>
    <phoneticPr fontId="6"/>
  </si>
  <si>
    <t>ファンクションボタンレイアウトコード</t>
    <phoneticPr fontId="6"/>
  </si>
  <si>
    <t>ReceiptMessageCode</t>
  </si>
  <si>
    <t>レシートメッセージコード</t>
  </si>
  <si>
    <t>LineDisplayMessageCode</t>
  </si>
  <si>
    <t>ラインディスプレイメッセージコード</t>
  </si>
  <si>
    <t>IPAddress</t>
  </si>
  <si>
    <t>IPアドレス</t>
  </si>
  <si>
    <t>MACAddress</t>
  </si>
  <si>
    <t>MACアドレス</t>
  </si>
  <si>
    <t>EntryDateTime</t>
    <phoneticPr fontId="6"/>
  </si>
  <si>
    <r>
      <t>登録</t>
    </r>
    <r>
      <rPr>
        <sz val="11"/>
        <rFont val="ＭＳ Ｐゴシック"/>
        <family val="3"/>
        <charset val="128"/>
      </rPr>
      <t>日時</t>
    </r>
    <rPh sb="2" eb="4">
      <t>ニチジ</t>
    </rPh>
    <phoneticPr fontId="6"/>
  </si>
  <si>
    <t>相関図</t>
    <rPh sb="0" eb="3">
      <t>ソウカンズ</t>
    </rPh>
    <phoneticPr fontId="76"/>
  </si>
  <si>
    <t>税変換</t>
    <rPh sb="0" eb="1">
      <t>ゼイ</t>
    </rPh>
    <rPh sb="1" eb="3">
      <t>ヘンカン</t>
    </rPh>
    <phoneticPr fontId="14"/>
  </si>
  <si>
    <t>・</t>
  </si>
  <si>
    <t>使用マスタ</t>
    <rPh sb="0" eb="2">
      <t>シヨウ</t>
    </rPh>
    <phoneticPr fontId="14"/>
  </si>
  <si>
    <t>TaxGroupMaster</t>
    <phoneticPr fontId="7"/>
  </si>
  <si>
    <t>ItemMaster</t>
    <phoneticPr fontId="7"/>
  </si>
  <si>
    <t>TaxGroupDetailMaster</t>
    <phoneticPr fontId="7"/>
  </si>
  <si>
    <t>TaxCodeMaster</t>
    <phoneticPr fontId="7"/>
  </si>
  <si>
    <t>主キー</t>
    <rPh sb="0" eb="1">
      <t>シュ</t>
    </rPh>
    <phoneticPr fontId="76"/>
  </si>
  <si>
    <t>関連している項目</t>
    <rPh sb="0" eb="2">
      <t>カンレン</t>
    </rPh>
    <rPh sb="6" eb="8">
      <t>コウモク</t>
    </rPh>
    <phoneticPr fontId="76"/>
  </si>
  <si>
    <t>TaxGroupDetailMaster</t>
  </si>
  <si>
    <t>TaxCodeMaster</t>
  </si>
  <si>
    <t>CompanyCode</t>
    <phoneticPr fontId="76"/>
  </si>
  <si>
    <t>企業コード</t>
    <rPh sb="0" eb="2">
      <t>キギョウ</t>
    </rPh>
    <phoneticPr fontId="76"/>
  </si>
  <si>
    <t>CompanyCode</t>
  </si>
  <si>
    <t>企業コード</t>
  </si>
  <si>
    <t>StoreCode</t>
    <phoneticPr fontId="76"/>
  </si>
  <si>
    <t>店舗コード</t>
  </si>
  <si>
    <t>StoreCode</t>
  </si>
  <si>
    <t>TaxGroupDetailCode</t>
  </si>
  <si>
    <t>税グループ詳細コード</t>
    <phoneticPr fontId="76"/>
  </si>
  <si>
    <t>TaxType</t>
    <phoneticPr fontId="76"/>
  </si>
  <si>
    <t>税種別</t>
    <phoneticPr fontId="76"/>
  </si>
  <si>
    <t>StartDate</t>
    <phoneticPr fontId="76"/>
  </si>
  <si>
    <t>税提供開始日</t>
  </si>
  <si>
    <t>TaxCode</t>
    <phoneticPr fontId="76"/>
  </si>
  <si>
    <t>Rate</t>
    <phoneticPr fontId="76"/>
  </si>
  <si>
    <t>TaxGroupDetailCode</t>
    <phoneticPr fontId="76"/>
  </si>
  <si>
    <t>税グループ詳細コード</t>
  </si>
  <si>
    <t>RoundDigit</t>
    <phoneticPr fontId="76"/>
  </si>
  <si>
    <t>RoundMethod</t>
    <phoneticPr fontId="76"/>
  </si>
  <si>
    <t>MDHierarchyMaster</t>
    <phoneticPr fontId="7"/>
  </si>
  <si>
    <t>ItemCode</t>
  </si>
  <si>
    <t>単品コード</t>
  </si>
  <si>
    <t>MDHierarchyCode</t>
  </si>
  <si>
    <t>MD階層コード</t>
  </si>
  <si>
    <t>：</t>
    <phoneticPr fontId="7"/>
  </si>
  <si>
    <t>MDHierarchyLevel</t>
  </si>
  <si>
    <t>MD階層レベル</t>
  </si>
  <si>
    <t>TaxGroupCode</t>
    <phoneticPr fontId="76"/>
  </si>
  <si>
    <t>・</t>
    <phoneticPr fontId="76"/>
  </si>
  <si>
    <t>税の算出方法</t>
    <rPh sb="0" eb="1">
      <t>ゼイ</t>
    </rPh>
    <rPh sb="2" eb="4">
      <t>サンシュツ</t>
    </rPh>
    <rPh sb="4" eb="6">
      <t>ホウホウ</t>
    </rPh>
    <phoneticPr fontId="76"/>
  </si>
  <si>
    <t>★単品登録の場合</t>
    <rPh sb="1" eb="3">
      <t>タンピン</t>
    </rPh>
    <rPh sb="3" eb="5">
      <t>トウロク</t>
    </rPh>
    <rPh sb="6" eb="8">
      <t>バアイ</t>
    </rPh>
    <phoneticPr fontId="76"/>
  </si>
  <si>
    <t>単品に対する「ItemMaster．TaxGroupCode」をキーとし、「TaxCodeMaster」マスタの値を取得する</t>
    <rPh sb="0" eb="2">
      <t>タンピン</t>
    </rPh>
    <rPh sb="3" eb="4">
      <t>タイ</t>
    </rPh>
    <rPh sb="56" eb="57">
      <t>アタイ</t>
    </rPh>
    <rPh sb="58" eb="60">
      <t>シュトク</t>
    </rPh>
    <phoneticPr fontId="76"/>
  </si>
  <si>
    <t>①</t>
    <phoneticPr fontId="76"/>
  </si>
  <si>
    <t>TaxGroupCode を使用し「TaxGroupMaster」マスタから TaxGroupDetailCode を取得する</t>
    <rPh sb="14" eb="16">
      <t>シヨウ</t>
    </rPh>
    <rPh sb="59" eb="61">
      <t>シュトク</t>
    </rPh>
    <phoneticPr fontId="76"/>
  </si>
  <si>
    <t>RoundMethod(丸め種別)</t>
    <phoneticPr fontId="76"/>
  </si>
  <si>
    <t>※StartDate≦システム日付 となる最新日のレコードを取得する</t>
    <rPh sb="30" eb="32">
      <t>シュトク</t>
    </rPh>
    <phoneticPr fontId="76"/>
  </si>
  <si>
    <t>01:四捨五入</t>
  </si>
  <si>
    <t>②</t>
    <phoneticPr fontId="76"/>
  </si>
  <si>
    <t>TaxGroupDetailCode を使用し「TaxGroupDetailMaster」マスタから TaxCode を取得する</t>
    <rPh sb="20" eb="22">
      <t>シヨウ</t>
    </rPh>
    <rPh sb="60" eb="62">
      <t>シュトク</t>
    </rPh>
    <phoneticPr fontId="76"/>
  </si>
  <si>
    <t>02:切上げ</t>
    <phoneticPr fontId="76"/>
  </si>
  <si>
    <t>③</t>
    <phoneticPr fontId="76"/>
  </si>
  <si>
    <t>TaxCode を使用し「TaxCodeMaster」マスタから TaxType, Rate, RoundDigit, RoundMethod を取得する</t>
    <rPh sb="9" eb="11">
      <t>シヨウ</t>
    </rPh>
    <rPh sb="73" eb="75">
      <t>シュトク</t>
    </rPh>
    <phoneticPr fontId="76"/>
  </si>
  <si>
    <t>03:切捨て</t>
    <phoneticPr fontId="76"/>
  </si>
  <si>
    <t>④</t>
    <phoneticPr fontId="76"/>
  </si>
  <si>
    <t>TaxTypeより算出方法を切り替え</t>
    <rPh sb="9" eb="11">
      <t>サンシュツ</t>
    </rPh>
    <rPh sb="11" eb="13">
      <t>ホウホウ</t>
    </rPh>
    <rPh sb="14" eb="15">
      <t>キ</t>
    </rPh>
    <rPh sb="16" eb="17">
      <t>カ</t>
    </rPh>
    <phoneticPr fontId="76"/>
  </si>
  <si>
    <t>04:偶数丸め</t>
    <phoneticPr fontId="76"/>
  </si>
  <si>
    <t>・TaxType＝"01"(外税)の場合</t>
    <rPh sb="18" eb="20">
      <t>バアイ</t>
    </rPh>
    <phoneticPr fontId="76"/>
  </si>
  <si>
    <t>(対象金額 / 100m) * Rate の結果を　RoundDigit　の桁で丸めた値を税額とする。丸め方式は RoundMethod を使用する。</t>
    <rPh sb="1" eb="3">
      <t>タイショウ</t>
    </rPh>
    <rPh sb="3" eb="5">
      <t>キンガク</t>
    </rPh>
    <rPh sb="22" eb="24">
      <t>ケッカ</t>
    </rPh>
    <rPh sb="38" eb="39">
      <t>ケタ</t>
    </rPh>
    <rPh sb="40" eb="41">
      <t>マル</t>
    </rPh>
    <rPh sb="43" eb="44">
      <t>アタイ</t>
    </rPh>
    <rPh sb="45" eb="47">
      <t>ゼイガク</t>
    </rPh>
    <rPh sb="51" eb="52">
      <t>マル</t>
    </rPh>
    <rPh sb="53" eb="55">
      <t>ホウシキ</t>
    </rPh>
    <rPh sb="70" eb="72">
      <t>シヨウ</t>
    </rPh>
    <phoneticPr fontId="76"/>
  </si>
  <si>
    <t>・TaxType＝"02"(内税)の場合</t>
    <rPh sb="18" eb="20">
      <t>バアイ</t>
    </rPh>
    <phoneticPr fontId="76"/>
  </si>
  <si>
    <t>(対象金額 / (100 + Rate)) * Rate の結果を　RoundDigit　の桁で丸めた値を税額とする。丸め方式は RoundMethod を使用する。</t>
    <rPh sb="1" eb="3">
      <t>タイショウ</t>
    </rPh>
    <rPh sb="3" eb="5">
      <t>キンガク</t>
    </rPh>
    <phoneticPr fontId="76"/>
  </si>
  <si>
    <t>・TaxType＝"03"(非課税)の場合</t>
    <rPh sb="14" eb="17">
      <t>ヒカゼイ</t>
    </rPh>
    <rPh sb="19" eb="21">
      <t>バアイ</t>
    </rPh>
    <phoneticPr fontId="76"/>
  </si>
  <si>
    <t>0 を税額とする。</t>
    <rPh sb="3" eb="5">
      <t>ゼイガク</t>
    </rPh>
    <phoneticPr fontId="76"/>
  </si>
  <si>
    <t>★部門登録、クラス登録の場合</t>
    <rPh sb="1" eb="3">
      <t>ブモン</t>
    </rPh>
    <rPh sb="3" eb="5">
      <t>トウロク</t>
    </rPh>
    <rPh sb="9" eb="11">
      <t>トウロク</t>
    </rPh>
    <rPh sb="12" eb="14">
      <t>バアイ</t>
    </rPh>
    <phoneticPr fontId="76"/>
  </si>
  <si>
    <t>部門／クラスに対する「MDHierarchyMaster．TaxGroupCode」を使用し、上記同様に算出する。</t>
    <rPh sb="0" eb="2">
      <t>ブモン</t>
    </rPh>
    <rPh sb="7" eb="8">
      <t>タイ</t>
    </rPh>
    <rPh sb="43" eb="45">
      <t>シヨウ</t>
    </rPh>
    <rPh sb="47" eb="49">
      <t>ジョウキ</t>
    </rPh>
    <rPh sb="49" eb="51">
      <t>ドウヨウ</t>
    </rPh>
    <rPh sb="52" eb="54">
      <t>サンシュツ</t>
    </rPh>
    <phoneticPr fontId="76"/>
  </si>
  <si>
    <t>（例）</t>
    <rPh sb="1" eb="2">
      <t>レイ</t>
    </rPh>
    <phoneticPr fontId="6"/>
  </si>
  <si>
    <t>№</t>
    <phoneticPr fontId="76"/>
  </si>
  <si>
    <t>0000000000091</t>
    <phoneticPr fontId="76"/>
  </si>
  <si>
    <t>・・・</t>
    <phoneticPr fontId="7"/>
  </si>
  <si>
    <t>04</t>
    <phoneticPr fontId="7"/>
  </si>
  <si>
    <t>04</t>
  </si>
  <si>
    <t>1997-04-01</t>
    <phoneticPr fontId="76"/>
  </si>
  <si>
    <t>外税(5%)</t>
    <rPh sb="0" eb="1">
      <t>ソト</t>
    </rPh>
    <rPh sb="1" eb="2">
      <t>ゼイ</t>
    </rPh>
    <phoneticPr fontId="76"/>
  </si>
  <si>
    <t>01</t>
    <phoneticPr fontId="76"/>
  </si>
  <si>
    <t>0000000123973</t>
    <phoneticPr fontId="76"/>
  </si>
  <si>
    <t>05</t>
    <phoneticPr fontId="76"/>
  </si>
  <si>
    <t>2014-04-01</t>
    <phoneticPr fontId="76"/>
  </si>
  <si>
    <t>外税(8%)</t>
    <rPh sb="0" eb="1">
      <t>ソト</t>
    </rPh>
    <rPh sb="1" eb="2">
      <t>ゼイ</t>
    </rPh>
    <phoneticPr fontId="76"/>
  </si>
  <si>
    <t>11</t>
    <phoneticPr fontId="76"/>
  </si>
  <si>
    <t>05</t>
  </si>
  <si>
    <t>1997-04-01</t>
  </si>
  <si>
    <t>内税(5%)</t>
    <rPh sb="0" eb="2">
      <t>ウチゼイ</t>
    </rPh>
    <phoneticPr fontId="76"/>
  </si>
  <si>
    <t>02</t>
    <phoneticPr fontId="76"/>
  </si>
  <si>
    <t>2014-04-01</t>
  </si>
  <si>
    <t>内税(8%)</t>
    <rPh sb="0" eb="2">
      <t>ウチゼイ</t>
    </rPh>
    <phoneticPr fontId="76"/>
  </si>
  <si>
    <t>12</t>
    <phoneticPr fontId="76"/>
  </si>
  <si>
    <t>06</t>
    <phoneticPr fontId="76"/>
  </si>
  <si>
    <t>非課税</t>
    <rPh sb="0" eb="3">
      <t>ヒカゼイ</t>
    </rPh>
    <phoneticPr fontId="76"/>
  </si>
  <si>
    <t>03</t>
    <phoneticPr fontId="76"/>
  </si>
  <si>
    <t>※複数行ある場合は、StartDate≦システム日付 となる最新日のレコードを取得</t>
    <rPh sb="1" eb="3">
      <t>フクスウ</t>
    </rPh>
    <rPh sb="3" eb="4">
      <t>ギョウ</t>
    </rPh>
    <rPh sb="6" eb="8">
      <t>バアイ</t>
    </rPh>
    <rPh sb="39" eb="41">
      <t>シュトク</t>
    </rPh>
    <phoneticPr fontId="76"/>
  </si>
  <si>
    <t>RoundDigit</t>
    <phoneticPr fontId="6"/>
  </si>
  <si>
    <t>5.0</t>
    <phoneticPr fontId="76"/>
  </si>
  <si>
    <t>消費税(外)</t>
    <rPh sb="0" eb="3">
      <t>ショウヒゼイ</t>
    </rPh>
    <rPh sb="4" eb="5">
      <t>ソト</t>
    </rPh>
    <phoneticPr fontId="76"/>
  </si>
  <si>
    <t>03</t>
  </si>
  <si>
    <t>外税</t>
    <rPh sb="0" eb="1">
      <t>ソト</t>
    </rPh>
    <rPh sb="1" eb="2">
      <t>ゼイ</t>
    </rPh>
    <phoneticPr fontId="76"/>
  </si>
  <si>
    <t>02</t>
  </si>
  <si>
    <t>消費税(内)</t>
    <rPh sb="0" eb="3">
      <t>ショウヒゼイ</t>
    </rPh>
    <rPh sb="4" eb="5">
      <t>ウチ</t>
    </rPh>
    <phoneticPr fontId="76"/>
  </si>
  <si>
    <t>内税</t>
    <rPh sb="0" eb="2">
      <t>ウチゼイ</t>
    </rPh>
    <phoneticPr fontId="76"/>
  </si>
  <si>
    <t>0.0</t>
  </si>
  <si>
    <t>8.0</t>
    <phoneticPr fontId="76"/>
  </si>
  <si>
    <t>12</t>
  </si>
  <si>
    <t>プリセットマスタ</t>
    <phoneticPr fontId="5"/>
  </si>
  <si>
    <t>ItemMaster</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</si>
</sst>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76" formatCode="#,##0;\-#,##0;&quot;-&quot;"/>
    <numFmt numFmtId="177" formatCode="yyyy/mm/dd"/>
    <numFmt numFmtId="178" formatCode="&quot;$&quot;#,##0_);\(&quot;$&quot;#,##0\)"/>
    <numFmt numFmtId="179" formatCode="#,##0\ &quot;F&quot;;[Red]\-#,##0\ &quot;F&quot;"/>
    <numFmt numFmtId="180" formatCode="General_)"/>
    <numFmt numFmtId="181" formatCode="&quot;¥&quot;&quot;¥&quot;&quot;¥&quot;&quot;¥&quot;&quot;¥&quot;&quot;¥&quot;&quot;¥&quot;\$#,##0_);[Red]&quot;¥&quot;&quot;¥&quot;&quot;¥&quot;&quot;¥&quot;&quot;¥&quot;&quot;¥&quot;&quot;¥&quot;\(&quot;¥&quot;&quot;¥&quot;&quot;¥&quot;&quot;¥&quot;&quot;¥&quot;&quot;¥&quot;&quot;¥&quot;\$#,##0&quot;¥&quot;&quot;¥&quot;&quot;¥&quot;&quot;¥&quot;&quot;¥&quot;&quot;¥&quot;&quot;¥&quot;\)"/>
    <numFmt numFmtId="182" formatCode="&quot;$&quot;#,##0_);[Red]\(&quot;$&quot;#,##0\)"/>
    <numFmt numFmtId="183" formatCode="_ * #,##0_ ;_ * &quot;¥&quot;&quot;¥&quot;&quot;¥&quot;&quot;¥&quot;&quot;¥&quot;&quot;¥&quot;\-#,##0_ ;_ * &quot;-&quot;_ ;_ @_ "/>
    <numFmt numFmtId="184" formatCode="_ * #,##0.00_ ;_ * &quot;¥&quot;&quot;¥&quot;&quot;¥&quot;&quot;¥&quot;&quot;¥&quot;&quot;¥&quot;\-#,##0.00_ ;_ * &quot;-&quot;??_ ;_ @_ "/>
    <numFmt numFmtId="185" formatCode="0.00_)"/>
    <numFmt numFmtId="186" formatCode="#,##0_ ;[Red]\-#,##0\ "/>
    <numFmt numFmtId="187" formatCode="0_ ;[Red]\-0\ "/>
    <numFmt numFmtId="188" formatCode="0_);\(0\)"/>
    <numFmt numFmtId="189" formatCode="#,##0_ "/>
  </numFmts>
  <fonts count="89">
    <font>
      <sz val="11"/>
      <color theme="1"/>
      <name val="ＭＳ Ｐゴシック"/>
      <family val="3"/>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3"/>
      <charset val="128"/>
      <scheme val="minor"/>
    </font>
    <font>
      <sz val="11"/>
      <color indexed="8"/>
      <name val="ＭＳ Ｐゴシック"/>
      <family val="3"/>
      <charset val="128"/>
    </font>
    <font>
      <sz val="6"/>
      <name val="ＭＳ Ｐゴシック"/>
      <family val="3"/>
      <charset val="128"/>
      <scheme val="minor"/>
    </font>
    <font>
      <sz val="6"/>
      <name val="ＭＳ Ｐゴシック"/>
      <family val="3"/>
      <charset val="128"/>
    </font>
    <font>
      <sz val="6"/>
      <name val="ＭＳ ゴシック"/>
      <family val="3"/>
      <charset val="128"/>
    </font>
    <font>
      <sz val="11"/>
      <name val="ＭＳ Ｐゴシック"/>
      <family val="3"/>
      <charset val="128"/>
    </font>
    <font>
      <b/>
      <sz val="10"/>
      <name val="ＭＳ Ｐゴシック"/>
      <family val="3"/>
      <charset val="128"/>
    </font>
    <font>
      <b/>
      <sz val="8"/>
      <name val="ＭＳ Ｐゴシック"/>
      <family val="3"/>
      <charset val="128"/>
    </font>
    <font>
      <sz val="11"/>
      <name val="ＭＳ Ｐ明朝"/>
      <family val="1"/>
      <charset val="128"/>
    </font>
    <font>
      <b/>
      <sz val="16"/>
      <name val="ＭＳ ゴシック"/>
      <family val="3"/>
      <charset val="128"/>
    </font>
    <font>
      <sz val="12"/>
      <name val="ＭＳ ゴシック"/>
      <family val="3"/>
      <charset val="128"/>
    </font>
    <font>
      <sz val="9"/>
      <name val="ＭＳ ゴシック"/>
      <family val="3"/>
      <charset val="128"/>
    </font>
    <font>
      <sz val="10"/>
      <name val="ＭＳ ゴシック"/>
      <family val="3"/>
      <charset val="128"/>
    </font>
    <font>
      <sz val="9"/>
      <color indexed="8"/>
      <name val="ＭＳ ゴシック"/>
      <family val="3"/>
      <charset val="128"/>
    </font>
    <font>
      <sz val="11"/>
      <color rgb="FF0000FF"/>
      <name val="ＭＳ Ｐゴシック"/>
      <family val="3"/>
      <charset val="128"/>
    </font>
    <font>
      <sz val="10"/>
      <color indexed="8"/>
      <name val="Arial"/>
      <family val="2"/>
    </font>
    <font>
      <b/>
      <sz val="12"/>
      <name val="Arial"/>
      <family val="2"/>
    </font>
    <font>
      <u/>
      <sz val="9"/>
      <name val="ＭＳ Ｐゴシック"/>
      <family val="3"/>
      <charset val="128"/>
    </font>
    <font>
      <u/>
      <sz val="8.8000000000000007"/>
      <color indexed="12"/>
      <name val="ＭＳ Ｐゴシック"/>
      <family val="3"/>
      <charset val="128"/>
    </font>
    <font>
      <sz val="11"/>
      <name val="ＭＳ ゴシック"/>
      <family val="3"/>
      <charset val="128"/>
    </font>
    <font>
      <sz val="10"/>
      <color indexed="8"/>
      <name val="ＭＳ ゴシック"/>
      <family val="3"/>
      <charset val="128"/>
    </font>
    <font>
      <sz val="11"/>
      <color indexed="8"/>
      <name val="メイリオ"/>
      <family val="3"/>
      <charset val="128"/>
    </font>
    <font>
      <sz val="10"/>
      <color indexed="9"/>
      <name val="ＭＳ ゴシック"/>
      <family val="3"/>
      <charset val="128"/>
    </font>
    <font>
      <sz val="8"/>
      <name val="Times New Roman"/>
      <family val="1"/>
    </font>
    <font>
      <b/>
      <sz val="10"/>
      <name val="MS Sans Serif"/>
      <family val="2"/>
    </font>
    <font>
      <b/>
      <sz val="12"/>
      <name val="Helv"/>
      <family val="2"/>
    </font>
    <font>
      <sz val="12"/>
      <name val="Helv"/>
      <family val="2"/>
    </font>
    <font>
      <sz val="10"/>
      <name val="MS Sans Serif"/>
      <family val="2"/>
    </font>
    <font>
      <sz val="9"/>
      <name val="Times New Roman"/>
      <family val="1"/>
    </font>
    <font>
      <sz val="8"/>
      <name val="Arial"/>
      <family val="2"/>
    </font>
    <font>
      <b/>
      <i/>
      <sz val="16"/>
      <name val="Helv"/>
      <family val="2"/>
    </font>
    <font>
      <sz val="10"/>
      <name val="Arial"/>
      <family val="2"/>
    </font>
    <font>
      <sz val="8"/>
      <color indexed="16"/>
      <name val="Century Schoolbook"/>
      <family val="1"/>
    </font>
    <font>
      <b/>
      <i/>
      <sz val="10"/>
      <name val="Times New Roman"/>
      <family val="1"/>
    </font>
    <font>
      <sz val="11"/>
      <name val="ＨＧ丸ゴシックM"/>
      <family val="3"/>
      <charset val="128"/>
    </font>
    <font>
      <sz val="14"/>
      <name val="ＨＧ丸ゴシックM"/>
      <family val="3"/>
      <charset val="128"/>
    </font>
    <font>
      <b/>
      <sz val="18"/>
      <color indexed="56"/>
      <name val="ＭＳ Ｐゴシック"/>
      <family val="3"/>
      <charset val="128"/>
    </font>
    <font>
      <sz val="10"/>
      <name val="ＨＧ丸ゴシックM"/>
      <family val="3"/>
      <charset val="128"/>
    </font>
    <font>
      <b/>
      <sz val="10"/>
      <color indexed="9"/>
      <name val="ＭＳ ゴシック"/>
      <family val="3"/>
      <charset val="128"/>
    </font>
    <font>
      <sz val="10"/>
      <color indexed="60"/>
      <name val="ＭＳ ゴシック"/>
      <family val="3"/>
      <charset val="128"/>
    </font>
    <font>
      <sz val="10"/>
      <color indexed="52"/>
      <name val="ＭＳ ゴシック"/>
      <family val="3"/>
      <charset val="128"/>
    </font>
    <font>
      <sz val="10"/>
      <color indexed="20"/>
      <name val="ＭＳ ゴシック"/>
      <family val="3"/>
      <charset val="128"/>
    </font>
    <font>
      <sz val="10"/>
      <name val="ＭＳ Ｐゴシック"/>
      <family val="3"/>
      <charset val="128"/>
    </font>
    <font>
      <b/>
      <sz val="10"/>
      <color indexed="52"/>
      <name val="ＭＳ ゴシック"/>
      <family val="3"/>
      <charset val="128"/>
    </font>
    <font>
      <sz val="10"/>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10"/>
      <color indexed="8"/>
      <name val="ＭＳ ゴシック"/>
      <family val="3"/>
      <charset val="128"/>
    </font>
    <font>
      <b/>
      <sz val="10"/>
      <color indexed="63"/>
      <name val="ＭＳ ゴシック"/>
      <family val="3"/>
      <charset val="128"/>
    </font>
    <font>
      <i/>
      <sz val="10"/>
      <color indexed="23"/>
      <name val="ＭＳ ゴシック"/>
      <family val="3"/>
      <charset val="128"/>
    </font>
    <font>
      <sz val="10"/>
      <color indexed="62"/>
      <name val="ＭＳ ゴシック"/>
      <family val="3"/>
      <charset val="128"/>
    </font>
    <font>
      <sz val="14"/>
      <name val="ＭＳ 明朝"/>
      <family val="1"/>
      <charset val="128"/>
    </font>
    <font>
      <b/>
      <i/>
      <sz val="11"/>
      <name val="ＭＳ Ｐゴシック"/>
      <family val="3"/>
      <charset val="128"/>
    </font>
    <font>
      <sz val="10"/>
      <color indexed="17"/>
      <name val="ＭＳ ゴシック"/>
      <family val="3"/>
      <charset val="128"/>
    </font>
    <font>
      <sz val="10"/>
      <color indexed="8"/>
      <name val="ＭＳ Ｐゴシック"/>
      <family val="3"/>
      <charset val="128"/>
    </font>
    <font>
      <u/>
      <sz val="9.35"/>
      <name val="ＭＳ Ｐゴシック"/>
      <family val="3"/>
      <charset val="128"/>
    </font>
    <font>
      <u/>
      <sz val="11"/>
      <color indexed="12"/>
      <name val="ＭＳ Ｐゴシック"/>
      <family val="3"/>
      <charset val="128"/>
    </font>
    <font>
      <u/>
      <sz val="11"/>
      <color theme="10"/>
      <name val="ＭＳ Ｐゴシック"/>
      <family val="3"/>
      <charset val="128"/>
    </font>
    <font>
      <sz val="11"/>
      <color theme="1"/>
      <name val="ＭＳ Ｐゴシック"/>
      <family val="3"/>
      <charset val="128"/>
    </font>
    <font>
      <sz val="11"/>
      <color theme="1"/>
      <name val="ＭＳ Ｐゴシック"/>
      <family val="2"/>
      <scheme val="minor"/>
    </font>
    <font>
      <sz val="14"/>
      <name val="ＭＳ ゴシック"/>
      <family val="3"/>
      <charset val="128"/>
    </font>
    <font>
      <b/>
      <sz val="12"/>
      <name val="ＭＳ ゴシック"/>
      <family val="3"/>
      <charset val="128"/>
    </font>
    <font>
      <sz val="36"/>
      <name val="ＭＳ ゴシック"/>
      <family val="3"/>
      <charset val="128"/>
    </font>
    <font>
      <sz val="24"/>
      <name val="ＭＳ ゴシック"/>
      <family val="3"/>
      <charset val="128"/>
    </font>
    <font>
      <sz val="9"/>
      <color indexed="81"/>
      <name val="ＭＳ Ｐゴシック"/>
      <family val="3"/>
      <charset val="128"/>
    </font>
    <font>
      <b/>
      <sz val="10"/>
      <color indexed="81"/>
      <name val="ＭＳ ゴシック"/>
      <family val="3"/>
      <charset val="128"/>
    </font>
    <font>
      <sz val="9"/>
      <color rgb="FF0000FF"/>
      <name val="ＭＳ ゴシック"/>
      <family val="3"/>
      <charset val="128"/>
    </font>
    <font>
      <b/>
      <sz val="9"/>
      <color indexed="81"/>
      <name val="ＭＳ Ｐゴシック"/>
      <family val="3"/>
      <charset val="128"/>
    </font>
    <font>
      <sz val="11"/>
      <color theme="1"/>
      <name val="MS UI Gothic"/>
      <family val="3"/>
      <charset val="128"/>
    </font>
    <font>
      <b/>
      <sz val="11"/>
      <color theme="1"/>
      <name val="ＭＳ Ｐゴシック"/>
      <family val="3"/>
      <charset val="128"/>
      <scheme val="minor"/>
    </font>
    <font>
      <sz val="11"/>
      <color rgb="FF0000FF"/>
      <name val="ＭＳ Ｐゴシック"/>
      <family val="3"/>
      <charset val="128"/>
      <scheme val="minor"/>
    </font>
    <font>
      <b/>
      <sz val="11"/>
      <color rgb="FF0000FF"/>
      <name val="ＭＳ Ｐゴシック"/>
      <family val="3"/>
      <charset val="128"/>
      <scheme val="minor"/>
    </font>
    <font>
      <sz val="6"/>
      <name val="ＭＳ Ｐゴシック"/>
      <family val="2"/>
      <charset val="128"/>
      <scheme val="minor"/>
    </font>
    <font>
      <b/>
      <sz val="9"/>
      <name val="ＭＳ ゴシック"/>
      <family val="3"/>
      <charset val="128"/>
    </font>
    <font>
      <sz val="9"/>
      <color theme="1"/>
      <name val="ＭＳ ゴシック"/>
      <family val="3"/>
      <charset val="128"/>
    </font>
    <font>
      <b/>
      <u/>
      <sz val="9"/>
      <name val="ＭＳ ゴシック"/>
      <family val="3"/>
      <charset val="128"/>
    </font>
    <font>
      <b/>
      <sz val="9"/>
      <color theme="1"/>
      <name val="ＭＳ ゴシック"/>
      <family val="3"/>
      <charset val="128"/>
    </font>
    <font>
      <sz val="11"/>
      <name val="ＭＳ Ｐゴシック"/>
      <family val="3"/>
      <charset val="128"/>
      <scheme val="minor"/>
    </font>
    <font>
      <sz val="9"/>
      <color rgb="FFFF0000"/>
      <name val="ＭＳ ゴシック"/>
      <family val="3"/>
      <charset val="128"/>
    </font>
    <font>
      <sz val="9"/>
      <color rgb="FF3DAC2A"/>
      <name val="ＭＳ ゴシック"/>
      <family val="3"/>
      <charset val="128"/>
    </font>
    <font>
      <strike/>
      <sz val="11"/>
      <color rgb="FF3DAC2A"/>
      <name val="ＭＳ Ｐゴシック"/>
      <family val="3"/>
      <charset val="128"/>
      <scheme val="minor"/>
    </font>
    <font>
      <sz val="9"/>
      <color theme="8"/>
      <name val="ＭＳ ゴシック"/>
      <family val="3"/>
      <charset val="128"/>
    </font>
    <font>
      <strike/>
      <sz val="11"/>
      <color theme="8"/>
      <name val="ＭＳ Ｐゴシック"/>
      <family val="3"/>
      <charset val="128"/>
      <scheme val="minor"/>
    </font>
    <font>
      <sz val="9"/>
      <color rgb="FF7030A0"/>
      <name val="ＭＳ ゴシック"/>
      <family val="3"/>
      <charset val="128"/>
    </font>
    <font>
      <sz val="11"/>
      <color rgb="FF7030A0"/>
      <name val="ＭＳ Ｐゴシック"/>
      <family val="3"/>
      <charset val="128"/>
    </font>
  </fonts>
  <fills count="36">
    <fill>
      <patternFill patternType="none"/>
    </fill>
    <fill>
      <patternFill patternType="gray125"/>
    </fill>
    <fill>
      <patternFill patternType="solid">
        <fgColor indexed="52"/>
        <bgColor indexed="64"/>
      </patternFill>
    </fill>
    <fill>
      <patternFill patternType="solid">
        <fgColor theme="5" tint="0.79998168889431442"/>
        <bgColor indexed="64"/>
      </patternFill>
    </fill>
    <fill>
      <patternFill patternType="solid">
        <fgColor indexed="2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9"/>
        <bgColor indexed="64"/>
      </patternFill>
    </fill>
    <fill>
      <patternFill patternType="lightGray"/>
    </fill>
    <fill>
      <patternFill patternType="solid">
        <fgColor theme="4" tint="0.79998168889431442"/>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theme="0"/>
        <bgColor indexed="64"/>
      </patternFill>
    </fill>
    <fill>
      <patternFill patternType="solid">
        <fgColor theme="7" tint="0.79998168889431442"/>
        <bgColor indexed="64"/>
      </patternFill>
    </fill>
    <fill>
      <patternFill patternType="solid">
        <fgColor rgb="FFFFFF00"/>
        <bgColor indexed="64"/>
      </patternFill>
    </fill>
  </fills>
  <borders count="56">
    <border>
      <left/>
      <right/>
      <top/>
      <bottom/>
      <diagonal/>
    </border>
    <border>
      <left/>
      <right/>
      <top style="medium">
        <color indexed="64"/>
      </top>
      <bottom style="medium">
        <color indexed="64"/>
      </bottom>
      <diagonal/>
    </border>
    <border>
      <left style="thin">
        <color indexed="64"/>
      </left>
      <right style="thin">
        <color indexed="64"/>
      </right>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dotted">
        <color indexed="64"/>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style="thin">
        <color indexed="64"/>
      </top>
      <bottom style="dotted">
        <color indexed="64"/>
      </bottom>
      <diagonal/>
    </border>
    <border>
      <left style="thin">
        <color indexed="64"/>
      </left>
      <right style="medium">
        <color indexed="64"/>
      </right>
      <top/>
      <bottom style="dotted">
        <color indexed="64"/>
      </bottom>
      <diagonal/>
    </border>
    <border>
      <left style="thin">
        <color indexed="64"/>
      </left>
      <right style="medium">
        <color indexed="64"/>
      </right>
      <top style="dotted">
        <color indexed="64"/>
      </top>
      <bottom style="dotted">
        <color indexed="64"/>
      </bottom>
      <diagonal/>
    </border>
    <border>
      <left style="thin">
        <color indexed="64"/>
      </left>
      <right style="thin">
        <color indexed="64"/>
      </right>
      <top style="dotted">
        <color indexed="64"/>
      </top>
      <bottom style="medium">
        <color indexed="64"/>
      </bottom>
      <diagonal/>
    </border>
    <border>
      <left style="thin">
        <color indexed="64"/>
      </left>
      <right style="medium">
        <color indexed="64"/>
      </right>
      <top style="dotted">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double">
        <color indexed="64"/>
      </bottom>
      <diagonal/>
    </border>
    <border>
      <left/>
      <right style="thin">
        <color indexed="64"/>
      </right>
      <top style="medium">
        <color indexed="64"/>
      </top>
      <bottom style="double">
        <color indexed="64"/>
      </bottom>
      <diagonal/>
    </border>
    <border>
      <left style="medium">
        <color indexed="64"/>
      </left>
      <right style="thin">
        <color indexed="64"/>
      </right>
      <top/>
      <bottom style="dotted">
        <color indexed="64"/>
      </bottom>
      <diagonal/>
    </border>
    <border>
      <left style="medium">
        <color indexed="64"/>
      </left>
      <right style="thin">
        <color indexed="64"/>
      </right>
      <top style="dotted">
        <color indexed="64"/>
      </top>
      <bottom style="medium">
        <color indexed="64"/>
      </bottom>
      <diagonal/>
    </border>
    <border>
      <left style="medium">
        <color indexed="64"/>
      </left>
      <right style="thin">
        <color indexed="64"/>
      </right>
      <top style="dotted">
        <color indexed="64"/>
      </top>
      <bottom style="dotted">
        <color indexed="64"/>
      </bottom>
      <diagonal/>
    </border>
    <border>
      <left style="thin">
        <color indexed="64"/>
      </left>
      <right style="medium">
        <color indexed="64"/>
      </right>
      <top/>
      <bottom/>
      <diagonal/>
    </border>
    <border>
      <left style="thin">
        <color indexed="64"/>
      </left>
      <right style="medium">
        <color indexed="64"/>
      </right>
      <top style="dotted">
        <color indexed="64"/>
      </top>
      <bottom/>
      <diagonal/>
    </border>
    <border>
      <left style="medium">
        <color indexed="64"/>
      </left>
      <right style="thin">
        <color indexed="64"/>
      </right>
      <top style="dotted">
        <color indexed="64"/>
      </top>
      <bottom/>
      <diagonal/>
    </border>
    <border>
      <left style="thin">
        <color indexed="64"/>
      </left>
      <right/>
      <top/>
      <bottom style="dotted">
        <color indexed="64"/>
      </bottom>
      <diagonal/>
    </border>
    <border>
      <left style="thin">
        <color indexed="64"/>
      </left>
      <right/>
      <top style="dotted">
        <color indexed="64"/>
      </top>
      <bottom style="dotted">
        <color indexed="64"/>
      </bottom>
      <diagonal/>
    </border>
    <border>
      <left style="thin">
        <color indexed="64"/>
      </left>
      <right style="medium">
        <color indexed="64"/>
      </right>
      <top/>
      <bottom style="medium">
        <color indexed="64"/>
      </bottom>
      <diagonal/>
    </border>
  </borders>
  <cellStyleXfs count="168">
    <xf numFmtId="0" fontId="0" fillId="0" borderId="0">
      <alignment vertical="center"/>
    </xf>
    <xf numFmtId="0" fontId="3" fillId="0" borderId="0">
      <alignment vertical="center"/>
    </xf>
    <xf numFmtId="0" fontId="3" fillId="0" borderId="0">
      <alignment vertical="center"/>
    </xf>
    <xf numFmtId="0" fontId="15" fillId="0" borderId="0"/>
    <xf numFmtId="0" fontId="23" fillId="5" borderId="0" applyNumberFormat="0" applyBorder="0" applyAlignment="0" applyProtection="0">
      <alignment vertical="center"/>
    </xf>
    <xf numFmtId="0" fontId="24"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3"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8" borderId="0" applyNumberFormat="0" applyBorder="0" applyAlignment="0" applyProtection="0">
      <alignment vertical="center"/>
    </xf>
    <xf numFmtId="0" fontId="23" fillId="11"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0" borderId="0">
      <alignment horizontal="center" wrapText="1"/>
      <protection locked="0"/>
    </xf>
    <xf numFmtId="178" fontId="27" fillId="0" borderId="8" applyAlignment="0" applyProtection="0"/>
    <xf numFmtId="176" fontId="18" fillId="0" borderId="0" applyFill="0" applyBorder="0" applyAlignment="0"/>
    <xf numFmtId="179" fontId="11" fillId="0" borderId="0" applyFill="0" applyBorder="0" applyAlignment="0"/>
    <xf numFmtId="179" fontId="11" fillId="0" borderId="0" applyFill="0" applyBorder="0" applyAlignment="0"/>
    <xf numFmtId="179" fontId="11" fillId="0" borderId="0" applyFill="0" applyBorder="0" applyAlignment="0"/>
    <xf numFmtId="179" fontId="11" fillId="0" borderId="0" applyFill="0" applyBorder="0" applyAlignment="0"/>
    <xf numFmtId="179" fontId="11" fillId="0" borderId="0" applyFill="0" applyBorder="0" applyAlignment="0"/>
    <xf numFmtId="179" fontId="11" fillId="0" borderId="0" applyFill="0" applyBorder="0" applyAlignment="0"/>
    <xf numFmtId="180" fontId="28"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38" fontId="30" fillId="0" borderId="0" applyFont="0" applyFill="0" applyBorder="0" applyAlignment="0" applyProtection="0"/>
    <xf numFmtId="181" fontId="22" fillId="0" borderId="0"/>
    <xf numFmtId="182" fontId="30" fillId="0" borderId="0" applyFont="0" applyFill="0" applyBorder="0" applyAlignment="0" applyProtection="0"/>
    <xf numFmtId="183" fontId="22" fillId="0" borderId="0"/>
    <xf numFmtId="184" fontId="22" fillId="0" borderId="0"/>
    <xf numFmtId="0" fontId="31" fillId="0" borderId="0">
      <alignment horizontal="left"/>
    </xf>
    <xf numFmtId="38" fontId="32" fillId="4" borderId="0" applyNumberFormat="0" applyBorder="0" applyAlignment="0" applyProtection="0"/>
    <xf numFmtId="0" fontId="19" fillId="0" borderId="1" applyNumberFormat="0" applyAlignment="0" applyProtection="0">
      <alignment horizontal="left" vertical="center"/>
    </xf>
    <xf numFmtId="0" fontId="19" fillId="0" borderId="13">
      <alignment horizontal="left" vertical="center"/>
    </xf>
    <xf numFmtId="0" fontId="15" fillId="0" borderId="0" applyBorder="0"/>
    <xf numFmtId="10" fontId="32" fillId="19" borderId="4" applyNumberFormat="0" applyBorder="0" applyAlignment="0" applyProtection="0"/>
    <xf numFmtId="0" fontId="15" fillId="0" borderId="0"/>
    <xf numFmtId="185" fontId="33" fillId="0" borderId="0"/>
    <xf numFmtId="14" fontId="26" fillId="0" borderId="0">
      <alignment horizontal="center" wrapText="1"/>
      <protection locked="0"/>
    </xf>
    <xf numFmtId="10" fontId="34" fillId="0" borderId="0" applyFont="0" applyFill="0" applyBorder="0" applyAlignment="0" applyProtection="0"/>
    <xf numFmtId="4" fontId="31" fillId="0" borderId="0">
      <alignment horizontal="right"/>
    </xf>
    <xf numFmtId="0" fontId="30" fillId="0" borderId="0" applyNumberFormat="0" applyFont="0" applyFill="0" applyBorder="0" applyAlignment="0" applyProtection="0">
      <alignment horizontal="left"/>
    </xf>
    <xf numFmtId="0" fontId="27" fillId="0" borderId="18">
      <alignment horizontal="center"/>
    </xf>
    <xf numFmtId="4" fontId="35" fillId="0" borderId="0">
      <alignment horizontal="right"/>
    </xf>
    <xf numFmtId="0" fontId="36" fillId="0" borderId="0">
      <alignment horizontal="left"/>
    </xf>
    <xf numFmtId="0" fontId="37" fillId="0" borderId="0">
      <alignment horizontal="center" vertical="center"/>
    </xf>
    <xf numFmtId="49" fontId="38" fillId="0" borderId="0" applyFill="0" applyBorder="0" applyProtection="0">
      <alignment horizontal="centerContinuous" vertical="center"/>
    </xf>
    <xf numFmtId="0" fontId="38" fillId="19" borderId="0" applyFill="0" applyBorder="0" applyProtection="0">
      <alignment horizontal="center" vertical="center"/>
    </xf>
    <xf numFmtId="49" fontId="38" fillId="0" borderId="0" applyFill="0" applyBorder="0" applyProtection="0">
      <alignment horizontal="centerContinuous"/>
      <protection locked="0"/>
    </xf>
    <xf numFmtId="0" fontId="39" fillId="0" borderId="0" applyNumberFormat="0" applyFill="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5" fillId="23" borderId="0" applyNumberFormat="0" applyBorder="0" applyAlignment="0" applyProtection="0">
      <alignment vertical="center"/>
    </xf>
    <xf numFmtId="0" fontId="40" fillId="0" borderId="0"/>
    <xf numFmtId="0" fontId="39" fillId="0" borderId="0" applyNumberFormat="0" applyFill="0" applyBorder="0" applyAlignment="0" applyProtection="0">
      <alignment vertical="center"/>
    </xf>
    <xf numFmtId="0" fontId="41" fillId="24" borderId="19" applyNumberFormat="0" applyAlignment="0" applyProtection="0">
      <alignment vertical="center"/>
    </xf>
    <xf numFmtId="0" fontId="42" fillId="25" borderId="0" applyNumberFormat="0" applyBorder="0" applyAlignment="0" applyProtection="0">
      <alignment vertical="center"/>
    </xf>
    <xf numFmtId="0" fontId="20"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xf numFmtId="0" fontId="61" fillId="0" borderId="0" applyNumberFormat="0" applyFill="0" applyBorder="0" applyAlignment="0" applyProtection="0">
      <alignment vertical="top"/>
      <protection locked="0"/>
    </xf>
    <xf numFmtId="0" fontId="11" fillId="26" borderId="20" applyNumberFormat="0" applyFont="0" applyAlignment="0" applyProtection="0">
      <alignment vertical="center"/>
    </xf>
    <xf numFmtId="0" fontId="43" fillId="0" borderId="21" applyNumberFormat="0" applyFill="0" applyAlignment="0" applyProtection="0">
      <alignment vertical="center"/>
    </xf>
    <xf numFmtId="0" fontId="44" fillId="6" borderId="0" applyNumberFormat="0" applyBorder="0" applyAlignment="0" applyProtection="0">
      <alignment vertical="center"/>
    </xf>
    <xf numFmtId="186" fontId="45" fillId="0" borderId="0" applyBorder="0">
      <alignment horizontal="right"/>
    </xf>
    <xf numFmtId="49" fontId="8" fillId="0" borderId="0" applyFont="0"/>
    <xf numFmtId="0" fontId="46" fillId="27" borderId="22" applyNumberFormat="0" applyAlignment="0" applyProtection="0">
      <alignment vertical="center"/>
    </xf>
    <xf numFmtId="0" fontId="47" fillId="0" borderId="0" applyNumberFormat="0" applyFill="0" applyBorder="0" applyAlignment="0" applyProtection="0">
      <alignment vertical="center"/>
    </xf>
    <xf numFmtId="38" fontId="4" fillId="0" borderId="0" applyFont="0" applyFill="0" applyBorder="0" applyAlignment="0" applyProtection="0">
      <alignment vertical="center"/>
    </xf>
    <xf numFmtId="38" fontId="24" fillId="0" borderId="0" applyFont="0" applyFill="0" applyBorder="0" applyAlignment="0" applyProtection="0">
      <alignment vertical="center"/>
    </xf>
    <xf numFmtId="0" fontId="48" fillId="0" borderId="23" applyNumberFormat="0" applyFill="0" applyAlignment="0" applyProtection="0">
      <alignment vertical="center"/>
    </xf>
    <xf numFmtId="0" fontId="49" fillId="0" borderId="24" applyNumberFormat="0" applyFill="0" applyAlignment="0" applyProtection="0">
      <alignment vertical="center"/>
    </xf>
    <xf numFmtId="0" fontId="50" fillId="0" borderId="25" applyNumberFormat="0" applyFill="0" applyAlignment="0" applyProtection="0">
      <alignment vertical="center"/>
    </xf>
    <xf numFmtId="0" fontId="50" fillId="0" borderId="0" applyNumberFormat="0" applyFill="0" applyBorder="0" applyAlignment="0" applyProtection="0">
      <alignment vertical="center"/>
    </xf>
    <xf numFmtId="0" fontId="51" fillId="0" borderId="26" applyNumberFormat="0" applyFill="0" applyAlignment="0" applyProtection="0">
      <alignment vertical="center"/>
    </xf>
    <xf numFmtId="0" fontId="52" fillId="27" borderId="27" applyNumberFormat="0" applyAlignment="0" applyProtection="0">
      <alignment vertical="center"/>
    </xf>
    <xf numFmtId="187" fontId="45" fillId="0" borderId="0" applyFill="0" applyBorder="0"/>
    <xf numFmtId="186" fontId="45" fillId="0" borderId="0" applyFill="0" applyBorder="0"/>
    <xf numFmtId="188" fontId="45" fillId="0" borderId="0" applyBorder="0">
      <alignment horizontal="left"/>
    </xf>
    <xf numFmtId="49" fontId="45" fillId="28" borderId="28">
      <alignment horizontal="center"/>
    </xf>
    <xf numFmtId="189" fontId="45" fillId="28" borderId="28">
      <alignment horizontal="right"/>
    </xf>
    <xf numFmtId="14" fontId="45" fillId="28" borderId="0" applyBorder="0">
      <alignment horizontal="center"/>
    </xf>
    <xf numFmtId="49" fontId="45" fillId="0" borderId="28"/>
    <xf numFmtId="0" fontId="53" fillId="0" borderId="0" applyNumberFormat="0" applyFill="0" applyBorder="0" applyAlignment="0" applyProtection="0">
      <alignment vertical="center"/>
    </xf>
    <xf numFmtId="14" fontId="45" fillId="0" borderId="9" applyBorder="0">
      <alignment horizontal="left"/>
    </xf>
    <xf numFmtId="0" fontId="54" fillId="10" borderId="22" applyNumberFormat="0" applyAlignment="0" applyProtection="0">
      <alignment vertical="center"/>
    </xf>
    <xf numFmtId="14" fontId="45" fillId="0" borderId="0" applyFill="0" applyBorder="0"/>
    <xf numFmtId="0" fontId="11" fillId="0" borderId="0">
      <alignment vertical="top"/>
    </xf>
    <xf numFmtId="0" fontId="11" fillId="0" borderId="0">
      <alignment vertical="top"/>
    </xf>
    <xf numFmtId="0" fontId="58" fillId="0" borderId="0">
      <alignment vertical="center"/>
    </xf>
    <xf numFmtId="0" fontId="3" fillId="0" borderId="0">
      <alignment vertical="center"/>
    </xf>
    <xf numFmtId="0" fontId="4" fillId="0" borderId="0">
      <alignment vertical="center"/>
    </xf>
    <xf numFmtId="0" fontId="4" fillId="0" borderId="0">
      <alignment vertical="center"/>
    </xf>
    <xf numFmtId="0" fontId="45" fillId="0" borderId="0"/>
    <xf numFmtId="0" fontId="3" fillId="0" borderId="0">
      <alignment vertical="center"/>
    </xf>
    <xf numFmtId="0" fontId="3" fillId="0" borderId="0">
      <alignment vertical="center"/>
    </xf>
    <xf numFmtId="0" fontId="3" fillId="0" borderId="0">
      <alignment vertical="center"/>
    </xf>
    <xf numFmtId="0" fontId="8" fillId="0" borderId="0"/>
    <xf numFmtId="0" fontId="8" fillId="0" borderId="0"/>
    <xf numFmtId="0" fontId="4" fillId="0" borderId="0">
      <alignment vertical="center"/>
    </xf>
    <xf numFmtId="0" fontId="4" fillId="0" borderId="0">
      <alignment vertical="center"/>
    </xf>
    <xf numFmtId="0" fontId="8" fillId="0" borderId="0"/>
    <xf numFmtId="0" fontId="4" fillId="0" borderId="0">
      <alignment vertical="center"/>
    </xf>
    <xf numFmtId="0" fontId="4" fillId="0" borderId="0">
      <alignment vertical="center"/>
    </xf>
    <xf numFmtId="0" fontId="4" fillId="0" borderId="0">
      <alignment vertical="center"/>
    </xf>
    <xf numFmtId="0" fontId="11" fillId="0" borderId="0">
      <alignment vertical="top"/>
    </xf>
    <xf numFmtId="0" fontId="4" fillId="0" borderId="0">
      <alignment vertical="center"/>
    </xf>
    <xf numFmtId="0" fontId="3" fillId="0" borderId="0">
      <alignment vertical="center"/>
    </xf>
    <xf numFmtId="0" fontId="3" fillId="0" borderId="0">
      <alignment vertical="center"/>
    </xf>
    <xf numFmtId="0" fontId="11" fillId="0" borderId="0">
      <alignment vertical="top"/>
    </xf>
    <xf numFmtId="0" fontId="8" fillId="0" borderId="0"/>
    <xf numFmtId="0" fontId="8" fillId="0" borderId="0"/>
    <xf numFmtId="0" fontId="4" fillId="0" borderId="0">
      <alignment vertical="center"/>
    </xf>
    <xf numFmtId="0" fontId="15" fillId="0" borderId="0"/>
    <xf numFmtId="0" fontId="3" fillId="0" borderId="0">
      <alignment vertical="center"/>
    </xf>
    <xf numFmtId="0" fontId="4" fillId="0" borderId="0">
      <alignment vertical="center"/>
    </xf>
    <xf numFmtId="0" fontId="15" fillId="0" borderId="0"/>
    <xf numFmtId="0" fontId="4" fillId="0" borderId="0">
      <alignment vertical="center"/>
    </xf>
    <xf numFmtId="0" fontId="24" fillId="0" borderId="0">
      <alignment vertical="center"/>
    </xf>
    <xf numFmtId="0" fontId="24" fillId="0" borderId="0">
      <alignment vertical="center"/>
    </xf>
    <xf numFmtId="0" fontId="24" fillId="0" borderId="0">
      <alignment vertical="center"/>
    </xf>
    <xf numFmtId="0" fontId="11" fillId="0" borderId="0">
      <alignment vertical="top"/>
    </xf>
    <xf numFmtId="0" fontId="11" fillId="0" borderId="0">
      <alignment vertical="top"/>
    </xf>
    <xf numFmtId="0" fontId="3" fillId="0" borderId="0">
      <alignment vertical="center"/>
    </xf>
    <xf numFmtId="0" fontId="3" fillId="0" borderId="0">
      <alignment vertical="center"/>
    </xf>
    <xf numFmtId="0" fontId="8" fillId="0" borderId="0"/>
    <xf numFmtId="49" fontId="45" fillId="0" borderId="0"/>
    <xf numFmtId="0" fontId="55" fillId="0" borderId="0"/>
    <xf numFmtId="0" fontId="56" fillId="29" borderId="0">
      <alignment horizontal="center"/>
    </xf>
    <xf numFmtId="0" fontId="57" fillId="7" borderId="0" applyNumberFormat="0" applyBorder="0" applyAlignment="0" applyProtection="0">
      <alignment vertical="center"/>
    </xf>
    <xf numFmtId="38"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38"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0" fillId="0" borderId="0" applyNumberFormat="0" applyFill="0" applyBorder="0" applyAlignment="0" applyProtection="0">
      <alignment vertical="top"/>
      <protection locked="0"/>
    </xf>
    <xf numFmtId="0" fontId="63" fillId="0" borderId="0"/>
    <xf numFmtId="0" fontId="2" fillId="0" borderId="0">
      <alignment vertical="center"/>
    </xf>
    <xf numFmtId="0" fontId="3" fillId="0" borderId="0">
      <alignment vertical="center"/>
    </xf>
    <xf numFmtId="0" fontId="15" fillId="0" borderId="0"/>
    <xf numFmtId="0" fontId="11" fillId="0" borderId="0">
      <alignment vertical="top"/>
    </xf>
    <xf numFmtId="0" fontId="11" fillId="0" borderId="0">
      <alignment vertical="top"/>
    </xf>
    <xf numFmtId="0" fontId="15" fillId="0" borderId="0"/>
    <xf numFmtId="0" fontId="15" fillId="0" borderId="0"/>
    <xf numFmtId="0" fontId="1" fillId="0" borderId="0">
      <alignment vertical="center"/>
    </xf>
  </cellStyleXfs>
  <cellXfs count="331">
    <xf numFmtId="0" fontId="0" fillId="0" borderId="0" xfId="0">
      <alignment vertical="center"/>
    </xf>
    <xf numFmtId="0" fontId="4" fillId="0" borderId="0" xfId="0" applyFont="1">
      <alignment vertical="center"/>
    </xf>
    <xf numFmtId="0" fontId="8" fillId="0" borderId="3" xfId="0" applyFont="1" applyBorder="1" applyAlignment="1">
      <alignment horizontal="center" vertical="center"/>
    </xf>
    <xf numFmtId="0" fontId="8" fillId="0" borderId="3" xfId="0" applyFont="1" applyBorder="1">
      <alignment vertical="center"/>
    </xf>
    <xf numFmtId="0" fontId="8" fillId="0" borderId="3" xfId="0" applyFont="1" applyBorder="1" applyAlignment="1">
      <alignment vertical="center" wrapText="1"/>
    </xf>
    <xf numFmtId="0" fontId="8" fillId="0" borderId="0" xfId="0" applyFont="1">
      <alignment vertical="center"/>
    </xf>
    <xf numFmtId="0" fontId="13" fillId="0" borderId="7" xfId="163" applyFont="1" applyBorder="1" applyAlignment="1">
      <alignment horizontal="center" vertical="center"/>
    </xf>
    <xf numFmtId="0" fontId="13" fillId="0" borderId="8" xfId="163" applyFont="1" applyBorder="1" applyAlignment="1">
      <alignment horizontal="center" vertical="center"/>
    </xf>
    <xf numFmtId="0" fontId="13" fillId="0" borderId="9" xfId="163" applyFont="1" applyBorder="1" applyAlignment="1">
      <alignment horizontal="center" vertical="center"/>
    </xf>
    <xf numFmtId="0" fontId="13" fillId="0" borderId="0" xfId="163" applyFont="1" applyAlignment="1">
      <alignment vertical="center"/>
    </xf>
    <xf numFmtId="0" fontId="11" fillId="0" borderId="10" xfId="163" applyBorder="1" applyAlignment="1">
      <alignment horizontal="center" vertical="center"/>
    </xf>
    <xf numFmtId="0" fontId="11" fillId="0" borderId="11" xfId="163" applyBorder="1" applyAlignment="1">
      <alignment horizontal="center" vertical="center"/>
    </xf>
    <xf numFmtId="177" fontId="13" fillId="0" borderId="11" xfId="163" applyNumberFormat="1" applyFont="1" applyBorder="1" applyAlignment="1">
      <alignment horizontal="center" vertical="center"/>
    </xf>
    <xf numFmtId="177" fontId="13" fillId="0" borderId="12" xfId="163" applyNumberFormat="1" applyFont="1" applyBorder="1" applyAlignment="1">
      <alignment horizontal="center" vertical="center"/>
    </xf>
    <xf numFmtId="0" fontId="13" fillId="0" borderId="0" xfId="163" applyFont="1" applyAlignment="1">
      <alignment horizontal="center" vertical="center"/>
    </xf>
    <xf numFmtId="0" fontId="13" fillId="0" borderId="17" xfId="163" applyFont="1" applyBorder="1" applyAlignment="1">
      <alignment horizontal="center" vertical="center"/>
    </xf>
    <xf numFmtId="0" fontId="13" fillId="0" borderId="16" xfId="163" applyFont="1" applyBorder="1" applyAlignment="1">
      <alignment vertical="center"/>
    </xf>
    <xf numFmtId="0" fontId="65" fillId="0" borderId="0" xfId="163" applyFont="1" applyAlignment="1">
      <alignment vertical="center"/>
    </xf>
    <xf numFmtId="0" fontId="13" fillId="0" borderId="17" xfId="163" applyFont="1" applyBorder="1" applyAlignment="1">
      <alignment vertical="center"/>
    </xf>
    <xf numFmtId="0" fontId="13" fillId="0" borderId="0" xfId="163" quotePrefix="1" applyFont="1" applyAlignment="1">
      <alignment vertical="center"/>
    </xf>
    <xf numFmtId="0" fontId="13" fillId="0" borderId="10" xfId="163" applyFont="1" applyBorder="1" applyAlignment="1">
      <alignment vertical="center"/>
    </xf>
    <xf numFmtId="0" fontId="13" fillId="0" borderId="11" xfId="163" applyFont="1" applyBorder="1" applyAlignment="1">
      <alignment vertical="center"/>
    </xf>
    <xf numFmtId="0" fontId="65" fillId="0" borderId="11" xfId="163" applyFont="1" applyBorder="1" applyAlignment="1">
      <alignment vertical="center"/>
    </xf>
    <xf numFmtId="0" fontId="13" fillId="0" borderId="12" xfId="163" applyFont="1" applyBorder="1" applyAlignment="1">
      <alignment vertical="center"/>
    </xf>
    <xf numFmtId="0" fontId="16" fillId="4" borderId="30" xfId="163" applyFont="1" applyFill="1" applyBorder="1" applyAlignment="1">
      <alignment horizontal="center" vertical="center"/>
    </xf>
    <xf numFmtId="177" fontId="16" fillId="4" borderId="30" xfId="163" applyNumberFormat="1" applyFont="1" applyFill="1" applyBorder="1" applyAlignment="1">
      <alignment horizontal="center" vertical="center"/>
    </xf>
    <xf numFmtId="0" fontId="14" fillId="4" borderId="30" xfId="163" applyFont="1" applyFill="1" applyBorder="1" applyAlignment="1">
      <alignment horizontal="center" vertical="center" wrapText="1"/>
    </xf>
    <xf numFmtId="0" fontId="14" fillId="0" borderId="0" xfId="163" applyFont="1" applyAlignment="1">
      <alignment horizontal="center" vertical="center"/>
    </xf>
    <xf numFmtId="0" fontId="14" fillId="0" borderId="0" xfId="163" applyFont="1">
      <alignment vertical="top"/>
    </xf>
    <xf numFmtId="0" fontId="14" fillId="0" borderId="4" xfId="163" applyFont="1" applyBorder="1" applyAlignment="1">
      <alignment horizontal="center" vertical="center"/>
    </xf>
    <xf numFmtId="0" fontId="14" fillId="0" borderId="4" xfId="163" applyFont="1" applyBorder="1" applyAlignment="1">
      <alignment horizontal="center" vertical="top"/>
    </xf>
    <xf numFmtId="177" fontId="14" fillId="0" borderId="4" xfId="163" applyNumberFormat="1" applyFont="1" applyBorder="1" applyAlignment="1">
      <alignment horizontal="center" vertical="top"/>
    </xf>
    <xf numFmtId="0" fontId="14" fillId="0" borderId="4" xfId="163" applyFont="1" applyBorder="1" applyAlignment="1">
      <alignment vertical="top" wrapText="1"/>
    </xf>
    <xf numFmtId="0" fontId="14" fillId="0" borderId="0" xfId="163" applyFont="1" applyAlignment="1">
      <alignment horizontal="center" vertical="top"/>
    </xf>
    <xf numFmtId="177" fontId="14" fillId="0" borderId="0" xfId="163" applyNumberFormat="1" applyFont="1" applyAlignment="1">
      <alignment horizontal="center" vertical="top"/>
    </xf>
    <xf numFmtId="0" fontId="14" fillId="0" borderId="0" xfId="163" applyFont="1" applyAlignment="1">
      <alignment vertical="top" wrapText="1"/>
    </xf>
    <xf numFmtId="0" fontId="14" fillId="0" borderId="31" xfId="163" applyFont="1" applyBorder="1" applyAlignment="1">
      <alignment vertical="center" wrapText="1"/>
    </xf>
    <xf numFmtId="0" fontId="14" fillId="0" borderId="31" xfId="163" applyFont="1" applyBorder="1" applyAlignment="1">
      <alignment horizontal="center" vertical="center"/>
    </xf>
    <xf numFmtId="177" fontId="14" fillId="0" borderId="31" xfId="163" applyNumberFormat="1" applyFont="1" applyBorder="1" applyAlignment="1">
      <alignment horizontal="center" vertical="center"/>
    </xf>
    <xf numFmtId="0" fontId="14" fillId="0" borderId="4" xfId="163" applyFont="1" applyBorder="1" applyAlignment="1">
      <alignment vertical="center" wrapText="1"/>
    </xf>
    <xf numFmtId="0" fontId="70" fillId="0" borderId="4" xfId="163" applyFont="1" applyBorder="1" applyAlignment="1">
      <alignment horizontal="center" vertical="top"/>
    </xf>
    <xf numFmtId="177" fontId="70" fillId="0" borderId="4" xfId="163" applyNumberFormat="1" applyFont="1" applyBorder="1" applyAlignment="1">
      <alignment horizontal="center" vertical="top"/>
    </xf>
    <xf numFmtId="0" fontId="70" fillId="0" borderId="4" xfId="163" applyFont="1" applyBorder="1" applyAlignment="1">
      <alignment vertical="top" wrapText="1"/>
    </xf>
    <xf numFmtId="0" fontId="17" fillId="0" borderId="0" xfId="0" applyFont="1">
      <alignment vertical="center"/>
    </xf>
    <xf numFmtId="0" fontId="62" fillId="0" borderId="3" xfId="0" applyFont="1" applyBorder="1">
      <alignment vertical="center"/>
    </xf>
    <xf numFmtId="0" fontId="62" fillId="0" borderId="3" xfId="0" applyFont="1" applyBorder="1" applyAlignment="1">
      <alignment horizontal="center" vertical="center"/>
    </xf>
    <xf numFmtId="0" fontId="62" fillId="0" borderId="0" xfId="0" applyFont="1">
      <alignment vertical="center"/>
    </xf>
    <xf numFmtId="0" fontId="62" fillId="0" borderId="3" xfId="0" applyFont="1" applyBorder="1" applyAlignment="1">
      <alignment vertical="center" wrapText="1"/>
    </xf>
    <xf numFmtId="0" fontId="62" fillId="0" borderId="29" xfId="0" applyFont="1" applyBorder="1">
      <alignment vertical="center"/>
    </xf>
    <xf numFmtId="0" fontId="62" fillId="0" borderId="29" xfId="0" applyFont="1" applyBorder="1" applyAlignment="1">
      <alignment horizontal="center" vertical="center"/>
    </xf>
    <xf numFmtId="49" fontId="0" fillId="0" borderId="0" xfId="0" applyNumberFormat="1">
      <alignment vertical="center"/>
    </xf>
    <xf numFmtId="0" fontId="9" fillId="2" borderId="33" xfId="0" applyFont="1" applyFill="1" applyBorder="1" applyAlignment="1">
      <alignment horizontal="center" vertical="center"/>
    </xf>
    <xf numFmtId="0" fontId="9" fillId="2" borderId="34" xfId="0" applyFont="1" applyFill="1" applyBorder="1" applyAlignment="1">
      <alignment horizontal="center" vertical="center"/>
    </xf>
    <xf numFmtId="0" fontId="10" fillId="2" borderId="34" xfId="0" applyFont="1" applyFill="1" applyBorder="1" applyAlignment="1">
      <alignment horizontal="center" vertical="center" wrapText="1"/>
    </xf>
    <xf numFmtId="0" fontId="10" fillId="2" borderId="34" xfId="0" applyFont="1" applyFill="1" applyBorder="1" applyAlignment="1">
      <alignment horizontal="center" vertical="center"/>
    </xf>
    <xf numFmtId="0" fontId="9" fillId="2" borderId="35" xfId="0" applyFont="1" applyFill="1" applyBorder="1" applyAlignment="1">
      <alignment horizontal="center" vertical="center"/>
    </xf>
    <xf numFmtId="0" fontId="0" fillId="0" borderId="4" xfId="0" applyBorder="1">
      <alignment vertical="center"/>
    </xf>
    <xf numFmtId="0" fontId="0" fillId="0" borderId="4" xfId="0" applyBorder="1" applyAlignment="1">
      <alignment horizontal="center" vertical="center"/>
    </xf>
    <xf numFmtId="0" fontId="0" fillId="0" borderId="4" xfId="0" quotePrefix="1" applyBorder="1" applyAlignment="1">
      <alignment horizontal="center" vertical="center"/>
    </xf>
    <xf numFmtId="0" fontId="0" fillId="0" borderId="32" xfId="0" applyBorder="1">
      <alignment vertical="center"/>
    </xf>
    <xf numFmtId="0" fontId="0" fillId="0" borderId="31" xfId="0" applyBorder="1">
      <alignment vertical="center"/>
    </xf>
    <xf numFmtId="0" fontId="0" fillId="0" borderId="4" xfId="0" applyBorder="1" applyAlignment="1">
      <alignment vertical="center" wrapText="1"/>
    </xf>
    <xf numFmtId="0" fontId="0" fillId="0" borderId="4" xfId="0" quotePrefix="1" applyBorder="1">
      <alignment vertical="center"/>
    </xf>
    <xf numFmtId="0" fontId="73" fillId="30" borderId="14" xfId="0" applyFont="1" applyFill="1" applyBorder="1">
      <alignment vertical="center"/>
    </xf>
    <xf numFmtId="0" fontId="73" fillId="30" borderId="15" xfId="0" applyFont="1" applyFill="1" applyBorder="1">
      <alignment vertical="center"/>
    </xf>
    <xf numFmtId="0" fontId="9" fillId="2" borderId="36" xfId="0" applyFont="1" applyFill="1" applyBorder="1" applyAlignment="1">
      <alignment horizontal="center" vertical="center"/>
    </xf>
    <xf numFmtId="0" fontId="9" fillId="2" borderId="37" xfId="0" applyFont="1" applyFill="1" applyBorder="1" applyAlignment="1">
      <alignment horizontal="center" vertical="center"/>
    </xf>
    <xf numFmtId="0" fontId="10" fillId="2" borderId="37" xfId="0" applyFont="1" applyFill="1" applyBorder="1" applyAlignment="1">
      <alignment horizontal="center" vertical="center" wrapText="1"/>
    </xf>
    <xf numFmtId="0" fontId="10" fillId="2" borderId="37" xfId="0" applyFont="1" applyFill="1" applyBorder="1" applyAlignment="1">
      <alignment horizontal="center" vertical="center"/>
    </xf>
    <xf numFmtId="0" fontId="9" fillId="2" borderId="38" xfId="0" applyFont="1" applyFill="1" applyBorder="1" applyAlignment="1">
      <alignment horizontal="center" vertical="center"/>
    </xf>
    <xf numFmtId="0" fontId="8" fillId="0" borderId="2" xfId="0" applyFont="1" applyBorder="1">
      <alignment vertical="center"/>
    </xf>
    <xf numFmtId="0" fontId="8" fillId="0" borderId="40" xfId="0" applyFont="1" applyBorder="1">
      <alignment vertical="center"/>
    </xf>
    <xf numFmtId="0" fontId="8" fillId="0" borderId="2" xfId="0" applyFont="1" applyBorder="1" applyAlignment="1">
      <alignment horizontal="center" vertical="center"/>
    </xf>
    <xf numFmtId="0" fontId="8" fillId="0" borderId="41" xfId="0" applyFont="1" applyBorder="1">
      <alignment vertical="center"/>
    </xf>
    <xf numFmtId="0" fontId="8" fillId="0" borderId="42" xfId="0" applyFont="1" applyBorder="1">
      <alignment vertical="center"/>
    </xf>
    <xf numFmtId="0" fontId="8" fillId="0" borderId="42" xfId="0" applyFont="1" applyBorder="1" applyAlignment="1">
      <alignment horizontal="center" vertical="center"/>
    </xf>
    <xf numFmtId="0" fontId="8" fillId="0" borderId="43" xfId="0" applyFont="1" applyBorder="1">
      <alignment vertical="center"/>
    </xf>
    <xf numFmtId="0" fontId="62" fillId="0" borderId="39" xfId="0" applyFont="1" applyBorder="1">
      <alignment vertical="center"/>
    </xf>
    <xf numFmtId="0" fontId="62" fillId="0" borderId="44" xfId="0" applyFont="1" applyBorder="1">
      <alignment vertical="center"/>
    </xf>
    <xf numFmtId="0" fontId="73" fillId="3" borderId="4" xfId="0" applyFont="1" applyFill="1" applyBorder="1">
      <alignment vertical="center"/>
    </xf>
    <xf numFmtId="0" fontId="73" fillId="3" borderId="14" xfId="0" applyFont="1" applyFill="1" applyBorder="1">
      <alignment vertical="center"/>
    </xf>
    <xf numFmtId="0" fontId="73" fillId="30" borderId="4" xfId="0" applyFont="1" applyFill="1" applyBorder="1" applyAlignment="1">
      <alignment horizontal="center" vertical="center"/>
    </xf>
    <xf numFmtId="0" fontId="0" fillId="0" borderId="0" xfId="0" applyAlignment="1">
      <alignment horizontal="center" vertical="center"/>
    </xf>
    <xf numFmtId="0" fontId="74" fillId="0" borderId="4" xfId="0" applyFont="1" applyBorder="1">
      <alignment vertical="center"/>
    </xf>
    <xf numFmtId="0" fontId="74" fillId="0" borderId="4" xfId="0" quotePrefix="1" applyFont="1" applyBorder="1">
      <alignment vertical="center"/>
    </xf>
    <xf numFmtId="0" fontId="74" fillId="0" borderId="4" xfId="0" applyFont="1" applyBorder="1" applyAlignment="1">
      <alignment horizontal="center" vertical="center"/>
    </xf>
    <xf numFmtId="0" fontId="74" fillId="0" borderId="4" xfId="0" quotePrefix="1" applyFont="1" applyBorder="1" applyAlignment="1">
      <alignment horizontal="center" vertical="center"/>
    </xf>
    <xf numFmtId="0" fontId="74" fillId="0" borderId="0" xfId="0" applyFont="1">
      <alignment vertical="center"/>
    </xf>
    <xf numFmtId="0" fontId="75" fillId="30" borderId="15" xfId="0" applyFont="1" applyFill="1" applyBorder="1" applyAlignment="1">
      <alignment horizontal="center" vertical="center" wrapText="1"/>
    </xf>
    <xf numFmtId="0" fontId="74" fillId="0" borderId="0" xfId="0" applyFont="1" applyAlignment="1">
      <alignment horizontal="center" vertical="center"/>
    </xf>
    <xf numFmtId="0" fontId="70" fillId="0" borderId="31" xfId="163" applyFont="1" applyBorder="1" applyAlignment="1">
      <alignment horizontal="center" vertical="center"/>
    </xf>
    <xf numFmtId="177" fontId="70" fillId="0" borderId="31" xfId="163" applyNumberFormat="1" applyFont="1" applyBorder="1" applyAlignment="1">
      <alignment horizontal="center" vertical="center"/>
    </xf>
    <xf numFmtId="0" fontId="70" fillId="0" borderId="31" xfId="163" applyFont="1" applyBorder="1" applyAlignment="1">
      <alignment vertical="center" wrapText="1"/>
    </xf>
    <xf numFmtId="0" fontId="8" fillId="0" borderId="47" xfId="0" applyFont="1" applyBorder="1">
      <alignment vertical="center"/>
    </xf>
    <xf numFmtId="0" fontId="8" fillId="0" borderId="41" xfId="0" applyFont="1" applyBorder="1" applyAlignment="1">
      <alignment vertical="center" wrapText="1"/>
    </xf>
    <xf numFmtId="0" fontId="8" fillId="0" borderId="48" xfId="0" applyFont="1" applyBorder="1">
      <alignment vertical="center"/>
    </xf>
    <xf numFmtId="0" fontId="8" fillId="0" borderId="49" xfId="0" applyFont="1" applyBorder="1">
      <alignment vertical="center"/>
    </xf>
    <xf numFmtId="0" fontId="62" fillId="0" borderId="41" xfId="0" applyFont="1" applyBorder="1" applyAlignment="1">
      <alignment vertical="center" wrapText="1"/>
    </xf>
    <xf numFmtId="0" fontId="8" fillId="0" borderId="29" xfId="0" applyFont="1" applyBorder="1">
      <alignment vertical="center"/>
    </xf>
    <xf numFmtId="0" fontId="8" fillId="0" borderId="29" xfId="0" applyFont="1" applyBorder="1" applyAlignment="1">
      <alignment horizontal="center" vertical="center"/>
    </xf>
    <xf numFmtId="0" fontId="8" fillId="0" borderId="52" xfId="0" applyFont="1" applyBorder="1">
      <alignment vertical="center"/>
    </xf>
    <xf numFmtId="0" fontId="8" fillId="0" borderId="51" xfId="0" applyFont="1" applyBorder="1">
      <alignment vertical="center"/>
    </xf>
    <xf numFmtId="0" fontId="8" fillId="0" borderId="2" xfId="0" applyFont="1" applyBorder="1" applyAlignment="1">
      <alignment vertical="center" wrapText="1"/>
    </xf>
    <xf numFmtId="0" fontId="8" fillId="0" borderId="29" xfId="0" applyFont="1" applyBorder="1" applyAlignment="1">
      <alignment vertical="center" wrapText="1"/>
    </xf>
    <xf numFmtId="0" fontId="8" fillId="0" borderId="42" xfId="0" applyFont="1" applyBorder="1" applyAlignment="1">
      <alignment vertical="center" wrapText="1"/>
    </xf>
    <xf numFmtId="0" fontId="13" fillId="0" borderId="0" xfId="164" applyFont="1" applyAlignment="1">
      <alignment vertical="center"/>
    </xf>
    <xf numFmtId="0" fontId="14" fillId="0" borderId="13" xfId="164" applyFont="1" applyBorder="1" applyAlignment="1">
      <alignment vertical="center"/>
    </xf>
    <xf numFmtId="0" fontId="14" fillId="0" borderId="0" xfId="164" applyFont="1" applyAlignment="1">
      <alignment vertical="center"/>
    </xf>
    <xf numFmtId="0" fontId="14" fillId="0" borderId="7" xfId="164" applyFont="1" applyBorder="1" applyAlignment="1">
      <alignment vertical="center"/>
    </xf>
    <xf numFmtId="0" fontId="14" fillId="0" borderId="8" xfId="164" applyFont="1" applyBorder="1" applyAlignment="1">
      <alignment vertical="center"/>
    </xf>
    <xf numFmtId="0" fontId="14" fillId="0" borderId="9" xfId="164" applyFont="1" applyBorder="1" applyAlignment="1">
      <alignment vertical="center"/>
    </xf>
    <xf numFmtId="0" fontId="14" fillId="0" borderId="16" xfId="164" applyFont="1" applyBorder="1" applyAlignment="1">
      <alignment vertical="center"/>
    </xf>
    <xf numFmtId="0" fontId="77" fillId="0" borderId="0" xfId="164" applyFont="1" applyAlignment="1">
      <alignment vertical="center"/>
    </xf>
    <xf numFmtId="0" fontId="14" fillId="0" borderId="17" xfId="164" applyFont="1" applyBorder="1" applyAlignment="1">
      <alignment vertical="center"/>
    </xf>
    <xf numFmtId="0" fontId="78" fillId="0" borderId="0" xfId="3" applyFont="1" applyAlignment="1">
      <alignment vertical="center"/>
    </xf>
    <xf numFmtId="0" fontId="14" fillId="0" borderId="16" xfId="3" applyFont="1" applyBorder="1" applyAlignment="1">
      <alignment vertical="center"/>
    </xf>
    <xf numFmtId="0" fontId="14" fillId="0" borderId="17" xfId="3" applyFont="1" applyBorder="1" applyAlignment="1">
      <alignment vertical="center"/>
    </xf>
    <xf numFmtId="0" fontId="14" fillId="0" borderId="0" xfId="3" applyFont="1" applyAlignment="1">
      <alignment vertical="center"/>
    </xf>
    <xf numFmtId="0" fontId="78" fillId="31" borderId="0" xfId="3" applyFont="1" applyFill="1" applyAlignment="1">
      <alignment vertical="center"/>
    </xf>
    <xf numFmtId="0" fontId="78" fillId="31" borderId="14" xfId="3" applyFont="1" applyFill="1" applyBorder="1" applyAlignment="1">
      <alignment vertical="center"/>
    </xf>
    <xf numFmtId="0" fontId="78" fillId="31" borderId="13" xfId="3" applyFont="1" applyFill="1" applyBorder="1" applyAlignment="1">
      <alignment vertical="center"/>
    </xf>
    <xf numFmtId="0" fontId="78" fillId="31" borderId="13" xfId="3" applyFont="1" applyFill="1" applyBorder="1" applyAlignment="1">
      <alignment vertical="center" wrapText="1"/>
    </xf>
    <xf numFmtId="0" fontId="78" fillId="31" borderId="15" xfId="3" applyFont="1" applyFill="1" applyBorder="1" applyAlignment="1">
      <alignment vertical="center"/>
    </xf>
    <xf numFmtId="0" fontId="78" fillId="0" borderId="14" xfId="3" applyFont="1" applyBorder="1" applyAlignment="1">
      <alignment vertical="center"/>
    </xf>
    <xf numFmtId="0" fontId="78" fillId="0" borderId="13" xfId="3" applyFont="1" applyBorder="1" applyAlignment="1">
      <alignment vertical="center"/>
    </xf>
    <xf numFmtId="0" fontId="78" fillId="0" borderId="15" xfId="3" applyFont="1" applyBorder="1" applyAlignment="1">
      <alignment vertical="center"/>
    </xf>
    <xf numFmtId="0" fontId="78" fillId="3" borderId="14" xfId="3" applyFont="1" applyFill="1" applyBorder="1" applyAlignment="1">
      <alignment vertical="center"/>
    </xf>
    <xf numFmtId="0" fontId="78" fillId="3" borderId="13" xfId="3" applyFont="1" applyFill="1" applyBorder="1" applyAlignment="1">
      <alignment vertical="center"/>
    </xf>
    <xf numFmtId="0" fontId="78" fillId="3" borderId="15" xfId="3" applyFont="1" applyFill="1" applyBorder="1" applyAlignment="1">
      <alignment vertical="center"/>
    </xf>
    <xf numFmtId="0" fontId="14" fillId="0" borderId="16" xfId="165" applyFont="1" applyBorder="1" applyAlignment="1">
      <alignment vertical="center"/>
    </xf>
    <xf numFmtId="0" fontId="14" fillId="0" borderId="0" xfId="165" applyFont="1" applyAlignment="1">
      <alignment vertical="center"/>
    </xf>
    <xf numFmtId="0" fontId="14" fillId="0" borderId="17" xfId="166" applyFont="1" applyBorder="1" applyAlignment="1">
      <alignment vertical="center"/>
    </xf>
    <xf numFmtId="0" fontId="14" fillId="0" borderId="10" xfId="165" applyFont="1" applyBorder="1" applyAlignment="1">
      <alignment vertical="center"/>
    </xf>
    <xf numFmtId="0" fontId="14" fillId="0" borderId="11" xfId="165" applyFont="1" applyBorder="1" applyAlignment="1">
      <alignment vertical="center"/>
    </xf>
    <xf numFmtId="0" fontId="14" fillId="0" borderId="11" xfId="164" applyFont="1" applyBorder="1" applyAlignment="1">
      <alignment vertical="center"/>
    </xf>
    <xf numFmtId="0" fontId="14" fillId="0" borderId="11" xfId="3" applyFont="1" applyBorder="1" applyAlignment="1">
      <alignment vertical="center"/>
    </xf>
    <xf numFmtId="0" fontId="14" fillId="0" borderId="12" xfId="166" applyFont="1" applyBorder="1" applyAlignment="1">
      <alignment vertical="center"/>
    </xf>
    <xf numFmtId="0" fontId="78" fillId="0" borderId="7" xfId="3" applyFont="1" applyBorder="1" applyAlignment="1">
      <alignment vertical="center"/>
    </xf>
    <xf numFmtId="0" fontId="78" fillId="0" borderId="8" xfId="3" applyFont="1" applyBorder="1" applyAlignment="1">
      <alignment vertical="center"/>
    </xf>
    <xf numFmtId="0" fontId="78" fillId="0" borderId="9" xfId="3" applyFont="1" applyBorder="1" applyAlignment="1">
      <alignment vertical="center"/>
    </xf>
    <xf numFmtId="0" fontId="78" fillId="0" borderId="16" xfId="3" applyFont="1" applyBorder="1" applyAlignment="1">
      <alignment vertical="center"/>
    </xf>
    <xf numFmtId="0" fontId="78" fillId="0" borderId="17" xfId="3" applyFont="1" applyBorder="1" applyAlignment="1">
      <alignment vertical="center"/>
    </xf>
    <xf numFmtId="0" fontId="78" fillId="0" borderId="10" xfId="3" applyFont="1" applyBorder="1" applyAlignment="1">
      <alignment vertical="center"/>
    </xf>
    <xf numFmtId="0" fontId="78" fillId="0" borderId="11" xfId="3" applyFont="1" applyBorder="1" applyAlignment="1">
      <alignment vertical="center"/>
    </xf>
    <xf numFmtId="0" fontId="78" fillId="0" borderId="12" xfId="3" applyFont="1" applyBorder="1" applyAlignment="1">
      <alignment vertical="center"/>
    </xf>
    <xf numFmtId="0" fontId="78" fillId="32" borderId="14" xfId="3" applyFont="1" applyFill="1" applyBorder="1" applyAlignment="1">
      <alignment vertical="center"/>
    </xf>
    <xf numFmtId="0" fontId="78" fillId="32" borderId="15" xfId="3" applyFont="1" applyFill="1" applyBorder="1" applyAlignment="1">
      <alignment vertical="center"/>
    </xf>
    <xf numFmtId="0" fontId="14" fillId="32" borderId="14" xfId="3" applyFont="1" applyFill="1" applyBorder="1" applyAlignment="1">
      <alignment vertical="center"/>
    </xf>
    <xf numFmtId="0" fontId="14" fillId="32" borderId="13" xfId="3" applyFont="1" applyFill="1" applyBorder="1" applyAlignment="1">
      <alignment vertical="center"/>
    </xf>
    <xf numFmtId="0" fontId="78" fillId="32" borderId="13" xfId="3" applyFont="1" applyFill="1" applyBorder="1" applyAlignment="1">
      <alignment vertical="center"/>
    </xf>
    <xf numFmtId="0" fontId="14" fillId="32" borderId="15" xfId="3" applyFont="1" applyFill="1" applyBorder="1" applyAlignment="1">
      <alignment vertical="center"/>
    </xf>
    <xf numFmtId="0" fontId="16" fillId="32" borderId="13" xfId="3" applyFont="1" applyFill="1" applyBorder="1" applyAlignment="1">
      <alignment vertical="center"/>
    </xf>
    <xf numFmtId="0" fontId="16" fillId="32" borderId="14" xfId="3" applyFont="1" applyFill="1" applyBorder="1" applyAlignment="1">
      <alignment vertical="center"/>
    </xf>
    <xf numFmtId="0" fontId="16" fillId="32" borderId="15" xfId="3" applyFont="1" applyFill="1" applyBorder="1" applyAlignment="1">
      <alignment vertical="center"/>
    </xf>
    <xf numFmtId="0" fontId="79" fillId="0" borderId="0" xfId="3" applyFont="1"/>
    <xf numFmtId="0" fontId="78" fillId="33" borderId="14" xfId="3" applyFont="1" applyFill="1" applyBorder="1" applyAlignment="1">
      <alignment vertical="center"/>
    </xf>
    <xf numFmtId="0" fontId="78" fillId="33" borderId="13" xfId="3" applyFont="1" applyFill="1" applyBorder="1" applyAlignment="1">
      <alignment vertical="center"/>
    </xf>
    <xf numFmtId="0" fontId="14" fillId="33" borderId="14" xfId="3" quotePrefix="1" applyFont="1" applyFill="1" applyBorder="1" applyAlignment="1">
      <alignment vertical="center"/>
    </xf>
    <xf numFmtId="0" fontId="14" fillId="33" borderId="13" xfId="3" applyFont="1" applyFill="1" applyBorder="1" applyAlignment="1">
      <alignment vertical="center"/>
    </xf>
    <xf numFmtId="0" fontId="14" fillId="33" borderId="15" xfId="3" applyFont="1" applyFill="1" applyBorder="1" applyAlignment="1">
      <alignment vertical="center"/>
    </xf>
    <xf numFmtId="0" fontId="14" fillId="33" borderId="13" xfId="3" quotePrefix="1" applyFont="1" applyFill="1" applyBorder="1" applyAlignment="1">
      <alignment vertical="center"/>
    </xf>
    <xf numFmtId="0" fontId="14" fillId="33" borderId="14" xfId="3" applyFont="1" applyFill="1" applyBorder="1" applyAlignment="1">
      <alignment vertical="center"/>
    </xf>
    <xf numFmtId="0" fontId="80" fillId="33" borderId="13" xfId="3" quotePrefix="1" applyFont="1" applyFill="1" applyBorder="1" applyAlignment="1">
      <alignment vertical="center"/>
    </xf>
    <xf numFmtId="0" fontId="78" fillId="33" borderId="13" xfId="3" quotePrefix="1" applyFont="1" applyFill="1" applyBorder="1" applyAlignment="1">
      <alignment vertical="center"/>
    </xf>
    <xf numFmtId="0" fontId="78" fillId="33" borderId="14" xfId="3" quotePrefix="1" applyFont="1" applyFill="1" applyBorder="1" applyAlignment="1">
      <alignment vertical="center"/>
    </xf>
    <xf numFmtId="0" fontId="78" fillId="33" borderId="15" xfId="3" applyFont="1" applyFill="1" applyBorder="1" applyAlignment="1">
      <alignment vertical="center"/>
    </xf>
    <xf numFmtId="0" fontId="16" fillId="34" borderId="14" xfId="3" applyFont="1" applyFill="1" applyBorder="1" applyAlignment="1">
      <alignment vertical="center"/>
    </xf>
    <xf numFmtId="0" fontId="80" fillId="34" borderId="13" xfId="3" quotePrefix="1" applyFont="1" applyFill="1" applyBorder="1" applyAlignment="1">
      <alignment vertical="center"/>
    </xf>
    <xf numFmtId="0" fontId="78" fillId="34" borderId="13" xfId="3" applyFont="1" applyFill="1" applyBorder="1" applyAlignment="1">
      <alignment vertical="center"/>
    </xf>
    <xf numFmtId="0" fontId="78" fillId="34" borderId="14" xfId="3" quotePrefix="1" applyFont="1" applyFill="1" applyBorder="1" applyAlignment="1">
      <alignment vertical="center"/>
    </xf>
    <xf numFmtId="0" fontId="78" fillId="34" borderId="15" xfId="3" applyFont="1" applyFill="1" applyBorder="1" applyAlignment="1">
      <alignment vertical="center"/>
    </xf>
    <xf numFmtId="0" fontId="78" fillId="34" borderId="14" xfId="3" applyFont="1" applyFill="1" applyBorder="1" applyAlignment="1">
      <alignment vertical="center"/>
    </xf>
    <xf numFmtId="0" fontId="14" fillId="34" borderId="13" xfId="3" applyFont="1" applyFill="1" applyBorder="1" applyAlignment="1">
      <alignment vertical="center"/>
    </xf>
    <xf numFmtId="0" fontId="14" fillId="34" borderId="15" xfId="3" applyFont="1" applyFill="1" applyBorder="1" applyAlignment="1">
      <alignment vertical="center"/>
    </xf>
    <xf numFmtId="0" fontId="16" fillId="33" borderId="14" xfId="3" applyFont="1" applyFill="1" applyBorder="1" applyAlignment="1">
      <alignment vertical="center"/>
    </xf>
    <xf numFmtId="0" fontId="14" fillId="0" borderId="10" xfId="164" applyFont="1" applyBorder="1" applyAlignment="1">
      <alignment vertical="center"/>
    </xf>
    <xf numFmtId="0" fontId="14" fillId="0" borderId="12" xfId="164" applyFont="1" applyBorder="1" applyAlignment="1">
      <alignment vertical="center"/>
    </xf>
    <xf numFmtId="0" fontId="78" fillId="32" borderId="13" xfId="3" applyFont="1" applyFill="1" applyBorder="1"/>
    <xf numFmtId="0" fontId="78" fillId="32" borderId="15" xfId="3" quotePrefix="1" applyFont="1" applyFill="1" applyBorder="1" applyAlignment="1">
      <alignment vertical="center"/>
    </xf>
    <xf numFmtId="0" fontId="16" fillId="33" borderId="13" xfId="3" applyFont="1" applyFill="1" applyBorder="1" applyAlignment="1">
      <alignment vertical="center"/>
    </xf>
    <xf numFmtId="0" fontId="80" fillId="34" borderId="14" xfId="3" quotePrefix="1" applyFont="1" applyFill="1" applyBorder="1" applyAlignment="1">
      <alignment vertical="center"/>
    </xf>
    <xf numFmtId="0" fontId="16" fillId="34" borderId="13" xfId="3" applyFont="1" applyFill="1" applyBorder="1" applyAlignment="1">
      <alignment vertical="center"/>
    </xf>
    <xf numFmtId="0" fontId="78" fillId="34" borderId="13" xfId="3" quotePrefix="1" applyFont="1" applyFill="1" applyBorder="1" applyAlignment="1">
      <alignment vertical="center"/>
    </xf>
    <xf numFmtId="0" fontId="8" fillId="0" borderId="0" xfId="2" applyFont="1">
      <alignment vertical="center"/>
    </xf>
    <xf numFmtId="0" fontId="9" fillId="2" borderId="36" xfId="2" applyFont="1" applyFill="1" applyBorder="1" applyAlignment="1">
      <alignment horizontal="center" vertical="center"/>
    </xf>
    <xf numFmtId="0" fontId="9" fillId="2" borderId="37" xfId="2" applyFont="1" applyFill="1" applyBorder="1" applyAlignment="1">
      <alignment horizontal="center" vertical="center"/>
    </xf>
    <xf numFmtId="0" fontId="10" fillId="2" borderId="37" xfId="2" applyFont="1" applyFill="1" applyBorder="1" applyAlignment="1">
      <alignment horizontal="center" vertical="center" wrapText="1"/>
    </xf>
    <xf numFmtId="0" fontId="10" fillId="2" borderId="37" xfId="2" applyFont="1" applyFill="1" applyBorder="1" applyAlignment="1">
      <alignment horizontal="center" vertical="center"/>
    </xf>
    <xf numFmtId="0" fontId="9" fillId="2" borderId="38" xfId="2" applyFont="1" applyFill="1" applyBorder="1" applyAlignment="1">
      <alignment horizontal="center" vertical="center"/>
    </xf>
    <xf numFmtId="0" fontId="8" fillId="0" borderId="53" xfId="0" applyFont="1" applyBorder="1">
      <alignment vertical="center"/>
    </xf>
    <xf numFmtId="0" fontId="81" fillId="0" borderId="40" xfId="0" applyFont="1" applyBorder="1" applyAlignment="1">
      <alignment vertical="center" wrapText="1"/>
    </xf>
    <xf numFmtId="0" fontId="8" fillId="0" borderId="54" xfId="0" applyFont="1" applyBorder="1">
      <alignment vertical="center"/>
    </xf>
    <xf numFmtId="0" fontId="8" fillId="0" borderId="47" xfId="2" applyFont="1" applyBorder="1">
      <alignment vertical="center"/>
    </xf>
    <xf numFmtId="0" fontId="8" fillId="0" borderId="2" xfId="2" applyFont="1" applyBorder="1">
      <alignment vertical="center"/>
    </xf>
    <xf numFmtId="0" fontId="8" fillId="0" borderId="2" xfId="2" applyFont="1" applyBorder="1" applyAlignment="1">
      <alignment horizontal="center" vertical="center"/>
    </xf>
    <xf numFmtId="0" fontId="8" fillId="0" borderId="3" xfId="2" applyFont="1" applyBorder="1">
      <alignment vertical="center"/>
    </xf>
    <xf numFmtId="0" fontId="8" fillId="0" borderId="3" xfId="2" applyFont="1" applyBorder="1" applyAlignment="1">
      <alignment horizontal="center" vertical="center"/>
    </xf>
    <xf numFmtId="0" fontId="8" fillId="0" borderId="48" xfId="2" applyFont="1" applyBorder="1">
      <alignment vertical="center"/>
    </xf>
    <xf numFmtId="0" fontId="8" fillId="0" borderId="42" xfId="2" applyFont="1" applyBorder="1">
      <alignment vertical="center"/>
    </xf>
    <xf numFmtId="0" fontId="8" fillId="0" borderId="42" xfId="2" applyFont="1" applyBorder="1" applyAlignment="1">
      <alignment horizontal="center" vertical="center"/>
    </xf>
    <xf numFmtId="0" fontId="8" fillId="0" borderId="0" xfId="2" applyFont="1" applyAlignment="1">
      <alignment vertical="center" wrapText="1"/>
    </xf>
    <xf numFmtId="0" fontId="8" fillId="0" borderId="3" xfId="3" applyFont="1" applyBorder="1" applyAlignment="1">
      <alignment vertical="center"/>
    </xf>
    <xf numFmtId="0" fontId="8" fillId="0" borderId="40" xfId="2" applyFont="1" applyBorder="1">
      <alignment vertical="center"/>
    </xf>
    <xf numFmtId="0" fontId="8" fillId="0" borderId="42" xfId="3" applyFont="1" applyBorder="1" applyAlignment="1">
      <alignment vertical="center"/>
    </xf>
    <xf numFmtId="0" fontId="8" fillId="0" borderId="43" xfId="2" applyFont="1" applyBorder="1">
      <alignment vertical="center"/>
    </xf>
    <xf numFmtId="49" fontId="8" fillId="0" borderId="0" xfId="2" applyNumberFormat="1" applyFont="1">
      <alignment vertical="center"/>
    </xf>
    <xf numFmtId="49" fontId="8" fillId="0" borderId="0" xfId="2" applyNumberFormat="1" applyFont="1" applyAlignment="1">
      <alignment vertical="center" wrapText="1"/>
    </xf>
    <xf numFmtId="0" fontId="8" fillId="0" borderId="49" xfId="2" applyFont="1" applyBorder="1">
      <alignment vertical="center"/>
    </xf>
    <xf numFmtId="0" fontId="8" fillId="0" borderId="41" xfId="2" applyFont="1" applyBorder="1">
      <alignment vertical="center"/>
    </xf>
    <xf numFmtId="0" fontId="8" fillId="0" borderId="5" xfId="2" applyFont="1" applyBorder="1">
      <alignment vertical="center"/>
    </xf>
    <xf numFmtId="0" fontId="8" fillId="0" borderId="6" xfId="2" applyFont="1" applyBorder="1">
      <alignment vertical="center"/>
    </xf>
    <xf numFmtId="0" fontId="8" fillId="0" borderId="6" xfId="2" applyFont="1" applyBorder="1" applyAlignment="1">
      <alignment horizontal="center" vertical="center"/>
    </xf>
    <xf numFmtId="0" fontId="8" fillId="0" borderId="50" xfId="2" applyFont="1" applyBorder="1">
      <alignment vertical="center"/>
    </xf>
    <xf numFmtId="0" fontId="8" fillId="0" borderId="0" xfId="161" applyFont="1">
      <alignment vertical="center"/>
    </xf>
    <xf numFmtId="0" fontId="17" fillId="0" borderId="0" xfId="161" applyFont="1">
      <alignment vertical="center"/>
    </xf>
    <xf numFmtId="0" fontId="9" fillId="2" borderId="36" xfId="161" applyFont="1" applyFill="1" applyBorder="1" applyAlignment="1">
      <alignment horizontal="center" vertical="center"/>
    </xf>
    <xf numFmtId="0" fontId="9" fillId="2" borderId="37" xfId="161" applyFont="1" applyFill="1" applyBorder="1" applyAlignment="1">
      <alignment horizontal="center" vertical="center"/>
    </xf>
    <xf numFmtId="0" fontId="10" fillId="2" borderId="37" xfId="161" applyFont="1" applyFill="1" applyBorder="1" applyAlignment="1">
      <alignment horizontal="center" vertical="center" wrapText="1"/>
    </xf>
    <xf numFmtId="0" fontId="10" fillId="2" borderId="37" xfId="161" applyFont="1" applyFill="1" applyBorder="1" applyAlignment="1">
      <alignment horizontal="center" vertical="center"/>
    </xf>
    <xf numFmtId="0" fontId="9" fillId="2" borderId="38" xfId="161" applyFont="1" applyFill="1" applyBorder="1" applyAlignment="1">
      <alignment horizontal="center" vertical="center"/>
    </xf>
    <xf numFmtId="0" fontId="8" fillId="0" borderId="47" xfId="115" applyBorder="1" applyAlignment="1">
      <alignment vertical="center"/>
    </xf>
    <xf numFmtId="0" fontId="8" fillId="0" borderId="2" xfId="115" applyBorder="1" applyAlignment="1">
      <alignment vertical="center"/>
    </xf>
    <xf numFmtId="0" fontId="8" fillId="0" borderId="2" xfId="115" applyBorder="1" applyAlignment="1">
      <alignment horizontal="center" vertical="center"/>
    </xf>
    <xf numFmtId="0" fontId="8" fillId="0" borderId="40" xfId="115" applyBorder="1" applyAlignment="1">
      <alignment vertical="center" wrapText="1"/>
    </xf>
    <xf numFmtId="0" fontId="17" fillId="0" borderId="0" xfId="115" applyFont="1" applyAlignment="1">
      <alignment vertical="center"/>
    </xf>
    <xf numFmtId="0" fontId="8" fillId="0" borderId="49" xfId="115" applyBorder="1" applyAlignment="1">
      <alignment vertical="center"/>
    </xf>
    <xf numFmtId="0" fontId="8" fillId="0" borderId="3" xfId="115" applyBorder="1" applyAlignment="1">
      <alignment vertical="center"/>
    </xf>
    <xf numFmtId="0" fontId="8" fillId="0" borderId="3" xfId="115" applyBorder="1" applyAlignment="1">
      <alignment horizontal="center" vertical="center"/>
    </xf>
    <xf numFmtId="0" fontId="8" fillId="0" borderId="41" xfId="115" applyBorder="1" applyAlignment="1">
      <alignment vertical="center" wrapText="1"/>
    </xf>
    <xf numFmtId="0" fontId="8" fillId="0" borderId="49" xfId="161" applyFont="1" applyBorder="1">
      <alignment vertical="center"/>
    </xf>
    <xf numFmtId="0" fontId="81" fillId="0" borderId="3" xfId="167" applyFont="1" applyBorder="1">
      <alignment vertical="center"/>
    </xf>
    <xf numFmtId="0" fontId="81" fillId="0" borderId="3" xfId="167" applyFont="1" applyBorder="1" applyAlignment="1">
      <alignment horizontal="center" vertical="center"/>
    </xf>
    <xf numFmtId="0" fontId="81" fillId="0" borderId="41" xfId="167" applyFont="1" applyBorder="1">
      <alignment vertical="center"/>
    </xf>
    <xf numFmtId="0" fontId="8" fillId="0" borderId="48" xfId="161" applyFont="1" applyBorder="1">
      <alignment vertical="center"/>
    </xf>
    <xf numFmtId="0" fontId="81" fillId="0" borderId="42" xfId="167" applyFont="1" applyBorder="1">
      <alignment vertical="center"/>
    </xf>
    <xf numFmtId="0" fontId="81" fillId="0" borderId="42" xfId="167" applyFont="1" applyBorder="1" applyAlignment="1">
      <alignment horizontal="center" vertical="center"/>
    </xf>
    <xf numFmtId="0" fontId="81" fillId="0" borderId="43" xfId="167" applyFont="1" applyBorder="1" applyAlignment="1">
      <alignment vertical="center" wrapText="1"/>
    </xf>
    <xf numFmtId="0" fontId="17" fillId="0" borderId="0" xfId="161" applyFont="1" applyAlignment="1">
      <alignment vertical="center" wrapText="1"/>
    </xf>
    <xf numFmtId="0" fontId="8" fillId="0" borderId="41" xfId="2" applyFont="1" applyBorder="1" applyAlignment="1">
      <alignment vertical="center" wrapText="1"/>
    </xf>
    <xf numFmtId="0" fontId="62" fillId="0" borderId="49" xfId="0" applyFont="1" applyBorder="1">
      <alignment vertical="center"/>
    </xf>
    <xf numFmtId="0" fontId="62" fillId="0" borderId="40" xfId="0" applyFont="1" applyBorder="1" applyAlignment="1">
      <alignment vertical="center" wrapText="1"/>
    </xf>
    <xf numFmtId="0" fontId="75" fillId="30" borderId="4" xfId="0" applyFont="1" applyFill="1" applyBorder="1" applyAlignment="1">
      <alignment horizontal="center" vertical="center" wrapText="1"/>
    </xf>
    <xf numFmtId="0" fontId="8" fillId="0" borderId="40" xfId="0" applyFont="1" applyBorder="1" applyAlignment="1">
      <alignment vertical="center" wrapText="1"/>
    </xf>
    <xf numFmtId="0" fontId="62" fillId="0" borderId="48" xfId="0" applyFont="1" applyBorder="1">
      <alignment vertical="center"/>
    </xf>
    <xf numFmtId="0" fontId="62" fillId="0" borderId="42" xfId="0" applyFont="1" applyBorder="1">
      <alignment vertical="center"/>
    </xf>
    <xf numFmtId="0" fontId="62" fillId="0" borderId="42" xfId="0" applyFont="1" applyBorder="1" applyAlignment="1">
      <alignment horizontal="center" vertical="center"/>
    </xf>
    <xf numFmtId="0" fontId="62" fillId="0" borderId="43" xfId="0" applyFont="1" applyBorder="1">
      <alignment vertical="center"/>
    </xf>
    <xf numFmtId="0" fontId="62" fillId="0" borderId="42" xfId="0" applyFont="1" applyBorder="1" applyAlignment="1">
      <alignment vertical="center" wrapText="1"/>
    </xf>
    <xf numFmtId="0" fontId="62" fillId="0" borderId="43" xfId="0" applyFont="1" applyBorder="1" applyAlignment="1">
      <alignment vertical="center" wrapText="1"/>
    </xf>
    <xf numFmtId="0" fontId="62" fillId="0" borderId="55" xfId="0" applyFont="1" applyBorder="1" applyAlignment="1">
      <alignment vertical="center" wrapText="1"/>
    </xf>
    <xf numFmtId="0" fontId="62" fillId="0" borderId="51" xfId="0" applyFont="1" applyBorder="1" applyAlignment="1">
      <alignment vertical="center" wrapText="1"/>
    </xf>
    <xf numFmtId="0" fontId="62" fillId="0" borderId="41" xfId="0" applyFont="1" applyBorder="1">
      <alignment vertical="center"/>
    </xf>
    <xf numFmtId="0" fontId="82" fillId="0" borderId="31" xfId="163" applyFont="1" applyBorder="1" applyAlignment="1">
      <alignment horizontal="center" vertical="center"/>
    </xf>
    <xf numFmtId="177" fontId="82" fillId="0" borderId="31" xfId="163" applyNumberFormat="1" applyFont="1" applyBorder="1" applyAlignment="1">
      <alignment horizontal="center" vertical="center"/>
    </xf>
    <xf numFmtId="0" fontId="82" fillId="0" borderId="31" xfId="163" applyFont="1" applyBorder="1" applyAlignment="1">
      <alignment vertical="center" wrapText="1"/>
    </xf>
    <xf numFmtId="0" fontId="8" fillId="0" borderId="48" xfId="115" applyBorder="1" applyAlignment="1">
      <alignment vertical="center"/>
    </xf>
    <xf numFmtId="0" fontId="8" fillId="0" borderId="42" xfId="115" applyBorder="1" applyAlignment="1">
      <alignment vertical="center"/>
    </xf>
    <xf numFmtId="0" fontId="8" fillId="0" borderId="42" xfId="115" applyBorder="1" applyAlignment="1">
      <alignment horizontal="center" vertical="center"/>
    </xf>
    <xf numFmtId="0" fontId="8" fillId="0" borderId="43" xfId="115" applyBorder="1" applyAlignment="1">
      <alignment vertical="center" wrapText="1"/>
    </xf>
    <xf numFmtId="0" fontId="8" fillId="0" borderId="43" xfId="0" applyFont="1" applyBorder="1" applyAlignment="1">
      <alignment vertical="center" wrapText="1"/>
    </xf>
    <xf numFmtId="0" fontId="83" fillId="0" borderId="31" xfId="163" applyFont="1" applyBorder="1" applyAlignment="1">
      <alignment horizontal="center" vertical="center"/>
    </xf>
    <xf numFmtId="177" fontId="83" fillId="0" borderId="31" xfId="163" applyNumberFormat="1" applyFont="1" applyBorder="1" applyAlignment="1">
      <alignment horizontal="center" vertical="center"/>
    </xf>
    <xf numFmtId="0" fontId="83" fillId="0" borderId="31" xfId="163" applyFont="1" applyBorder="1" applyAlignment="1">
      <alignment vertical="center" wrapText="1"/>
    </xf>
    <xf numFmtId="0" fontId="8" fillId="0" borderId="41" xfId="0" applyFont="1" applyBorder="1" applyAlignment="1">
      <alignment vertical="top" wrapText="1"/>
    </xf>
    <xf numFmtId="0" fontId="8" fillId="0" borderId="43" xfId="0" applyFont="1" applyBorder="1" applyAlignment="1">
      <alignment vertical="top" wrapText="1"/>
    </xf>
    <xf numFmtId="0" fontId="84" fillId="0" borderId="4" xfId="0" applyFont="1" applyBorder="1">
      <alignment vertical="center"/>
    </xf>
    <xf numFmtId="0" fontId="84" fillId="0" borderId="31" xfId="0" applyFont="1" applyBorder="1">
      <alignment vertical="center"/>
    </xf>
    <xf numFmtId="0" fontId="84" fillId="0" borderId="4" xfId="0" applyFont="1" applyBorder="1" applyAlignment="1">
      <alignment horizontal="center" vertical="center"/>
    </xf>
    <xf numFmtId="0" fontId="84" fillId="0" borderId="4" xfId="0" quotePrefix="1" applyFont="1" applyBorder="1" applyAlignment="1">
      <alignment horizontal="center" vertical="center"/>
    </xf>
    <xf numFmtId="0" fontId="84" fillId="0" borderId="0" xfId="0" applyFont="1">
      <alignment vertical="center"/>
    </xf>
    <xf numFmtId="0" fontId="85" fillId="0" borderId="31" xfId="163" applyFont="1" applyBorder="1" applyAlignment="1">
      <alignment horizontal="center" vertical="center"/>
    </xf>
    <xf numFmtId="177" fontId="85" fillId="0" borderId="31" xfId="163" applyNumberFormat="1" applyFont="1" applyBorder="1" applyAlignment="1">
      <alignment horizontal="center" vertical="center"/>
    </xf>
    <xf numFmtId="0" fontId="85" fillId="0" borderId="31" xfId="163" applyFont="1" applyBorder="1" applyAlignment="1">
      <alignment vertical="center" wrapText="1"/>
    </xf>
    <xf numFmtId="0" fontId="86" fillId="0" borderId="4" xfId="0" applyFont="1" applyBorder="1">
      <alignment vertical="center"/>
    </xf>
    <xf numFmtId="0" fontId="86" fillId="0" borderId="4" xfId="0" quotePrefix="1" applyFont="1" applyBorder="1">
      <alignment vertical="center"/>
    </xf>
    <xf numFmtId="0" fontId="86" fillId="0" borderId="4" xfId="0" applyFont="1" applyBorder="1" applyAlignment="1">
      <alignment horizontal="center" vertical="center"/>
    </xf>
    <xf numFmtId="0" fontId="86" fillId="0" borderId="4" xfId="0" quotePrefix="1" applyFont="1" applyBorder="1" applyAlignment="1">
      <alignment horizontal="center" vertical="center"/>
    </xf>
    <xf numFmtId="0" fontId="86" fillId="0" borderId="0" xfId="0" applyFont="1">
      <alignment vertical="center"/>
    </xf>
    <xf numFmtId="0" fontId="62" fillId="35" borderId="49" xfId="0" applyFont="1" applyFill="1" applyBorder="1">
      <alignment vertical="center"/>
    </xf>
    <xf numFmtId="0" fontId="62" fillId="35" borderId="3" xfId="0" applyFont="1" applyFill="1" applyBorder="1">
      <alignment vertical="center"/>
    </xf>
    <xf numFmtId="0" fontId="62" fillId="35" borderId="3" xfId="0" applyFont="1" applyFill="1" applyBorder="1" applyAlignment="1">
      <alignment horizontal="center" vertical="center"/>
    </xf>
    <xf numFmtId="0" fontId="62" fillId="35" borderId="40" xfId="0" applyFont="1" applyFill="1" applyBorder="1" applyAlignment="1">
      <alignment vertical="center" wrapText="1"/>
    </xf>
    <xf numFmtId="0" fontId="78" fillId="35" borderId="31" xfId="163" applyFont="1" applyFill="1" applyBorder="1" applyAlignment="1">
      <alignment horizontal="center" vertical="center"/>
    </xf>
    <xf numFmtId="177" fontId="78" fillId="35" borderId="31" xfId="163" applyNumberFormat="1" applyFont="1" applyFill="1" applyBorder="1" applyAlignment="1">
      <alignment horizontal="center" vertical="center"/>
    </xf>
    <xf numFmtId="0" fontId="78" fillId="35" borderId="31" xfId="163" applyFont="1" applyFill="1" applyBorder="1" applyAlignment="1">
      <alignment vertical="center" wrapText="1"/>
    </xf>
    <xf numFmtId="0" fontId="87" fillId="0" borderId="31" xfId="163" applyFont="1" applyBorder="1" applyAlignment="1">
      <alignment horizontal="center" vertical="center"/>
    </xf>
    <xf numFmtId="177" fontId="87" fillId="0" borderId="31" xfId="163" applyNumberFormat="1" applyFont="1" applyBorder="1" applyAlignment="1">
      <alignment horizontal="center" vertical="center"/>
    </xf>
    <xf numFmtId="0" fontId="87" fillId="0" borderId="31" xfId="163" applyFont="1" applyBorder="1" applyAlignment="1">
      <alignment vertical="center" wrapText="1"/>
    </xf>
    <xf numFmtId="0" fontId="88" fillId="0" borderId="3" xfId="0" applyFont="1" applyBorder="1">
      <alignment vertical="center"/>
    </xf>
    <xf numFmtId="0" fontId="88" fillId="0" borderId="0" xfId="0" applyFont="1">
      <alignment vertical="center"/>
    </xf>
    <xf numFmtId="0" fontId="13" fillId="0" borderId="7" xfId="163" applyFont="1" applyBorder="1" applyAlignment="1">
      <alignment horizontal="center" vertical="center"/>
    </xf>
    <xf numFmtId="0" fontId="13" fillId="0" borderId="8" xfId="163" applyFont="1" applyBorder="1" applyAlignment="1">
      <alignment horizontal="center" vertical="center"/>
    </xf>
    <xf numFmtId="0" fontId="13" fillId="0" borderId="9" xfId="163" applyFont="1" applyBorder="1" applyAlignment="1">
      <alignment horizontal="center" vertical="center"/>
    </xf>
    <xf numFmtId="0" fontId="13" fillId="0" borderId="16" xfId="163" applyFont="1" applyBorder="1" applyAlignment="1">
      <alignment horizontal="center" vertical="center"/>
    </xf>
    <xf numFmtId="0" fontId="13" fillId="0" borderId="0" xfId="163" applyFont="1" applyAlignment="1">
      <alignment horizontal="center" vertical="center"/>
    </xf>
    <xf numFmtId="0" fontId="13" fillId="0" borderId="17" xfId="163" applyFont="1" applyBorder="1" applyAlignment="1">
      <alignment horizontal="center" vertical="center"/>
    </xf>
    <xf numFmtId="0" fontId="13" fillId="0" borderId="10" xfId="163" applyFont="1" applyBorder="1" applyAlignment="1">
      <alignment horizontal="center" vertical="center"/>
    </xf>
    <xf numFmtId="0" fontId="13" fillId="0" borderId="11" xfId="163" applyFont="1" applyBorder="1" applyAlignment="1">
      <alignment horizontal="center" vertical="center"/>
    </xf>
    <xf numFmtId="0" fontId="13" fillId="0" borderId="12" xfId="163" applyFont="1" applyBorder="1" applyAlignment="1">
      <alignment horizontal="center" vertical="center"/>
    </xf>
    <xf numFmtId="0" fontId="12" fillId="0" borderId="7" xfId="162" applyFont="1" applyBorder="1" applyAlignment="1">
      <alignment horizontal="center" vertical="center" shrinkToFit="1"/>
    </xf>
    <xf numFmtId="0" fontId="15" fillId="0" borderId="8" xfId="162" applyBorder="1" applyAlignment="1">
      <alignment horizontal="center" vertical="center" shrinkToFit="1"/>
    </xf>
    <xf numFmtId="0" fontId="15" fillId="0" borderId="10" xfId="162" applyBorder="1" applyAlignment="1">
      <alignment horizontal="center" vertical="center" shrinkToFit="1"/>
    </xf>
    <xf numFmtId="0" fontId="15" fillId="0" borderId="11" xfId="162" applyBorder="1" applyAlignment="1">
      <alignment horizontal="center" vertical="center" shrinkToFit="1"/>
    </xf>
    <xf numFmtId="0" fontId="64" fillId="4" borderId="7" xfId="163" applyFont="1" applyFill="1" applyBorder="1" applyAlignment="1">
      <alignment horizontal="center" vertical="center" shrinkToFit="1"/>
    </xf>
    <xf numFmtId="0" fontId="64" fillId="4" borderId="8" xfId="163" applyFont="1" applyFill="1" applyBorder="1" applyAlignment="1">
      <alignment horizontal="center" vertical="center" shrinkToFit="1"/>
    </xf>
    <xf numFmtId="0" fontId="64" fillId="4" borderId="9" xfId="163" applyFont="1" applyFill="1" applyBorder="1" applyAlignment="1">
      <alignment horizontal="center" vertical="center" shrinkToFit="1"/>
    </xf>
    <xf numFmtId="0" fontId="64" fillId="4" borderId="10" xfId="163" applyFont="1" applyFill="1" applyBorder="1" applyAlignment="1">
      <alignment horizontal="center" vertical="center" shrinkToFit="1"/>
    </xf>
    <xf numFmtId="0" fontId="64" fillId="4" borderId="11" xfId="163" applyFont="1" applyFill="1" applyBorder="1" applyAlignment="1">
      <alignment horizontal="center" vertical="center" shrinkToFit="1"/>
    </xf>
    <xf numFmtId="0" fontId="64" fillId="4" borderId="12" xfId="163" applyFont="1" applyFill="1" applyBorder="1" applyAlignment="1">
      <alignment horizontal="center" vertical="center" shrinkToFit="1"/>
    </xf>
    <xf numFmtId="0" fontId="66" fillId="0" borderId="16" xfId="163" applyFont="1" applyBorder="1" applyAlignment="1">
      <alignment horizontal="center" vertical="center" shrinkToFit="1"/>
    </xf>
    <xf numFmtId="0" fontId="66" fillId="0" borderId="0" xfId="163" applyFont="1" applyAlignment="1">
      <alignment horizontal="center" vertical="center" shrinkToFit="1"/>
    </xf>
    <xf numFmtId="0" fontId="66" fillId="0" borderId="17" xfId="163" applyFont="1" applyBorder="1" applyAlignment="1">
      <alignment horizontal="center" vertical="center" shrinkToFit="1"/>
    </xf>
    <xf numFmtId="0" fontId="67" fillId="0" borderId="16" xfId="163" applyFont="1" applyBorder="1" applyAlignment="1">
      <alignment horizontal="center" vertical="center" shrinkToFit="1"/>
    </xf>
    <xf numFmtId="0" fontId="67" fillId="0" borderId="0" xfId="163" applyFont="1" applyAlignment="1">
      <alignment horizontal="center" vertical="center" shrinkToFit="1"/>
    </xf>
    <xf numFmtId="0" fontId="67" fillId="0" borderId="17" xfId="163" applyFont="1" applyBorder="1" applyAlignment="1">
      <alignment horizontal="center" vertical="center" shrinkToFit="1"/>
    </xf>
    <xf numFmtId="0" fontId="9" fillId="2" borderId="45" xfId="2" applyFont="1" applyFill="1" applyBorder="1" applyAlignment="1">
      <alignment horizontal="center" vertical="center"/>
    </xf>
    <xf numFmtId="0" fontId="8" fillId="2" borderId="46" xfId="2" applyFont="1" applyFill="1" applyBorder="1" applyAlignment="1">
      <alignment horizontal="center" vertical="center"/>
    </xf>
    <xf numFmtId="0" fontId="9" fillId="2" borderId="45" xfId="0" applyFont="1" applyFill="1" applyBorder="1" applyAlignment="1">
      <alignment horizontal="center" vertical="center"/>
    </xf>
    <xf numFmtId="0" fontId="8" fillId="2" borderId="46" xfId="0" applyFont="1" applyFill="1" applyBorder="1" applyAlignment="1">
      <alignment horizontal="center" vertical="center"/>
    </xf>
    <xf numFmtId="0" fontId="12" fillId="0" borderId="7" xfId="164" applyFont="1" applyBorder="1" applyAlignment="1">
      <alignment horizontal="left" vertical="center" shrinkToFit="1"/>
    </xf>
    <xf numFmtId="0" fontId="12" fillId="0" borderId="8" xfId="164" applyFont="1" applyBorder="1" applyAlignment="1">
      <alignment horizontal="left" vertical="center" shrinkToFit="1"/>
    </xf>
    <xf numFmtId="0" fontId="12" fillId="0" borderId="9" xfId="164" applyFont="1" applyBorder="1" applyAlignment="1">
      <alignment horizontal="left" vertical="center" shrinkToFit="1"/>
    </xf>
    <xf numFmtId="0" fontId="12" fillId="0" borderId="10" xfId="164" applyFont="1" applyBorder="1" applyAlignment="1">
      <alignment horizontal="left" vertical="center" shrinkToFit="1"/>
    </xf>
    <xf numFmtId="0" fontId="12" fillId="0" borderId="11" xfId="164" applyFont="1" applyBorder="1" applyAlignment="1">
      <alignment horizontal="left" vertical="center" shrinkToFit="1"/>
    </xf>
    <xf numFmtId="0" fontId="12" fillId="0" borderId="12" xfId="164" applyFont="1" applyBorder="1" applyAlignment="1">
      <alignment horizontal="left" vertical="center" shrinkToFit="1"/>
    </xf>
    <xf numFmtId="0" fontId="14" fillId="4" borderId="14" xfId="164" applyFont="1" applyFill="1" applyBorder="1" applyAlignment="1">
      <alignment horizontal="center" vertical="center"/>
    </xf>
    <xf numFmtId="0" fontId="14" fillId="0" borderId="13" xfId="164" applyFont="1" applyBorder="1" applyAlignment="1">
      <alignment horizontal="center" vertical="center"/>
    </xf>
    <xf numFmtId="0" fontId="14" fillId="0" borderId="15" xfId="164" applyFont="1" applyBorder="1" applyAlignment="1">
      <alignment horizontal="center" vertical="center"/>
    </xf>
    <xf numFmtId="0" fontId="16" fillId="32" borderId="14" xfId="3" applyFont="1" applyFill="1" applyBorder="1" applyAlignment="1">
      <alignment horizontal="left" vertical="center" shrinkToFit="1"/>
    </xf>
    <xf numFmtId="0" fontId="0" fillId="0" borderId="13" xfId="0" applyBorder="1" applyAlignment="1">
      <alignment horizontal="left" vertical="center" shrinkToFit="1"/>
    </xf>
    <xf numFmtId="0" fontId="0" fillId="0" borderId="15" xfId="0" applyBorder="1" applyAlignment="1">
      <alignment horizontal="left" vertical="center" shrinkToFit="1"/>
    </xf>
  </cellXfs>
  <cellStyles count="168">
    <cellStyle name="20% - アクセント 1 2" xfId="4" xr:uid="{00000000-0005-0000-0000-000000000000}"/>
    <cellStyle name="20% - アクセント 2 2" xfId="5" xr:uid="{00000000-0005-0000-0000-000001000000}"/>
    <cellStyle name="20% - アクセント 3 2" xfId="6" xr:uid="{00000000-0005-0000-0000-000002000000}"/>
    <cellStyle name="20% - アクセント 4 2" xfId="7" xr:uid="{00000000-0005-0000-0000-000003000000}"/>
    <cellStyle name="20% - アクセント 5 2" xfId="8" xr:uid="{00000000-0005-0000-0000-000004000000}"/>
    <cellStyle name="20% - アクセント 6 2" xfId="9" xr:uid="{00000000-0005-0000-0000-000005000000}"/>
    <cellStyle name="40% - アクセント 1 2" xfId="10" xr:uid="{00000000-0005-0000-0000-000006000000}"/>
    <cellStyle name="40% - アクセント 2 2" xfId="11" xr:uid="{00000000-0005-0000-0000-000007000000}"/>
    <cellStyle name="40% - アクセント 3 2" xfId="12" xr:uid="{00000000-0005-0000-0000-000008000000}"/>
    <cellStyle name="40% - アクセント 4 2" xfId="13" xr:uid="{00000000-0005-0000-0000-000009000000}"/>
    <cellStyle name="40% - アクセント 5 2" xfId="14" xr:uid="{00000000-0005-0000-0000-00000A000000}"/>
    <cellStyle name="40% - アクセント 6 2" xfId="15" xr:uid="{00000000-0005-0000-0000-00000B000000}"/>
    <cellStyle name="60% - アクセント 1 2" xfId="16" xr:uid="{00000000-0005-0000-0000-00000C000000}"/>
    <cellStyle name="60% - アクセント 2 2" xfId="17" xr:uid="{00000000-0005-0000-0000-00000D000000}"/>
    <cellStyle name="60% - アクセント 3 2" xfId="18" xr:uid="{00000000-0005-0000-0000-00000E000000}"/>
    <cellStyle name="60% - アクセント 4 2" xfId="19" xr:uid="{00000000-0005-0000-0000-00000F000000}"/>
    <cellStyle name="60% - アクセント 5 2" xfId="20" xr:uid="{00000000-0005-0000-0000-000010000000}"/>
    <cellStyle name="60% - アクセント 6 2" xfId="21" xr:uid="{00000000-0005-0000-0000-000011000000}"/>
    <cellStyle name="args.style" xfId="22" xr:uid="{00000000-0005-0000-0000-000012000000}"/>
    <cellStyle name="Border" xfId="23" xr:uid="{00000000-0005-0000-0000-000013000000}"/>
    <cellStyle name="Calc Currency (0)" xfId="24" xr:uid="{00000000-0005-0000-0000-000014000000}"/>
    <cellStyle name="Calc Currency (0) 2" xfId="25" xr:uid="{00000000-0005-0000-0000-000015000000}"/>
    <cellStyle name="Calc Currency (0) 3" xfId="26" xr:uid="{00000000-0005-0000-0000-000016000000}"/>
    <cellStyle name="Calc Currency (0) 4" xfId="27" xr:uid="{00000000-0005-0000-0000-000017000000}"/>
    <cellStyle name="Calc Currency (0) 5" xfId="28" xr:uid="{00000000-0005-0000-0000-000018000000}"/>
    <cellStyle name="Calc Currency (0) 6" xfId="29" xr:uid="{00000000-0005-0000-0000-000019000000}"/>
    <cellStyle name="Calc Currency (0) 7" xfId="30" xr:uid="{00000000-0005-0000-0000-00001A000000}"/>
    <cellStyle name="Comma  - Style1" xfId="31" xr:uid="{00000000-0005-0000-0000-00001B000000}"/>
    <cellStyle name="Comma  - Style2" xfId="32" xr:uid="{00000000-0005-0000-0000-00001C000000}"/>
    <cellStyle name="Comma  - Style3" xfId="33" xr:uid="{00000000-0005-0000-0000-00001D000000}"/>
    <cellStyle name="Comma  - Style4" xfId="34" xr:uid="{00000000-0005-0000-0000-00001E000000}"/>
    <cellStyle name="Comma  - Style5" xfId="35" xr:uid="{00000000-0005-0000-0000-00001F000000}"/>
    <cellStyle name="Comma  - Style6" xfId="36" xr:uid="{00000000-0005-0000-0000-000020000000}"/>
    <cellStyle name="Comma  - Style7" xfId="37" xr:uid="{00000000-0005-0000-0000-000021000000}"/>
    <cellStyle name="Comma  - Style8" xfId="38" xr:uid="{00000000-0005-0000-0000-000022000000}"/>
    <cellStyle name="Comma [0]" xfId="39" xr:uid="{00000000-0005-0000-0000-000023000000}"/>
    <cellStyle name="comma zerodec" xfId="40" xr:uid="{00000000-0005-0000-0000-000024000000}"/>
    <cellStyle name="Currency [0]" xfId="41" xr:uid="{00000000-0005-0000-0000-000025000000}"/>
    <cellStyle name="Currency1" xfId="42" xr:uid="{00000000-0005-0000-0000-000026000000}"/>
    <cellStyle name="Dollar (zero dec)" xfId="43" xr:uid="{00000000-0005-0000-0000-000027000000}"/>
    <cellStyle name="entry" xfId="44" xr:uid="{00000000-0005-0000-0000-000028000000}"/>
    <cellStyle name="Grey" xfId="45" xr:uid="{00000000-0005-0000-0000-000029000000}"/>
    <cellStyle name="Header1" xfId="46" xr:uid="{00000000-0005-0000-0000-00002A000000}"/>
    <cellStyle name="Header2" xfId="47" xr:uid="{00000000-0005-0000-0000-00002B000000}"/>
    <cellStyle name="IBM(401K)" xfId="48" xr:uid="{00000000-0005-0000-0000-00002C000000}"/>
    <cellStyle name="Input [yellow]" xfId="49" xr:uid="{00000000-0005-0000-0000-00002D000000}"/>
    <cellStyle name="J401K" xfId="50" xr:uid="{00000000-0005-0000-0000-00002E000000}"/>
    <cellStyle name="Normal - Style1" xfId="51" xr:uid="{00000000-0005-0000-0000-00002F000000}"/>
    <cellStyle name="per.style" xfId="52" xr:uid="{00000000-0005-0000-0000-000030000000}"/>
    <cellStyle name="Percent [2]" xfId="53" xr:uid="{00000000-0005-0000-0000-000031000000}"/>
    <cellStyle name="price" xfId="54" xr:uid="{00000000-0005-0000-0000-000032000000}"/>
    <cellStyle name="PSChar" xfId="55" xr:uid="{00000000-0005-0000-0000-000033000000}"/>
    <cellStyle name="PSHeading" xfId="56" xr:uid="{00000000-0005-0000-0000-000034000000}"/>
    <cellStyle name="revised" xfId="57" xr:uid="{00000000-0005-0000-0000-000035000000}"/>
    <cellStyle name="section" xfId="58" xr:uid="{00000000-0005-0000-0000-000036000000}"/>
    <cellStyle name="Ｔ２０５" xfId="59" xr:uid="{00000000-0005-0000-0000-000037000000}"/>
    <cellStyle name="Ｔ２０５１" xfId="60" xr:uid="{00000000-0005-0000-0000-000038000000}"/>
    <cellStyle name="Ｔ２０５２" xfId="61" xr:uid="{00000000-0005-0000-0000-000039000000}"/>
    <cellStyle name="Ｔ２０５３" xfId="62" xr:uid="{00000000-0005-0000-0000-00003A000000}"/>
    <cellStyle name="title" xfId="63" xr:uid="{00000000-0005-0000-0000-00003B000000}"/>
    <cellStyle name="アクセント 1 2" xfId="64" xr:uid="{00000000-0005-0000-0000-00003C000000}"/>
    <cellStyle name="アクセント 2 2" xfId="65" xr:uid="{00000000-0005-0000-0000-00003D000000}"/>
    <cellStyle name="アクセント 3 2" xfId="66" xr:uid="{00000000-0005-0000-0000-00003E000000}"/>
    <cellStyle name="アクセント 4 2" xfId="67" xr:uid="{00000000-0005-0000-0000-00003F000000}"/>
    <cellStyle name="アクセント 5 2" xfId="68" xr:uid="{00000000-0005-0000-0000-000040000000}"/>
    <cellStyle name="アクセント 6 2" xfId="69" xr:uid="{00000000-0005-0000-0000-000041000000}"/>
    <cellStyle name="スタイル 1" xfId="70" xr:uid="{00000000-0005-0000-0000-000042000000}"/>
    <cellStyle name="タイトル 2" xfId="71" xr:uid="{00000000-0005-0000-0000-000043000000}"/>
    <cellStyle name="チェック セル 2" xfId="72" xr:uid="{00000000-0005-0000-0000-000044000000}"/>
    <cellStyle name="どちらでもない 2" xfId="73" xr:uid="{00000000-0005-0000-0000-000045000000}"/>
    <cellStyle name="ハイパーリンク 2" xfId="74" xr:uid="{00000000-0005-0000-0000-000046000000}"/>
    <cellStyle name="ハイパーリンク 2 2" xfId="75" xr:uid="{00000000-0005-0000-0000-000047000000}"/>
    <cellStyle name="ハイパーリンク 2_★外部設計書（基幹マスタ取込）v1_10" xfId="76" xr:uid="{00000000-0005-0000-0000-000048000000}"/>
    <cellStyle name="ハイパーリンク 3" xfId="77" xr:uid="{00000000-0005-0000-0000-000049000000}"/>
    <cellStyle name="ハイパーリンク 4" xfId="78" xr:uid="{00000000-0005-0000-0000-00004A000000}"/>
    <cellStyle name="ハイパーリンク 5" xfId="158" xr:uid="{00000000-0005-0000-0000-00004B000000}"/>
    <cellStyle name="メモ 2" xfId="79" xr:uid="{00000000-0005-0000-0000-00004C000000}"/>
    <cellStyle name="リンク セル 2" xfId="80" xr:uid="{00000000-0005-0000-0000-00004D000000}"/>
    <cellStyle name="悪い 2" xfId="81" xr:uid="{00000000-0005-0000-0000-00004E000000}"/>
    <cellStyle name="価格桁区切り" xfId="82" xr:uid="{00000000-0005-0000-0000-00004F000000}"/>
    <cellStyle name="型番" xfId="83" xr:uid="{00000000-0005-0000-0000-000050000000}"/>
    <cellStyle name="計算 2" xfId="84" xr:uid="{00000000-0005-0000-0000-000051000000}"/>
    <cellStyle name="警告文 2" xfId="85" xr:uid="{00000000-0005-0000-0000-000052000000}"/>
    <cellStyle name="桁区切り 2" xfId="86" xr:uid="{00000000-0005-0000-0000-000053000000}"/>
    <cellStyle name="桁区切り 2 2" xfId="153" xr:uid="{00000000-0005-0000-0000-000054000000}"/>
    <cellStyle name="桁区切り 2 3" xfId="148" xr:uid="{00000000-0005-0000-0000-000055000000}"/>
    <cellStyle name="桁区切り 3" xfId="87" xr:uid="{00000000-0005-0000-0000-000056000000}"/>
    <cellStyle name="見出し 1 2" xfId="88" xr:uid="{00000000-0005-0000-0000-000057000000}"/>
    <cellStyle name="見出し 2 2" xfId="89" xr:uid="{00000000-0005-0000-0000-000058000000}"/>
    <cellStyle name="見出し 3 2" xfId="90" xr:uid="{00000000-0005-0000-0000-000059000000}"/>
    <cellStyle name="見出し 4 2" xfId="91" xr:uid="{00000000-0005-0000-0000-00005A000000}"/>
    <cellStyle name="集計 2" xfId="92" xr:uid="{00000000-0005-0000-0000-00005B000000}"/>
    <cellStyle name="出力 2" xfId="93" xr:uid="{00000000-0005-0000-0000-00005C000000}"/>
    <cellStyle name="数値" xfId="94" xr:uid="{00000000-0005-0000-0000-00005D000000}"/>
    <cellStyle name="数値（桁区切り）" xfId="95" xr:uid="{00000000-0005-0000-0000-00005E000000}"/>
    <cellStyle name="数値_ＣＣ見積３S4100(NX)_rev3010704" xfId="96" xr:uid="{00000000-0005-0000-0000-00005F000000}"/>
    <cellStyle name="製品通知&quot;-&quot;" xfId="97" xr:uid="{00000000-0005-0000-0000-000060000000}"/>
    <cellStyle name="製品通知価格" xfId="98" xr:uid="{00000000-0005-0000-0000-000061000000}"/>
    <cellStyle name="製品通知日付" xfId="99" xr:uid="{00000000-0005-0000-0000-000062000000}"/>
    <cellStyle name="製品通知文字列" xfId="100" xr:uid="{00000000-0005-0000-0000-000063000000}"/>
    <cellStyle name="説明文 2" xfId="101" xr:uid="{00000000-0005-0000-0000-000064000000}"/>
    <cellStyle name="日付" xfId="102" xr:uid="{00000000-0005-0000-0000-000065000000}"/>
    <cellStyle name="入力 2" xfId="103" xr:uid="{00000000-0005-0000-0000-000066000000}"/>
    <cellStyle name="年月日" xfId="104" xr:uid="{00000000-0005-0000-0000-000067000000}"/>
    <cellStyle name="標準" xfId="0" builtinId="0"/>
    <cellStyle name="標準 10" xfId="105" xr:uid="{00000000-0005-0000-0000-000069000000}"/>
    <cellStyle name="標準 10 2" xfId="106" xr:uid="{00000000-0005-0000-0000-00006A000000}"/>
    <cellStyle name="標準 10_★外部設計書（基幹マスタ取込）v1_10" xfId="107" xr:uid="{00000000-0005-0000-0000-00006B000000}"/>
    <cellStyle name="標準 11" xfId="108" xr:uid="{00000000-0005-0000-0000-00006C000000}"/>
    <cellStyle name="標準 11 2" xfId="109" xr:uid="{00000000-0005-0000-0000-00006D000000}"/>
    <cellStyle name="標準 11 2 2" xfId="154" xr:uid="{00000000-0005-0000-0000-00006E000000}"/>
    <cellStyle name="標準 11 2 3" xfId="149" xr:uid="{00000000-0005-0000-0000-00006F000000}"/>
    <cellStyle name="標準 11_POS4U_テーブル定義書" xfId="110" xr:uid="{00000000-0005-0000-0000-000070000000}"/>
    <cellStyle name="標準 12" xfId="111" xr:uid="{00000000-0005-0000-0000-000072000000}"/>
    <cellStyle name="標準 13" xfId="112" xr:uid="{00000000-0005-0000-0000-000073000000}"/>
    <cellStyle name="標準 14" xfId="113" xr:uid="{00000000-0005-0000-0000-000074000000}"/>
    <cellStyle name="標準 15" xfId="114" xr:uid="{00000000-0005-0000-0000-000075000000}"/>
    <cellStyle name="標準 2" xfId="2" xr:uid="{00000000-0005-0000-0000-000076000000}"/>
    <cellStyle name="標準 2 2" xfId="115" xr:uid="{00000000-0005-0000-0000-000077000000}"/>
    <cellStyle name="標準 2 2 2" xfId="116" xr:uid="{00000000-0005-0000-0000-000078000000}"/>
    <cellStyle name="標準 2 2_POS4U_概要設計書_書籍" xfId="117" xr:uid="{00000000-0005-0000-0000-000079000000}"/>
    <cellStyle name="標準 2 3" xfId="118" xr:uid="{00000000-0005-0000-0000-00007A000000}"/>
    <cellStyle name="標準 2 3 2" xfId="119" xr:uid="{00000000-0005-0000-0000-00007B000000}"/>
    <cellStyle name="標準 2 3 3" xfId="155" xr:uid="{00000000-0005-0000-0000-00007C000000}"/>
    <cellStyle name="標準 2 3 4" xfId="150" xr:uid="{00000000-0005-0000-0000-00007D000000}"/>
    <cellStyle name="標準 2 3_★外部設計書（基幹マスタ取込）v1_10" xfId="120" xr:uid="{00000000-0005-0000-0000-00007E000000}"/>
    <cellStyle name="標準 2 4" xfId="121" xr:uid="{00000000-0005-0000-0000-00007F000000}"/>
    <cellStyle name="標準 2 4 2" xfId="122" xr:uid="{00000000-0005-0000-0000-000080000000}"/>
    <cellStyle name="標準 2 4 2 2" xfId="157" xr:uid="{00000000-0005-0000-0000-000081000000}"/>
    <cellStyle name="標準 2 4 2 3" xfId="152" xr:uid="{00000000-0005-0000-0000-000082000000}"/>
    <cellStyle name="標準 2 4 3" xfId="123" xr:uid="{00000000-0005-0000-0000-000083000000}"/>
    <cellStyle name="標準 2 4 4" xfId="156" xr:uid="{00000000-0005-0000-0000-000084000000}"/>
    <cellStyle name="標準 2 4 5" xfId="151" xr:uid="{00000000-0005-0000-0000-000085000000}"/>
    <cellStyle name="標準 2 4_★外部設計書（基幹マスタ取込）v1_10" xfId="124" xr:uid="{00000000-0005-0000-0000-000086000000}"/>
    <cellStyle name="標準 2 5" xfId="125" xr:uid="{00000000-0005-0000-0000-000087000000}"/>
    <cellStyle name="標準 2 6" xfId="126" xr:uid="{00000000-0005-0000-0000-000088000000}"/>
    <cellStyle name="標準 2_★外部設計書（基幹マスタ取込）v1_10" xfId="127" xr:uid="{00000000-0005-0000-0000-000089000000}"/>
    <cellStyle name="標準 3" xfId="3" xr:uid="{00000000-0005-0000-0000-00008A000000}"/>
    <cellStyle name="標準 3 2" xfId="129" xr:uid="{00000000-0005-0000-0000-00008B000000}"/>
    <cellStyle name="標準 3 3" xfId="128" xr:uid="{00000000-0005-0000-0000-00008C000000}"/>
    <cellStyle name="標準 3 4" xfId="161" xr:uid="{00000000-0005-0000-0000-00008D000000}"/>
    <cellStyle name="標準 3_★外部設計書（基幹マスタ取込）v1_10" xfId="130" xr:uid="{00000000-0005-0000-0000-00008E000000}"/>
    <cellStyle name="標準 4" xfId="131" xr:uid="{00000000-0005-0000-0000-00008F000000}"/>
    <cellStyle name="標準 4 2" xfId="1" xr:uid="{00000000-0005-0000-0000-000090000000}"/>
    <cellStyle name="標準 4 2 2" xfId="132" xr:uid="{00000000-0005-0000-0000-000091000000}"/>
    <cellStyle name="標準 4 2_★外部設計書（基幹マスタ取込）v1_10" xfId="133" xr:uid="{00000000-0005-0000-0000-000092000000}"/>
    <cellStyle name="標準 4 3" xfId="134" xr:uid="{00000000-0005-0000-0000-000094000000}"/>
    <cellStyle name="標準 4 4" xfId="159" xr:uid="{00000000-0005-0000-0000-000095000000}"/>
    <cellStyle name="標準 4_★外部設計書（基幹マスタ取込）v1_10" xfId="135" xr:uid="{00000000-0005-0000-0000-000096000000}"/>
    <cellStyle name="標準 5" xfId="136" xr:uid="{00000000-0005-0000-0000-000097000000}"/>
    <cellStyle name="標準 5 2" xfId="137" xr:uid="{00000000-0005-0000-0000-000098000000}"/>
    <cellStyle name="標準 6" xfId="138" xr:uid="{00000000-0005-0000-0000-000099000000}"/>
    <cellStyle name="標準 7" xfId="139" xr:uid="{00000000-0005-0000-0000-00009A000000}"/>
    <cellStyle name="標準 7 2" xfId="160" xr:uid="{00000000-0005-0000-0000-00009B000000}"/>
    <cellStyle name="標準 7 2 2" xfId="167" xr:uid="{12900E8E-6663-45EA-BA6D-FA9DFBCA4F10}"/>
    <cellStyle name="標準 8" xfId="140" xr:uid="{00000000-0005-0000-0000-00009C000000}"/>
    <cellStyle name="標準 9" xfId="141" xr:uid="{00000000-0005-0000-0000-00009D000000}"/>
    <cellStyle name="標準 9 2" xfId="142" xr:uid="{00000000-0005-0000-0000-00009E000000}"/>
    <cellStyle name="標準 9_★外部設計書（基幹マスタ取込）v1_10" xfId="143" xr:uid="{00000000-0005-0000-0000-00009F000000}"/>
    <cellStyle name="標準_★外部設計書（基幹マスタ取込）v1_10" xfId="162" xr:uid="{297BA85E-3F6E-4743-8C9B-D19F93649234}"/>
    <cellStyle name="標準_ドキュメント記述ルール" xfId="164" xr:uid="{0F2E19AF-A340-423A-985A-8D7F6EE53123}"/>
    <cellStyle name="標準_外部設計書（サンプル）" xfId="166" xr:uid="{149F6713-B000-459F-8611-73B686D778D0}"/>
    <cellStyle name="標準_外部設計書（サンプル）_外部設計書(発注・移動）_新譜発注入力" xfId="165" xr:uid="{2C67ED5A-3281-4909-8315-D2C3F4D1C65B}"/>
    <cellStyle name="標準_要件定義書(POS機能要件 雛形)" xfId="163" xr:uid="{3F06B113-B82A-4266-B67C-AC8920B6F9E8}"/>
    <cellStyle name="文字列" xfId="144" xr:uid="{00000000-0005-0000-0000-0000A3000000}"/>
    <cellStyle name="未定義" xfId="145" xr:uid="{00000000-0005-0000-0000-0000A4000000}"/>
    <cellStyle name="網掛け" xfId="146" xr:uid="{00000000-0005-0000-0000-0000A5000000}"/>
    <cellStyle name="良い 2" xfId="147" xr:uid="{00000000-0005-0000-0000-0000A6000000}"/>
  </cellStyles>
  <dxfs count="6">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s>
  <tableStyles count="0" defaultTableStyle="TableStyleMedium2" defaultPivotStyle="PivotStyleLight16"/>
  <colors>
    <mruColors>
      <color rgb="FF3DAC2A"/>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haredStrings" Target="sharedStrings.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xdr:from>
      <xdr:col>1</xdr:col>
      <xdr:colOff>380999</xdr:colOff>
      <xdr:row>1</xdr:row>
      <xdr:rowOff>8281</xdr:rowOff>
    </xdr:from>
    <xdr:to>
      <xdr:col>3</xdr:col>
      <xdr:colOff>919369</xdr:colOff>
      <xdr:row>11</xdr:row>
      <xdr:rowOff>49694</xdr:rowOff>
    </xdr:to>
    <xdr:sp macro="" textlink="">
      <xdr:nvSpPr>
        <xdr:cNvPr id="2" name="正方形/長方形 1">
          <a:extLst>
            <a:ext uri="{FF2B5EF4-FFF2-40B4-BE49-F238E27FC236}">
              <a16:creationId xmlns:a16="http://schemas.microsoft.com/office/drawing/2014/main" id="{D9025FD4-1B9E-4512-8A1D-CB15CD647B64}"/>
            </a:ext>
          </a:extLst>
        </xdr:cNvPr>
        <xdr:cNvSpPr/>
      </xdr:nvSpPr>
      <xdr:spPr>
        <a:xfrm>
          <a:off x="811695" y="182216"/>
          <a:ext cx="5168348" cy="20126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4800"/>
            <a:t>v1_0r3</a:t>
          </a:r>
          <a:r>
            <a:rPr kumimoji="1" lang="ja-JP" altLang="en-US" sz="4800"/>
            <a:t>で削除</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1419225</xdr:colOff>
      <xdr:row>6</xdr:row>
      <xdr:rowOff>142875</xdr:rowOff>
    </xdr:from>
    <xdr:to>
      <xdr:col>4</xdr:col>
      <xdr:colOff>920198</xdr:colOff>
      <xdr:row>18</xdr:row>
      <xdr:rowOff>88624</xdr:rowOff>
    </xdr:to>
    <xdr:sp macro="" textlink="">
      <xdr:nvSpPr>
        <xdr:cNvPr id="2" name="正方形/長方形 1">
          <a:extLst>
            <a:ext uri="{FF2B5EF4-FFF2-40B4-BE49-F238E27FC236}">
              <a16:creationId xmlns:a16="http://schemas.microsoft.com/office/drawing/2014/main" id="{6FF6FB86-CC6A-4AEF-A2AD-CDAA432740AD}"/>
            </a:ext>
          </a:extLst>
        </xdr:cNvPr>
        <xdr:cNvSpPr/>
      </xdr:nvSpPr>
      <xdr:spPr>
        <a:xfrm>
          <a:off x="1847850" y="1419225"/>
          <a:ext cx="5168348" cy="20126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4800"/>
            <a:t>v1_0r4</a:t>
          </a:r>
          <a:r>
            <a:rPr kumimoji="1" lang="ja-JP" altLang="en-US" sz="4800"/>
            <a:t>で削除</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9525</xdr:colOff>
      <xdr:row>12</xdr:row>
      <xdr:rowOff>76200</xdr:rowOff>
    </xdr:from>
    <xdr:to>
      <xdr:col>10</xdr:col>
      <xdr:colOff>179025</xdr:colOff>
      <xdr:row>12</xdr:row>
      <xdr:rowOff>76200</xdr:rowOff>
    </xdr:to>
    <xdr:cxnSp macro="">
      <xdr:nvCxnSpPr>
        <xdr:cNvPr id="2" name="直線コネクタ 1">
          <a:extLst>
            <a:ext uri="{FF2B5EF4-FFF2-40B4-BE49-F238E27FC236}">
              <a16:creationId xmlns:a16="http://schemas.microsoft.com/office/drawing/2014/main" id="{A7E0F6F8-67E4-4313-B07C-E28902CACC3D}"/>
            </a:ext>
          </a:extLst>
        </xdr:cNvPr>
        <xdr:cNvCxnSpPr/>
      </xdr:nvCxnSpPr>
      <xdr:spPr>
        <a:xfrm>
          <a:off x="1724025" y="2038350"/>
          <a:ext cx="3600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39295</xdr:colOff>
      <xdr:row>15</xdr:row>
      <xdr:rowOff>76200</xdr:rowOff>
    </xdr:from>
    <xdr:to>
      <xdr:col>18</xdr:col>
      <xdr:colOff>165595</xdr:colOff>
      <xdr:row>15</xdr:row>
      <xdr:rowOff>76200</xdr:rowOff>
    </xdr:to>
    <xdr:cxnSp macro="">
      <xdr:nvCxnSpPr>
        <xdr:cNvPr id="3" name="直線コネクタ 2">
          <a:extLst>
            <a:ext uri="{FF2B5EF4-FFF2-40B4-BE49-F238E27FC236}">
              <a16:creationId xmlns:a16="http://schemas.microsoft.com/office/drawing/2014/main" id="{FF639B2C-CB12-4F86-AC03-5CA49BBE66A2}"/>
            </a:ext>
          </a:extLst>
        </xdr:cNvPr>
        <xdr:cNvCxnSpPr/>
      </xdr:nvCxnSpPr>
      <xdr:spPr>
        <a:xfrm>
          <a:off x="3277795" y="2552700"/>
          <a:ext cx="3168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38100</xdr:colOff>
      <xdr:row>16</xdr:row>
      <xdr:rowOff>76200</xdr:rowOff>
    </xdr:from>
    <xdr:to>
      <xdr:col>18</xdr:col>
      <xdr:colOff>164400</xdr:colOff>
      <xdr:row>16</xdr:row>
      <xdr:rowOff>76200</xdr:rowOff>
    </xdr:to>
    <xdr:cxnSp macro="">
      <xdr:nvCxnSpPr>
        <xdr:cNvPr id="4" name="直線コネクタ 3">
          <a:extLst>
            <a:ext uri="{FF2B5EF4-FFF2-40B4-BE49-F238E27FC236}">
              <a16:creationId xmlns:a16="http://schemas.microsoft.com/office/drawing/2014/main" id="{564D3789-8E23-4DE0-8CE7-1F53A8A0C12B}"/>
            </a:ext>
          </a:extLst>
        </xdr:cNvPr>
        <xdr:cNvCxnSpPr/>
      </xdr:nvCxnSpPr>
      <xdr:spPr>
        <a:xfrm>
          <a:off x="3276600" y="2724150"/>
          <a:ext cx="3168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38100</xdr:colOff>
      <xdr:row>17</xdr:row>
      <xdr:rowOff>76200</xdr:rowOff>
    </xdr:from>
    <xdr:to>
      <xdr:col>18</xdr:col>
      <xdr:colOff>164400</xdr:colOff>
      <xdr:row>17</xdr:row>
      <xdr:rowOff>76200</xdr:rowOff>
    </xdr:to>
    <xdr:cxnSp macro="">
      <xdr:nvCxnSpPr>
        <xdr:cNvPr id="5" name="直線コネクタ 4">
          <a:extLst>
            <a:ext uri="{FF2B5EF4-FFF2-40B4-BE49-F238E27FC236}">
              <a16:creationId xmlns:a16="http://schemas.microsoft.com/office/drawing/2014/main" id="{A78B1CFD-F97A-4A12-A041-F7AACEAFD09E}"/>
            </a:ext>
          </a:extLst>
        </xdr:cNvPr>
        <xdr:cNvCxnSpPr/>
      </xdr:nvCxnSpPr>
      <xdr:spPr>
        <a:xfrm>
          <a:off x="3276600" y="2895600"/>
          <a:ext cx="3168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38100</xdr:colOff>
      <xdr:row>15</xdr:row>
      <xdr:rowOff>76200</xdr:rowOff>
    </xdr:from>
    <xdr:to>
      <xdr:col>34</xdr:col>
      <xdr:colOff>164400</xdr:colOff>
      <xdr:row>15</xdr:row>
      <xdr:rowOff>76200</xdr:rowOff>
    </xdr:to>
    <xdr:cxnSp macro="">
      <xdr:nvCxnSpPr>
        <xdr:cNvPr id="6" name="直線コネクタ 5">
          <a:extLst>
            <a:ext uri="{FF2B5EF4-FFF2-40B4-BE49-F238E27FC236}">
              <a16:creationId xmlns:a16="http://schemas.microsoft.com/office/drawing/2014/main" id="{7B3FC639-F61B-4E78-B7EB-E8B782EF6043}"/>
            </a:ext>
          </a:extLst>
        </xdr:cNvPr>
        <xdr:cNvCxnSpPr/>
      </xdr:nvCxnSpPr>
      <xdr:spPr>
        <a:xfrm>
          <a:off x="6324600" y="2552700"/>
          <a:ext cx="3168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38100</xdr:colOff>
      <xdr:row>16</xdr:row>
      <xdr:rowOff>76200</xdr:rowOff>
    </xdr:from>
    <xdr:to>
      <xdr:col>34</xdr:col>
      <xdr:colOff>164400</xdr:colOff>
      <xdr:row>16</xdr:row>
      <xdr:rowOff>76200</xdr:rowOff>
    </xdr:to>
    <xdr:cxnSp macro="">
      <xdr:nvCxnSpPr>
        <xdr:cNvPr id="7" name="直線コネクタ 6">
          <a:extLst>
            <a:ext uri="{FF2B5EF4-FFF2-40B4-BE49-F238E27FC236}">
              <a16:creationId xmlns:a16="http://schemas.microsoft.com/office/drawing/2014/main" id="{53044815-07C2-4039-823F-7C0DA24D5BFF}"/>
            </a:ext>
          </a:extLst>
        </xdr:cNvPr>
        <xdr:cNvCxnSpPr/>
      </xdr:nvCxnSpPr>
      <xdr:spPr>
        <a:xfrm>
          <a:off x="6324600" y="2724150"/>
          <a:ext cx="3168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38100</xdr:colOff>
      <xdr:row>17</xdr:row>
      <xdr:rowOff>76200</xdr:rowOff>
    </xdr:from>
    <xdr:to>
      <xdr:col>34</xdr:col>
      <xdr:colOff>164400</xdr:colOff>
      <xdr:row>18</xdr:row>
      <xdr:rowOff>85725</xdr:rowOff>
    </xdr:to>
    <xdr:cxnSp macro="">
      <xdr:nvCxnSpPr>
        <xdr:cNvPr id="8" name="直線コネクタ 7">
          <a:extLst>
            <a:ext uri="{FF2B5EF4-FFF2-40B4-BE49-F238E27FC236}">
              <a16:creationId xmlns:a16="http://schemas.microsoft.com/office/drawing/2014/main" id="{AEACFA17-BB00-4C05-B936-1EAEF905F4B0}"/>
            </a:ext>
          </a:extLst>
        </xdr:cNvPr>
        <xdr:cNvCxnSpPr/>
      </xdr:nvCxnSpPr>
      <xdr:spPr>
        <a:xfrm flipV="1">
          <a:off x="6324600" y="2895600"/>
          <a:ext cx="316800" cy="1809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29770</xdr:colOff>
      <xdr:row>15</xdr:row>
      <xdr:rowOff>76200</xdr:rowOff>
    </xdr:from>
    <xdr:to>
      <xdr:col>45</xdr:col>
      <xdr:colOff>156070</xdr:colOff>
      <xdr:row>15</xdr:row>
      <xdr:rowOff>76200</xdr:rowOff>
    </xdr:to>
    <xdr:cxnSp macro="">
      <xdr:nvCxnSpPr>
        <xdr:cNvPr id="9" name="直線コネクタ 8">
          <a:extLst>
            <a:ext uri="{FF2B5EF4-FFF2-40B4-BE49-F238E27FC236}">
              <a16:creationId xmlns:a16="http://schemas.microsoft.com/office/drawing/2014/main" id="{92F14ED5-92BC-4A77-B3C8-22610C75928B}"/>
            </a:ext>
          </a:extLst>
        </xdr:cNvPr>
        <xdr:cNvCxnSpPr/>
      </xdr:nvCxnSpPr>
      <xdr:spPr>
        <a:xfrm>
          <a:off x="8411770" y="2552700"/>
          <a:ext cx="3168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28575</xdr:colOff>
      <xdr:row>16</xdr:row>
      <xdr:rowOff>76200</xdr:rowOff>
    </xdr:from>
    <xdr:to>
      <xdr:col>45</xdr:col>
      <xdr:colOff>154875</xdr:colOff>
      <xdr:row>16</xdr:row>
      <xdr:rowOff>76200</xdr:rowOff>
    </xdr:to>
    <xdr:cxnSp macro="">
      <xdr:nvCxnSpPr>
        <xdr:cNvPr id="10" name="直線コネクタ 9">
          <a:extLst>
            <a:ext uri="{FF2B5EF4-FFF2-40B4-BE49-F238E27FC236}">
              <a16:creationId xmlns:a16="http://schemas.microsoft.com/office/drawing/2014/main" id="{8E90FFED-C14C-4949-9BA7-C99948E3E698}"/>
            </a:ext>
          </a:extLst>
        </xdr:cNvPr>
        <xdr:cNvCxnSpPr/>
      </xdr:nvCxnSpPr>
      <xdr:spPr>
        <a:xfrm>
          <a:off x="8410575" y="2724150"/>
          <a:ext cx="3168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28575</xdr:colOff>
      <xdr:row>17</xdr:row>
      <xdr:rowOff>76200</xdr:rowOff>
    </xdr:from>
    <xdr:to>
      <xdr:col>45</xdr:col>
      <xdr:colOff>154875</xdr:colOff>
      <xdr:row>18</xdr:row>
      <xdr:rowOff>85725</xdr:rowOff>
    </xdr:to>
    <xdr:cxnSp macro="">
      <xdr:nvCxnSpPr>
        <xdr:cNvPr id="11" name="直線コネクタ 10">
          <a:extLst>
            <a:ext uri="{FF2B5EF4-FFF2-40B4-BE49-F238E27FC236}">
              <a16:creationId xmlns:a16="http://schemas.microsoft.com/office/drawing/2014/main" id="{5BF480D3-D184-418A-96A8-D92351B67E75}"/>
            </a:ext>
          </a:extLst>
        </xdr:cNvPr>
        <xdr:cNvCxnSpPr/>
      </xdr:nvCxnSpPr>
      <xdr:spPr>
        <a:xfrm flipV="1">
          <a:off x="8410575" y="2895600"/>
          <a:ext cx="316800" cy="1809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21290</xdr:colOff>
      <xdr:row>63</xdr:row>
      <xdr:rowOff>95250</xdr:rowOff>
    </xdr:from>
    <xdr:to>
      <xdr:col>18</xdr:col>
      <xdr:colOff>189378</xdr:colOff>
      <xdr:row>66</xdr:row>
      <xdr:rowOff>24653</xdr:rowOff>
    </xdr:to>
    <xdr:sp macro="" textlink="">
      <xdr:nvSpPr>
        <xdr:cNvPr id="12" name="円/楕円 10">
          <a:extLst>
            <a:ext uri="{FF2B5EF4-FFF2-40B4-BE49-F238E27FC236}">
              <a16:creationId xmlns:a16="http://schemas.microsoft.com/office/drawing/2014/main" id="{4225CA66-E3AF-4405-A663-6577F911A280}"/>
            </a:ext>
          </a:extLst>
        </xdr:cNvPr>
        <xdr:cNvSpPr/>
      </xdr:nvSpPr>
      <xdr:spPr>
        <a:xfrm>
          <a:off x="3069290" y="10801350"/>
          <a:ext cx="549088" cy="443753"/>
        </a:xfrm>
        <a:prstGeom prst="ellipse">
          <a:avLst/>
        </a:prstGeom>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26</xdr:col>
      <xdr:colOff>152401</xdr:colOff>
      <xdr:row>63</xdr:row>
      <xdr:rowOff>95250</xdr:rowOff>
    </xdr:from>
    <xdr:to>
      <xdr:col>30</xdr:col>
      <xdr:colOff>28575</xdr:colOff>
      <xdr:row>67</xdr:row>
      <xdr:rowOff>161925</xdr:rowOff>
    </xdr:to>
    <xdr:sp macro="" textlink="">
      <xdr:nvSpPr>
        <xdr:cNvPr id="13" name="円/楕円 11">
          <a:extLst>
            <a:ext uri="{FF2B5EF4-FFF2-40B4-BE49-F238E27FC236}">
              <a16:creationId xmlns:a16="http://schemas.microsoft.com/office/drawing/2014/main" id="{6A81D5BF-CD86-4587-8D91-E432A6BE426E}"/>
            </a:ext>
          </a:extLst>
        </xdr:cNvPr>
        <xdr:cNvSpPr/>
      </xdr:nvSpPr>
      <xdr:spPr>
        <a:xfrm>
          <a:off x="5105401" y="10801350"/>
          <a:ext cx="638174" cy="752475"/>
        </a:xfrm>
        <a:prstGeom prst="ellipse">
          <a:avLst/>
        </a:prstGeom>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21</xdr:col>
      <xdr:colOff>123826</xdr:colOff>
      <xdr:row>63</xdr:row>
      <xdr:rowOff>161925</xdr:rowOff>
    </xdr:from>
    <xdr:to>
      <xdr:col>24</xdr:col>
      <xdr:colOff>85726</xdr:colOff>
      <xdr:row>65</xdr:row>
      <xdr:rowOff>142875</xdr:rowOff>
    </xdr:to>
    <xdr:sp macro="" textlink="">
      <xdr:nvSpPr>
        <xdr:cNvPr id="14" name="右矢印 3">
          <a:extLst>
            <a:ext uri="{FF2B5EF4-FFF2-40B4-BE49-F238E27FC236}">
              <a16:creationId xmlns:a16="http://schemas.microsoft.com/office/drawing/2014/main" id="{EED58A5E-D621-4AE5-9D1D-3EC2396552F7}"/>
            </a:ext>
          </a:extLst>
        </xdr:cNvPr>
        <xdr:cNvSpPr/>
      </xdr:nvSpPr>
      <xdr:spPr bwMode="auto">
        <a:xfrm>
          <a:off x="4124326" y="10868025"/>
          <a:ext cx="533400" cy="323850"/>
        </a:xfrm>
        <a:prstGeom prst="rightArrow">
          <a:avLst/>
        </a:prstGeom>
        <a:solidFill>
          <a:schemeClr val="accent4">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17</xdr:col>
      <xdr:colOff>28575</xdr:colOff>
      <xdr:row>82</xdr:row>
      <xdr:rowOff>19050</xdr:rowOff>
    </xdr:from>
    <xdr:to>
      <xdr:col>19</xdr:col>
      <xdr:colOff>38100</xdr:colOff>
      <xdr:row>84</xdr:row>
      <xdr:rowOff>0</xdr:rowOff>
    </xdr:to>
    <xdr:sp macro="" textlink="">
      <xdr:nvSpPr>
        <xdr:cNvPr id="15" name="右矢印 22">
          <a:extLst>
            <a:ext uri="{FF2B5EF4-FFF2-40B4-BE49-F238E27FC236}">
              <a16:creationId xmlns:a16="http://schemas.microsoft.com/office/drawing/2014/main" id="{F09F8993-B37B-43BE-9863-3EBBDE080AC1}"/>
            </a:ext>
          </a:extLst>
        </xdr:cNvPr>
        <xdr:cNvSpPr/>
      </xdr:nvSpPr>
      <xdr:spPr bwMode="auto">
        <a:xfrm>
          <a:off x="3267075" y="13982700"/>
          <a:ext cx="390525" cy="323850"/>
        </a:xfrm>
        <a:prstGeom prst="rightArrow">
          <a:avLst/>
        </a:prstGeom>
        <a:solidFill>
          <a:schemeClr val="accent4">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43</xdr:col>
      <xdr:colOff>38100</xdr:colOff>
      <xdr:row>80</xdr:row>
      <xdr:rowOff>95250</xdr:rowOff>
    </xdr:from>
    <xdr:to>
      <xdr:col>45</xdr:col>
      <xdr:colOff>47625</xdr:colOff>
      <xdr:row>82</xdr:row>
      <xdr:rowOff>76200</xdr:rowOff>
    </xdr:to>
    <xdr:sp macro="" textlink="">
      <xdr:nvSpPr>
        <xdr:cNvPr id="16" name="右矢印 23">
          <a:extLst>
            <a:ext uri="{FF2B5EF4-FFF2-40B4-BE49-F238E27FC236}">
              <a16:creationId xmlns:a16="http://schemas.microsoft.com/office/drawing/2014/main" id="{5317028E-B2D8-4143-8B9D-BBCC8541AF30}"/>
            </a:ext>
          </a:extLst>
        </xdr:cNvPr>
        <xdr:cNvSpPr/>
      </xdr:nvSpPr>
      <xdr:spPr bwMode="auto">
        <a:xfrm>
          <a:off x="8229600" y="13716000"/>
          <a:ext cx="390525" cy="323850"/>
        </a:xfrm>
        <a:prstGeom prst="rightArrow">
          <a:avLst/>
        </a:prstGeom>
        <a:solidFill>
          <a:schemeClr val="accent4">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50</xdr:col>
      <xdr:colOff>142875</xdr:colOff>
      <xdr:row>65</xdr:row>
      <xdr:rowOff>104775</xdr:rowOff>
    </xdr:from>
    <xdr:to>
      <xdr:col>52</xdr:col>
      <xdr:colOff>152400</xdr:colOff>
      <xdr:row>67</xdr:row>
      <xdr:rowOff>85725</xdr:rowOff>
    </xdr:to>
    <xdr:sp macro="" textlink="">
      <xdr:nvSpPr>
        <xdr:cNvPr id="17" name="右矢印 16">
          <a:extLst>
            <a:ext uri="{FF2B5EF4-FFF2-40B4-BE49-F238E27FC236}">
              <a16:creationId xmlns:a16="http://schemas.microsoft.com/office/drawing/2014/main" id="{8D4D17EA-ACB0-413D-9A9F-4666FAD85D92}"/>
            </a:ext>
          </a:extLst>
        </xdr:cNvPr>
        <xdr:cNvSpPr/>
      </xdr:nvSpPr>
      <xdr:spPr bwMode="auto">
        <a:xfrm>
          <a:off x="9667875" y="11153775"/>
          <a:ext cx="390525" cy="323850"/>
        </a:xfrm>
        <a:prstGeom prst="rightArrow">
          <a:avLst/>
        </a:prstGeom>
        <a:solidFill>
          <a:schemeClr val="accent4">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DOCUME~1\date\LOCALS~1\Temp\TempMIME\MIME003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createdb1"/>
      <sheetName val="P1実績①"/>
      <sheetName val="STEP数見積のための係数"/>
      <sheetName val="MIME0031"/>
      <sheetName val="事業区分リスト"/>
      <sheetName val="基本量販店動向"/>
      <sheetName val="A"/>
      <sheetName val="専門店（他社クレのみ他社）"/>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1F69C-3E0C-492E-8E85-0FC0EAB08BEF}">
  <dimension ref="A1:BG38"/>
  <sheetViews>
    <sheetView zoomScaleNormal="100" workbookViewId="0">
      <selection sqref="A1:I2"/>
    </sheetView>
  </sheetViews>
  <sheetFormatPr defaultColWidth="2.5" defaultRowHeight="14.1" customHeight="1"/>
  <cols>
    <col min="1" max="59" width="2.375" style="9" customWidth="1"/>
    <col min="60" max="16384" width="2.5" style="9"/>
  </cols>
  <sheetData>
    <row r="1" spans="1:59" ht="14.1" customHeight="1">
      <c r="A1" s="299" t="s">
        <v>0</v>
      </c>
      <c r="B1" s="300"/>
      <c r="C1" s="300"/>
      <c r="D1" s="300"/>
      <c r="E1" s="300"/>
      <c r="F1" s="300"/>
      <c r="G1" s="300"/>
      <c r="H1" s="300"/>
      <c r="I1" s="300"/>
      <c r="J1" s="303" t="s">
        <v>1</v>
      </c>
      <c r="K1" s="304"/>
      <c r="L1" s="304"/>
      <c r="M1" s="304"/>
      <c r="N1" s="304"/>
      <c r="O1" s="304"/>
      <c r="P1" s="304"/>
      <c r="Q1" s="304"/>
      <c r="R1" s="305"/>
      <c r="S1" s="6"/>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8"/>
    </row>
    <row r="2" spans="1:59" ht="14.1" customHeight="1">
      <c r="A2" s="301"/>
      <c r="B2" s="302"/>
      <c r="C2" s="302"/>
      <c r="D2" s="302"/>
      <c r="E2" s="302"/>
      <c r="F2" s="302"/>
      <c r="G2" s="302"/>
      <c r="H2" s="302"/>
      <c r="I2" s="302"/>
      <c r="J2" s="306"/>
      <c r="K2" s="307"/>
      <c r="L2" s="307"/>
      <c r="M2" s="307"/>
      <c r="N2" s="307"/>
      <c r="O2" s="307"/>
      <c r="P2" s="307"/>
      <c r="Q2" s="307"/>
      <c r="R2" s="308"/>
      <c r="S2" s="10"/>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2"/>
      <c r="AW2" s="12"/>
      <c r="AX2" s="12"/>
      <c r="AY2" s="12"/>
      <c r="AZ2" s="12"/>
      <c r="BA2" s="12"/>
      <c r="BB2" s="12"/>
      <c r="BC2" s="12"/>
      <c r="BD2" s="12"/>
      <c r="BE2" s="12"/>
      <c r="BF2" s="12"/>
      <c r="BG2" s="13"/>
    </row>
    <row r="3" spans="1:59" ht="14.1" customHeight="1">
      <c r="A3" s="6"/>
      <c r="B3" s="7"/>
      <c r="C3" s="7"/>
      <c r="D3" s="7"/>
      <c r="E3" s="7"/>
      <c r="F3" s="7"/>
      <c r="G3" s="7"/>
      <c r="H3" s="7"/>
      <c r="I3" s="7"/>
      <c r="J3" s="7"/>
      <c r="K3" s="7"/>
      <c r="L3" s="7"/>
      <c r="M3" s="7"/>
      <c r="N3" s="7"/>
      <c r="O3" s="7"/>
      <c r="P3" s="7"/>
      <c r="Q3" s="7"/>
      <c r="R3" s="7"/>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5"/>
    </row>
    <row r="4" spans="1:59" ht="14.1" customHeight="1">
      <c r="A4" s="16"/>
      <c r="AM4" s="17"/>
      <c r="BG4" s="18"/>
    </row>
    <row r="5" spans="1:59" ht="14.1" customHeight="1">
      <c r="A5" s="16"/>
      <c r="AM5" s="17"/>
      <c r="BG5" s="18"/>
    </row>
    <row r="6" spans="1:59" ht="14.1" customHeight="1">
      <c r="A6" s="16"/>
      <c r="AM6" s="17"/>
      <c r="BG6" s="18"/>
    </row>
    <row r="7" spans="1:59" ht="14.1" customHeight="1">
      <c r="A7" s="16"/>
      <c r="AM7" s="17"/>
      <c r="AX7" s="19"/>
      <c r="BG7" s="18"/>
    </row>
    <row r="8" spans="1:59" ht="14.1" customHeight="1">
      <c r="A8" s="16"/>
      <c r="AM8" s="17"/>
      <c r="BG8" s="18"/>
    </row>
    <row r="9" spans="1:59" ht="14.1" customHeight="1">
      <c r="A9" s="16"/>
      <c r="AM9" s="17"/>
      <c r="BG9" s="18"/>
    </row>
    <row r="10" spans="1:59" ht="14.1" customHeight="1">
      <c r="A10" s="16"/>
      <c r="AM10" s="17"/>
      <c r="BG10" s="18"/>
    </row>
    <row r="11" spans="1:59" ht="13.5" customHeight="1">
      <c r="A11" s="309"/>
      <c r="B11" s="310"/>
      <c r="C11" s="310"/>
      <c r="D11" s="310"/>
      <c r="E11" s="310"/>
      <c r="F11" s="310"/>
      <c r="G11" s="310"/>
      <c r="H11" s="310"/>
      <c r="I11" s="310"/>
      <c r="J11" s="310"/>
      <c r="K11" s="310"/>
      <c r="L11" s="310"/>
      <c r="M11" s="310"/>
      <c r="N11" s="310"/>
      <c r="O11" s="310"/>
      <c r="P11" s="310"/>
      <c r="Q11" s="310"/>
      <c r="R11" s="310"/>
      <c r="S11" s="310"/>
      <c r="T11" s="310"/>
      <c r="U11" s="310"/>
      <c r="V11" s="310"/>
      <c r="W11" s="310"/>
      <c r="X11" s="310"/>
      <c r="Y11" s="310"/>
      <c r="Z11" s="310"/>
      <c r="AA11" s="310"/>
      <c r="AB11" s="310"/>
      <c r="AC11" s="310"/>
      <c r="AD11" s="310"/>
      <c r="AE11" s="310"/>
      <c r="AF11" s="310"/>
      <c r="AG11" s="310"/>
      <c r="AH11" s="310"/>
      <c r="AI11" s="310"/>
      <c r="AJ11" s="310"/>
      <c r="AK11" s="310"/>
      <c r="AL11" s="310"/>
      <c r="AM11" s="310"/>
      <c r="AN11" s="310"/>
      <c r="AO11" s="310"/>
      <c r="AP11" s="310"/>
      <c r="AQ11" s="310"/>
      <c r="AR11" s="310"/>
      <c r="AS11" s="310"/>
      <c r="AT11" s="310"/>
      <c r="AU11" s="310"/>
      <c r="AV11" s="310"/>
      <c r="AW11" s="310"/>
      <c r="AX11" s="310"/>
      <c r="AY11" s="310"/>
      <c r="AZ11" s="310"/>
      <c r="BA11" s="310"/>
      <c r="BB11" s="310"/>
      <c r="BC11" s="310"/>
      <c r="BD11" s="310"/>
      <c r="BE11" s="310"/>
      <c r="BF11" s="310"/>
      <c r="BG11" s="311"/>
    </row>
    <row r="12" spans="1:59" ht="14.1" customHeight="1">
      <c r="A12" s="309"/>
      <c r="B12" s="310"/>
      <c r="C12" s="310"/>
      <c r="D12" s="310"/>
      <c r="E12" s="310"/>
      <c r="F12" s="310"/>
      <c r="G12" s="310"/>
      <c r="H12" s="310"/>
      <c r="I12" s="310"/>
      <c r="J12" s="310"/>
      <c r="K12" s="310"/>
      <c r="L12" s="310"/>
      <c r="M12" s="310"/>
      <c r="N12" s="310"/>
      <c r="O12" s="310"/>
      <c r="P12" s="310"/>
      <c r="Q12" s="310"/>
      <c r="R12" s="310"/>
      <c r="S12" s="310"/>
      <c r="T12" s="310"/>
      <c r="U12" s="310"/>
      <c r="V12" s="310"/>
      <c r="W12" s="310"/>
      <c r="X12" s="310"/>
      <c r="Y12" s="310"/>
      <c r="Z12" s="310"/>
      <c r="AA12" s="310"/>
      <c r="AB12" s="310"/>
      <c r="AC12" s="310"/>
      <c r="AD12" s="310"/>
      <c r="AE12" s="310"/>
      <c r="AF12" s="310"/>
      <c r="AG12" s="310"/>
      <c r="AH12" s="310"/>
      <c r="AI12" s="310"/>
      <c r="AJ12" s="310"/>
      <c r="AK12" s="310"/>
      <c r="AL12" s="310"/>
      <c r="AM12" s="310"/>
      <c r="AN12" s="310"/>
      <c r="AO12" s="310"/>
      <c r="AP12" s="310"/>
      <c r="AQ12" s="310"/>
      <c r="AR12" s="310"/>
      <c r="AS12" s="310"/>
      <c r="AT12" s="310"/>
      <c r="AU12" s="310"/>
      <c r="AV12" s="310"/>
      <c r="AW12" s="310"/>
      <c r="AX12" s="310"/>
      <c r="AY12" s="310"/>
      <c r="AZ12" s="310"/>
      <c r="BA12" s="310"/>
      <c r="BB12" s="310"/>
      <c r="BC12" s="310"/>
      <c r="BD12" s="310"/>
      <c r="BE12" s="310"/>
      <c r="BF12" s="310"/>
      <c r="BG12" s="311"/>
    </row>
    <row r="13" spans="1:59" ht="14.1" customHeight="1">
      <c r="A13" s="309"/>
      <c r="B13" s="310"/>
      <c r="C13" s="310"/>
      <c r="D13" s="310"/>
      <c r="E13" s="310"/>
      <c r="F13" s="310"/>
      <c r="G13" s="310"/>
      <c r="H13" s="310"/>
      <c r="I13" s="310"/>
      <c r="J13" s="310"/>
      <c r="K13" s="310"/>
      <c r="L13" s="310"/>
      <c r="M13" s="310"/>
      <c r="N13" s="310"/>
      <c r="O13" s="310"/>
      <c r="P13" s="310"/>
      <c r="Q13" s="310"/>
      <c r="R13" s="310"/>
      <c r="S13" s="310"/>
      <c r="T13" s="310"/>
      <c r="U13" s="310"/>
      <c r="V13" s="310"/>
      <c r="W13" s="310"/>
      <c r="X13" s="310"/>
      <c r="Y13" s="310"/>
      <c r="Z13" s="310"/>
      <c r="AA13" s="310"/>
      <c r="AB13" s="310"/>
      <c r="AC13" s="310"/>
      <c r="AD13" s="310"/>
      <c r="AE13" s="310"/>
      <c r="AF13" s="310"/>
      <c r="AG13" s="310"/>
      <c r="AH13" s="310"/>
      <c r="AI13" s="310"/>
      <c r="AJ13" s="310"/>
      <c r="AK13" s="310"/>
      <c r="AL13" s="310"/>
      <c r="AM13" s="310"/>
      <c r="AN13" s="310"/>
      <c r="AO13" s="310"/>
      <c r="AP13" s="310"/>
      <c r="AQ13" s="310"/>
      <c r="AR13" s="310"/>
      <c r="AS13" s="310"/>
      <c r="AT13" s="310"/>
      <c r="AU13" s="310"/>
      <c r="AV13" s="310"/>
      <c r="AW13" s="310"/>
      <c r="AX13" s="310"/>
      <c r="AY13" s="310"/>
      <c r="AZ13" s="310"/>
      <c r="BA13" s="310"/>
      <c r="BB13" s="310"/>
      <c r="BC13" s="310"/>
      <c r="BD13" s="310"/>
      <c r="BE13" s="310"/>
      <c r="BF13" s="310"/>
      <c r="BG13" s="311"/>
    </row>
    <row r="14" spans="1:59" ht="14.1" customHeight="1">
      <c r="A14" s="309"/>
      <c r="B14" s="310"/>
      <c r="C14" s="310"/>
      <c r="D14" s="310"/>
      <c r="E14" s="310"/>
      <c r="F14" s="310"/>
      <c r="G14" s="310"/>
      <c r="H14" s="310"/>
      <c r="I14" s="310"/>
      <c r="J14" s="310"/>
      <c r="K14" s="310"/>
      <c r="L14" s="310"/>
      <c r="M14" s="310"/>
      <c r="N14" s="310"/>
      <c r="O14" s="310"/>
      <c r="P14" s="310"/>
      <c r="Q14" s="310"/>
      <c r="R14" s="310"/>
      <c r="S14" s="310"/>
      <c r="T14" s="310"/>
      <c r="U14" s="310"/>
      <c r="V14" s="310"/>
      <c r="W14" s="310"/>
      <c r="X14" s="310"/>
      <c r="Y14" s="310"/>
      <c r="Z14" s="310"/>
      <c r="AA14" s="310"/>
      <c r="AB14" s="310"/>
      <c r="AC14" s="310"/>
      <c r="AD14" s="310"/>
      <c r="AE14" s="310"/>
      <c r="AF14" s="310"/>
      <c r="AG14" s="310"/>
      <c r="AH14" s="310"/>
      <c r="AI14" s="310"/>
      <c r="AJ14" s="310"/>
      <c r="AK14" s="310"/>
      <c r="AL14" s="310"/>
      <c r="AM14" s="310"/>
      <c r="AN14" s="310"/>
      <c r="AO14" s="310"/>
      <c r="AP14" s="310"/>
      <c r="AQ14" s="310"/>
      <c r="AR14" s="310"/>
      <c r="AS14" s="310"/>
      <c r="AT14" s="310"/>
      <c r="AU14" s="310"/>
      <c r="AV14" s="310"/>
      <c r="AW14" s="310"/>
      <c r="AX14" s="310"/>
      <c r="AY14" s="310"/>
      <c r="AZ14" s="310"/>
      <c r="BA14" s="310"/>
      <c r="BB14" s="310"/>
      <c r="BC14" s="310"/>
      <c r="BD14" s="310"/>
      <c r="BE14" s="310"/>
      <c r="BF14" s="310"/>
      <c r="BG14" s="311"/>
    </row>
    <row r="15" spans="1:59" ht="14.1" customHeight="1">
      <c r="A15" s="309" t="s">
        <v>2</v>
      </c>
      <c r="B15" s="310"/>
      <c r="C15" s="310"/>
      <c r="D15" s="310"/>
      <c r="E15" s="310"/>
      <c r="F15" s="310"/>
      <c r="G15" s="310"/>
      <c r="H15" s="310"/>
      <c r="I15" s="310"/>
      <c r="J15" s="310"/>
      <c r="K15" s="310"/>
      <c r="L15" s="310"/>
      <c r="M15" s="310"/>
      <c r="N15" s="310"/>
      <c r="O15" s="310"/>
      <c r="P15" s="310"/>
      <c r="Q15" s="310"/>
      <c r="R15" s="310"/>
      <c r="S15" s="310"/>
      <c r="T15" s="310"/>
      <c r="U15" s="310"/>
      <c r="V15" s="310"/>
      <c r="W15" s="310"/>
      <c r="X15" s="310"/>
      <c r="Y15" s="310"/>
      <c r="Z15" s="310"/>
      <c r="AA15" s="310"/>
      <c r="AB15" s="310"/>
      <c r="AC15" s="310"/>
      <c r="AD15" s="310"/>
      <c r="AE15" s="310"/>
      <c r="AF15" s="310"/>
      <c r="AG15" s="310"/>
      <c r="AH15" s="310"/>
      <c r="AI15" s="310"/>
      <c r="AJ15" s="310"/>
      <c r="AK15" s="310"/>
      <c r="AL15" s="310"/>
      <c r="AM15" s="310"/>
      <c r="AN15" s="310"/>
      <c r="AO15" s="310"/>
      <c r="AP15" s="310"/>
      <c r="AQ15" s="310"/>
      <c r="AR15" s="310"/>
      <c r="AS15" s="310"/>
      <c r="AT15" s="310"/>
      <c r="AU15" s="310"/>
      <c r="AV15" s="310"/>
      <c r="AW15" s="310"/>
      <c r="AX15" s="310"/>
      <c r="AY15" s="310"/>
      <c r="AZ15" s="310"/>
      <c r="BA15" s="310"/>
      <c r="BB15" s="310"/>
      <c r="BC15" s="310"/>
      <c r="BD15" s="310"/>
      <c r="BE15" s="310"/>
      <c r="BF15" s="310"/>
      <c r="BG15" s="311"/>
    </row>
    <row r="16" spans="1:59" ht="14.1" customHeight="1">
      <c r="A16" s="309"/>
      <c r="B16" s="310"/>
      <c r="C16" s="310"/>
      <c r="D16" s="310"/>
      <c r="E16" s="310"/>
      <c r="F16" s="310"/>
      <c r="G16" s="310"/>
      <c r="H16" s="310"/>
      <c r="I16" s="310"/>
      <c r="J16" s="310"/>
      <c r="K16" s="310"/>
      <c r="L16" s="310"/>
      <c r="M16" s="310"/>
      <c r="N16" s="310"/>
      <c r="O16" s="310"/>
      <c r="P16" s="310"/>
      <c r="Q16" s="310"/>
      <c r="R16" s="310"/>
      <c r="S16" s="310"/>
      <c r="T16" s="310"/>
      <c r="U16" s="310"/>
      <c r="V16" s="310"/>
      <c r="W16" s="310"/>
      <c r="X16" s="310"/>
      <c r="Y16" s="310"/>
      <c r="Z16" s="310"/>
      <c r="AA16" s="310"/>
      <c r="AB16" s="310"/>
      <c r="AC16" s="310"/>
      <c r="AD16" s="310"/>
      <c r="AE16" s="310"/>
      <c r="AF16" s="310"/>
      <c r="AG16" s="310"/>
      <c r="AH16" s="310"/>
      <c r="AI16" s="310"/>
      <c r="AJ16" s="310"/>
      <c r="AK16" s="310"/>
      <c r="AL16" s="310"/>
      <c r="AM16" s="310"/>
      <c r="AN16" s="310"/>
      <c r="AO16" s="310"/>
      <c r="AP16" s="310"/>
      <c r="AQ16" s="310"/>
      <c r="AR16" s="310"/>
      <c r="AS16" s="310"/>
      <c r="AT16" s="310"/>
      <c r="AU16" s="310"/>
      <c r="AV16" s="310"/>
      <c r="AW16" s="310"/>
      <c r="AX16" s="310"/>
      <c r="AY16" s="310"/>
      <c r="AZ16" s="310"/>
      <c r="BA16" s="310"/>
      <c r="BB16" s="310"/>
      <c r="BC16" s="310"/>
      <c r="BD16" s="310"/>
      <c r="BE16" s="310"/>
      <c r="BF16" s="310"/>
      <c r="BG16" s="311"/>
    </row>
    <row r="17" spans="1:59" ht="14.1" customHeight="1">
      <c r="A17" s="309"/>
      <c r="B17" s="310"/>
      <c r="C17" s="310"/>
      <c r="D17" s="310"/>
      <c r="E17" s="310"/>
      <c r="F17" s="310"/>
      <c r="G17" s="310"/>
      <c r="H17" s="310"/>
      <c r="I17" s="310"/>
      <c r="J17" s="310"/>
      <c r="K17" s="310"/>
      <c r="L17" s="310"/>
      <c r="M17" s="310"/>
      <c r="N17" s="310"/>
      <c r="O17" s="310"/>
      <c r="P17" s="310"/>
      <c r="Q17" s="310"/>
      <c r="R17" s="310"/>
      <c r="S17" s="310"/>
      <c r="T17" s="310"/>
      <c r="U17" s="310"/>
      <c r="V17" s="310"/>
      <c r="W17" s="310"/>
      <c r="X17" s="310"/>
      <c r="Y17" s="310"/>
      <c r="Z17" s="310"/>
      <c r="AA17" s="310"/>
      <c r="AB17" s="310"/>
      <c r="AC17" s="310"/>
      <c r="AD17" s="310"/>
      <c r="AE17" s="310"/>
      <c r="AF17" s="310"/>
      <c r="AG17" s="310"/>
      <c r="AH17" s="310"/>
      <c r="AI17" s="310"/>
      <c r="AJ17" s="310"/>
      <c r="AK17" s="310"/>
      <c r="AL17" s="310"/>
      <c r="AM17" s="310"/>
      <c r="AN17" s="310"/>
      <c r="AO17" s="310"/>
      <c r="AP17" s="310"/>
      <c r="AQ17" s="310"/>
      <c r="AR17" s="310"/>
      <c r="AS17" s="310"/>
      <c r="AT17" s="310"/>
      <c r="AU17" s="310"/>
      <c r="AV17" s="310"/>
      <c r="AW17" s="310"/>
      <c r="AX17" s="310"/>
      <c r="AY17" s="310"/>
      <c r="AZ17" s="310"/>
      <c r="BA17" s="310"/>
      <c r="BB17" s="310"/>
      <c r="BC17" s="310"/>
      <c r="BD17" s="310"/>
      <c r="BE17" s="310"/>
      <c r="BF17" s="310"/>
      <c r="BG17" s="311"/>
    </row>
    <row r="18" spans="1:59" ht="14.1" customHeight="1">
      <c r="A18" s="309"/>
      <c r="B18" s="310"/>
      <c r="C18" s="310"/>
      <c r="D18" s="310"/>
      <c r="E18" s="310"/>
      <c r="F18" s="310"/>
      <c r="G18" s="310"/>
      <c r="H18" s="310"/>
      <c r="I18" s="310"/>
      <c r="J18" s="310"/>
      <c r="K18" s="310"/>
      <c r="L18" s="310"/>
      <c r="M18" s="310"/>
      <c r="N18" s="310"/>
      <c r="O18" s="310"/>
      <c r="P18" s="310"/>
      <c r="Q18" s="310"/>
      <c r="R18" s="310"/>
      <c r="S18" s="310"/>
      <c r="T18" s="310"/>
      <c r="U18" s="310"/>
      <c r="V18" s="310"/>
      <c r="W18" s="310"/>
      <c r="X18" s="310"/>
      <c r="Y18" s="310"/>
      <c r="Z18" s="310"/>
      <c r="AA18" s="310"/>
      <c r="AB18" s="310"/>
      <c r="AC18" s="310"/>
      <c r="AD18" s="310"/>
      <c r="AE18" s="310"/>
      <c r="AF18" s="310"/>
      <c r="AG18" s="310"/>
      <c r="AH18" s="310"/>
      <c r="AI18" s="310"/>
      <c r="AJ18" s="310"/>
      <c r="AK18" s="310"/>
      <c r="AL18" s="310"/>
      <c r="AM18" s="310"/>
      <c r="AN18" s="310"/>
      <c r="AO18" s="310"/>
      <c r="AP18" s="310"/>
      <c r="AQ18" s="310"/>
      <c r="AR18" s="310"/>
      <c r="AS18" s="310"/>
      <c r="AT18" s="310"/>
      <c r="AU18" s="310"/>
      <c r="AV18" s="310"/>
      <c r="AW18" s="310"/>
      <c r="AX18" s="310"/>
      <c r="AY18" s="310"/>
      <c r="AZ18" s="310"/>
      <c r="BA18" s="310"/>
      <c r="BB18" s="310"/>
      <c r="BC18" s="310"/>
      <c r="BD18" s="310"/>
      <c r="BE18" s="310"/>
      <c r="BF18" s="310"/>
      <c r="BG18" s="311"/>
    </row>
    <row r="19" spans="1:59" ht="14.1" customHeight="1">
      <c r="A19" s="312" t="str">
        <f>LOOKUP(MAX(更新履歴!$C:$C),更新履歴!$C:$C,更新履歴!$B:$B)</f>
        <v>v1_0r6</v>
      </c>
      <c r="B19" s="313"/>
      <c r="C19" s="313"/>
      <c r="D19" s="313"/>
      <c r="E19" s="313"/>
      <c r="F19" s="313"/>
      <c r="G19" s="313"/>
      <c r="H19" s="313"/>
      <c r="I19" s="313"/>
      <c r="J19" s="313"/>
      <c r="K19" s="313"/>
      <c r="L19" s="313"/>
      <c r="M19" s="313"/>
      <c r="N19" s="313"/>
      <c r="O19" s="313"/>
      <c r="P19" s="313"/>
      <c r="Q19" s="313"/>
      <c r="R19" s="313"/>
      <c r="S19" s="313"/>
      <c r="T19" s="313"/>
      <c r="U19" s="313"/>
      <c r="V19" s="313"/>
      <c r="W19" s="313"/>
      <c r="X19" s="313"/>
      <c r="Y19" s="313"/>
      <c r="Z19" s="313"/>
      <c r="AA19" s="313"/>
      <c r="AB19" s="313"/>
      <c r="AC19" s="313"/>
      <c r="AD19" s="313"/>
      <c r="AE19" s="313"/>
      <c r="AF19" s="313"/>
      <c r="AG19" s="313"/>
      <c r="AH19" s="313"/>
      <c r="AI19" s="313"/>
      <c r="AJ19" s="313"/>
      <c r="AK19" s="313"/>
      <c r="AL19" s="313"/>
      <c r="AM19" s="313"/>
      <c r="AN19" s="313"/>
      <c r="AO19" s="313"/>
      <c r="AP19" s="313"/>
      <c r="AQ19" s="313"/>
      <c r="AR19" s="313"/>
      <c r="AS19" s="313"/>
      <c r="AT19" s="313"/>
      <c r="AU19" s="313"/>
      <c r="AV19" s="313"/>
      <c r="AW19" s="313"/>
      <c r="AX19" s="313"/>
      <c r="AY19" s="313"/>
      <c r="AZ19" s="313"/>
      <c r="BA19" s="313"/>
      <c r="BB19" s="313"/>
      <c r="BC19" s="313"/>
      <c r="BD19" s="313"/>
      <c r="BE19" s="313"/>
      <c r="BF19" s="313"/>
      <c r="BG19" s="314"/>
    </row>
    <row r="20" spans="1:59" ht="14.1" customHeight="1">
      <c r="A20" s="312"/>
      <c r="B20" s="313"/>
      <c r="C20" s="313"/>
      <c r="D20" s="313"/>
      <c r="E20" s="313"/>
      <c r="F20" s="313"/>
      <c r="G20" s="313"/>
      <c r="H20" s="313"/>
      <c r="I20" s="313"/>
      <c r="J20" s="313"/>
      <c r="K20" s="313"/>
      <c r="L20" s="313"/>
      <c r="M20" s="313"/>
      <c r="N20" s="313"/>
      <c r="O20" s="313"/>
      <c r="P20" s="313"/>
      <c r="Q20" s="313"/>
      <c r="R20" s="313"/>
      <c r="S20" s="313"/>
      <c r="T20" s="313"/>
      <c r="U20" s="313"/>
      <c r="V20" s="313"/>
      <c r="W20" s="313"/>
      <c r="X20" s="313"/>
      <c r="Y20" s="313"/>
      <c r="Z20" s="313"/>
      <c r="AA20" s="313"/>
      <c r="AB20" s="313"/>
      <c r="AC20" s="313"/>
      <c r="AD20" s="313"/>
      <c r="AE20" s="313"/>
      <c r="AF20" s="313"/>
      <c r="AG20" s="313"/>
      <c r="AH20" s="313"/>
      <c r="AI20" s="313"/>
      <c r="AJ20" s="313"/>
      <c r="AK20" s="313"/>
      <c r="AL20" s="313"/>
      <c r="AM20" s="313"/>
      <c r="AN20" s="313"/>
      <c r="AO20" s="313"/>
      <c r="AP20" s="313"/>
      <c r="AQ20" s="313"/>
      <c r="AR20" s="313"/>
      <c r="AS20" s="313"/>
      <c r="AT20" s="313"/>
      <c r="AU20" s="313"/>
      <c r="AV20" s="313"/>
      <c r="AW20" s="313"/>
      <c r="AX20" s="313"/>
      <c r="AY20" s="313"/>
      <c r="AZ20" s="313"/>
      <c r="BA20" s="313"/>
      <c r="BB20" s="313"/>
      <c r="BC20" s="313"/>
      <c r="BD20" s="313"/>
      <c r="BE20" s="313"/>
      <c r="BF20" s="313"/>
      <c r="BG20" s="314"/>
    </row>
    <row r="21" spans="1:59" ht="14.1" customHeight="1">
      <c r="A21" s="312"/>
      <c r="B21" s="313"/>
      <c r="C21" s="313"/>
      <c r="D21" s="313"/>
      <c r="E21" s="313"/>
      <c r="F21" s="313"/>
      <c r="G21" s="313"/>
      <c r="H21" s="313"/>
      <c r="I21" s="313"/>
      <c r="J21" s="313"/>
      <c r="K21" s="313"/>
      <c r="L21" s="313"/>
      <c r="M21" s="313"/>
      <c r="N21" s="313"/>
      <c r="O21" s="313"/>
      <c r="P21" s="313"/>
      <c r="Q21" s="313"/>
      <c r="R21" s="313"/>
      <c r="S21" s="313"/>
      <c r="T21" s="313"/>
      <c r="U21" s="313"/>
      <c r="V21" s="313"/>
      <c r="W21" s="313"/>
      <c r="X21" s="313"/>
      <c r="Y21" s="313"/>
      <c r="Z21" s="313"/>
      <c r="AA21" s="313"/>
      <c r="AB21" s="313"/>
      <c r="AC21" s="313"/>
      <c r="AD21" s="313"/>
      <c r="AE21" s="313"/>
      <c r="AF21" s="313"/>
      <c r="AG21" s="313"/>
      <c r="AH21" s="313"/>
      <c r="AI21" s="313"/>
      <c r="AJ21" s="313"/>
      <c r="AK21" s="313"/>
      <c r="AL21" s="313"/>
      <c r="AM21" s="313"/>
      <c r="AN21" s="313"/>
      <c r="AO21" s="313"/>
      <c r="AP21" s="313"/>
      <c r="AQ21" s="313"/>
      <c r="AR21" s="313"/>
      <c r="AS21" s="313"/>
      <c r="AT21" s="313"/>
      <c r="AU21" s="313"/>
      <c r="AV21" s="313"/>
      <c r="AW21" s="313"/>
      <c r="AX21" s="313"/>
      <c r="AY21" s="313"/>
      <c r="AZ21" s="313"/>
      <c r="BA21" s="313"/>
      <c r="BB21" s="313"/>
      <c r="BC21" s="313"/>
      <c r="BD21" s="313"/>
      <c r="BE21" s="313"/>
      <c r="BF21" s="313"/>
      <c r="BG21" s="314"/>
    </row>
    <row r="22" spans="1:59" ht="13.5" customHeight="1">
      <c r="A22" s="16"/>
      <c r="BG22" s="18"/>
    </row>
    <row r="23" spans="1:59" ht="14.1" customHeight="1">
      <c r="A23" s="16"/>
      <c r="BG23" s="18"/>
    </row>
    <row r="24" spans="1:59" ht="14.1" customHeight="1">
      <c r="A24" s="16"/>
      <c r="BG24" s="18"/>
    </row>
    <row r="25" spans="1:59" ht="14.1" customHeight="1">
      <c r="A25" s="16"/>
      <c r="BG25" s="18"/>
    </row>
    <row r="26" spans="1:59" ht="14.1" customHeight="1">
      <c r="A26" s="16"/>
      <c r="BG26" s="18"/>
    </row>
    <row r="27" spans="1:59" ht="14.1" customHeight="1">
      <c r="A27" s="16"/>
      <c r="BA27" s="19"/>
      <c r="BG27" s="18"/>
    </row>
    <row r="28" spans="1:59" ht="14.1" customHeight="1">
      <c r="A28" s="16"/>
      <c r="AX28" s="19"/>
      <c r="AY28" s="14"/>
      <c r="AZ28" s="14"/>
      <c r="BG28" s="18"/>
    </row>
    <row r="29" spans="1:59" ht="14.1" customHeight="1">
      <c r="A29" s="16"/>
      <c r="U29" s="290" t="s">
        <v>3</v>
      </c>
      <c r="V29" s="291"/>
      <c r="W29" s="291"/>
      <c r="X29" s="291"/>
      <c r="Y29" s="291"/>
      <c r="Z29" s="292"/>
      <c r="AA29" s="290" t="s">
        <v>4</v>
      </c>
      <c r="AB29" s="291"/>
      <c r="AC29" s="291"/>
      <c r="AD29" s="291"/>
      <c r="AE29" s="291"/>
      <c r="AF29" s="292"/>
      <c r="AG29" s="290" t="s">
        <v>5</v>
      </c>
      <c r="AH29" s="291"/>
      <c r="AI29" s="291"/>
      <c r="AJ29" s="291"/>
      <c r="AK29" s="291"/>
      <c r="AL29" s="292"/>
      <c r="BG29" s="18"/>
    </row>
    <row r="30" spans="1:59" ht="14.1" customHeight="1">
      <c r="A30" s="16"/>
      <c r="U30" s="296"/>
      <c r="V30" s="297"/>
      <c r="W30" s="297"/>
      <c r="X30" s="297"/>
      <c r="Y30" s="297"/>
      <c r="Z30" s="298"/>
      <c r="AA30" s="296"/>
      <c r="AB30" s="297"/>
      <c r="AC30" s="297"/>
      <c r="AD30" s="297"/>
      <c r="AE30" s="297"/>
      <c r="AF30" s="298"/>
      <c r="AG30" s="296"/>
      <c r="AH30" s="297"/>
      <c r="AI30" s="297"/>
      <c r="AJ30" s="297"/>
      <c r="AK30" s="297"/>
      <c r="AL30" s="298"/>
      <c r="BG30" s="18"/>
    </row>
    <row r="31" spans="1:59" ht="14.1" customHeight="1">
      <c r="A31" s="16"/>
      <c r="U31" s="290"/>
      <c r="V31" s="291"/>
      <c r="W31" s="291"/>
      <c r="X31" s="291"/>
      <c r="Y31" s="291"/>
      <c r="Z31" s="292"/>
      <c r="AA31" s="290"/>
      <c r="AB31" s="291"/>
      <c r="AC31" s="291"/>
      <c r="AD31" s="291"/>
      <c r="AE31" s="291"/>
      <c r="AF31" s="292"/>
      <c r="AG31" s="290" t="str">
        <f>更新履歴!D2</f>
        <v>VINX</v>
      </c>
      <c r="AH31" s="291"/>
      <c r="AI31" s="291"/>
      <c r="AJ31" s="291"/>
      <c r="AK31" s="291"/>
      <c r="AL31" s="292"/>
      <c r="BG31" s="18"/>
    </row>
    <row r="32" spans="1:59" ht="14.1" customHeight="1">
      <c r="A32" s="16"/>
      <c r="U32" s="293"/>
      <c r="V32" s="294"/>
      <c r="W32" s="294"/>
      <c r="X32" s="294"/>
      <c r="Y32" s="294"/>
      <c r="Z32" s="295"/>
      <c r="AA32" s="293"/>
      <c r="AB32" s="294"/>
      <c r="AC32" s="294"/>
      <c r="AD32" s="294"/>
      <c r="AE32" s="294"/>
      <c r="AF32" s="295"/>
      <c r="AG32" s="293"/>
      <c r="AH32" s="294"/>
      <c r="AI32" s="294"/>
      <c r="AJ32" s="294"/>
      <c r="AK32" s="294"/>
      <c r="AL32" s="295"/>
      <c r="BG32" s="18"/>
    </row>
    <row r="33" spans="1:59" ht="14.1" customHeight="1">
      <c r="A33" s="16"/>
      <c r="U33" s="293"/>
      <c r="V33" s="294"/>
      <c r="W33" s="294"/>
      <c r="X33" s="294"/>
      <c r="Y33" s="294"/>
      <c r="Z33" s="295"/>
      <c r="AA33" s="293"/>
      <c r="AB33" s="294"/>
      <c r="AC33" s="294"/>
      <c r="AD33" s="294"/>
      <c r="AE33" s="294"/>
      <c r="AF33" s="295"/>
      <c r="AG33" s="293"/>
      <c r="AH33" s="294"/>
      <c r="AI33" s="294"/>
      <c r="AJ33" s="294"/>
      <c r="AK33" s="294"/>
      <c r="AL33" s="295"/>
      <c r="AQ33" s="17"/>
      <c r="AX33" s="19"/>
      <c r="BG33" s="18"/>
    </row>
    <row r="34" spans="1:59" ht="14.1" customHeight="1">
      <c r="A34" s="16"/>
      <c r="U34" s="293"/>
      <c r="V34" s="294"/>
      <c r="W34" s="294"/>
      <c r="X34" s="294"/>
      <c r="Y34" s="294"/>
      <c r="Z34" s="295"/>
      <c r="AA34" s="293"/>
      <c r="AB34" s="294"/>
      <c r="AC34" s="294"/>
      <c r="AD34" s="294"/>
      <c r="AE34" s="294"/>
      <c r="AF34" s="295"/>
      <c r="AG34" s="293"/>
      <c r="AH34" s="294"/>
      <c r="AI34" s="294"/>
      <c r="AJ34" s="294"/>
      <c r="AK34" s="294"/>
      <c r="AL34" s="295"/>
      <c r="BG34" s="18"/>
    </row>
    <row r="35" spans="1:59" ht="14.1" customHeight="1">
      <c r="A35" s="16"/>
      <c r="U35" s="293"/>
      <c r="V35" s="294"/>
      <c r="W35" s="294"/>
      <c r="X35" s="294"/>
      <c r="Y35" s="294"/>
      <c r="Z35" s="295"/>
      <c r="AA35" s="293"/>
      <c r="AB35" s="294"/>
      <c r="AC35" s="294"/>
      <c r="AD35" s="294"/>
      <c r="AE35" s="294"/>
      <c r="AF35" s="295"/>
      <c r="AG35" s="293"/>
      <c r="AH35" s="294"/>
      <c r="AI35" s="294"/>
      <c r="AJ35" s="294"/>
      <c r="AK35" s="294"/>
      <c r="AL35" s="295"/>
      <c r="BG35" s="18"/>
    </row>
    <row r="36" spans="1:59" ht="14.1" customHeight="1">
      <c r="A36" s="16"/>
      <c r="U36" s="296"/>
      <c r="V36" s="297"/>
      <c r="W36" s="297"/>
      <c r="X36" s="297"/>
      <c r="Y36" s="297"/>
      <c r="Z36" s="298"/>
      <c r="AA36" s="296"/>
      <c r="AB36" s="297"/>
      <c r="AC36" s="297"/>
      <c r="AD36" s="297"/>
      <c r="AE36" s="297"/>
      <c r="AF36" s="298"/>
      <c r="AG36" s="296"/>
      <c r="AH36" s="297"/>
      <c r="AI36" s="297"/>
      <c r="AJ36" s="297"/>
      <c r="AK36" s="297"/>
      <c r="AL36" s="298"/>
      <c r="AM36" s="17"/>
      <c r="BG36" s="18"/>
    </row>
    <row r="37" spans="1:59" ht="14.1" customHeight="1">
      <c r="A37" s="16"/>
      <c r="AM37" s="17"/>
      <c r="BG37" s="18"/>
    </row>
    <row r="38" spans="1:59" ht="14.1" customHeight="1">
      <c r="A38" s="20"/>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2"/>
      <c r="AN38" s="21"/>
      <c r="AO38" s="21"/>
      <c r="AP38" s="21"/>
      <c r="AQ38" s="21"/>
      <c r="AR38" s="21"/>
      <c r="AS38" s="21"/>
      <c r="AT38" s="21"/>
      <c r="AU38" s="21"/>
      <c r="AV38" s="21"/>
      <c r="AW38" s="21"/>
      <c r="AX38" s="21"/>
      <c r="AY38" s="21"/>
      <c r="AZ38" s="21"/>
      <c r="BA38" s="21"/>
      <c r="BB38" s="21"/>
      <c r="BC38" s="21"/>
      <c r="BD38" s="21"/>
      <c r="BE38" s="21"/>
      <c r="BF38" s="21"/>
      <c r="BG38" s="23"/>
    </row>
  </sheetData>
  <mergeCells count="11">
    <mergeCell ref="U31:Z36"/>
    <mergeCell ref="AA31:AF36"/>
    <mergeCell ref="AG31:AL36"/>
    <mergeCell ref="A1:I2"/>
    <mergeCell ref="J1:R2"/>
    <mergeCell ref="A11:BG14"/>
    <mergeCell ref="A15:BG18"/>
    <mergeCell ref="A19:BG21"/>
    <mergeCell ref="U29:Z30"/>
    <mergeCell ref="AA29:AF30"/>
    <mergeCell ref="AG29:AL30"/>
  </mergeCells>
  <phoneticPr fontId="5"/>
  <printOptions horizontalCentered="1"/>
  <pageMargins left="0.19685039370078741" right="0.19685039370078741" top="0.62992125984251968" bottom="0.39370078740157483" header="0.19685039370078741" footer="0.31496062992125984"/>
  <pageSetup paperSize="9" fitToHeight="0" orientation="landscape" r:id="rId1"/>
  <headerFooter alignWithMargins="0">
    <oddFooter>&amp;C&amp;"Times New Roman,標準"&amp;10&amp;P/&amp;N&amp;R&amp;"Times New Roman,標準"&amp;9Copyright(C) 2017-2019 VINX Corporation. All Rights Reserved.</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AFA17-1A6F-42A2-9E62-F22763AA1BF4}">
  <dimension ref="A1:G78"/>
  <sheetViews>
    <sheetView zoomScaleNormal="100" workbookViewId="0">
      <selection activeCell="G9" sqref="G9"/>
    </sheetView>
  </sheetViews>
  <sheetFormatPr defaultColWidth="9" defaultRowHeight="11.25"/>
  <cols>
    <col min="1" max="1" width="3.5" style="33" customWidth="1"/>
    <col min="2" max="2" width="8.75" style="33" customWidth="1"/>
    <col min="3" max="3" width="9.75" style="34" customWidth="1"/>
    <col min="4" max="4" width="12.375" style="33" customWidth="1"/>
    <col min="5" max="5" width="26.875" style="35" customWidth="1"/>
    <col min="6" max="6" width="7.75" style="35" customWidth="1"/>
    <col min="7" max="7" width="79.375" style="35" customWidth="1"/>
    <col min="8" max="16384" width="9" style="28"/>
  </cols>
  <sheetData>
    <row r="1" spans="1:7" s="27" customFormat="1" ht="25.5" customHeight="1" thickBot="1">
      <c r="A1" s="24" t="s">
        <v>6</v>
      </c>
      <c r="B1" s="24" t="s">
        <v>7</v>
      </c>
      <c r="C1" s="25" t="s">
        <v>8</v>
      </c>
      <c r="D1" s="24" t="s">
        <v>9</v>
      </c>
      <c r="E1" s="26" t="s">
        <v>10</v>
      </c>
      <c r="F1" s="26" t="s">
        <v>11</v>
      </c>
      <c r="G1" s="26" t="s">
        <v>12</v>
      </c>
    </row>
    <row r="2" spans="1:7" ht="13.5" customHeight="1" thickTop="1">
      <c r="A2" s="37">
        <f>ROW()-1</f>
        <v>1</v>
      </c>
      <c r="B2" s="37" t="s">
        <v>13</v>
      </c>
      <c r="C2" s="38">
        <v>44300</v>
      </c>
      <c r="D2" s="37" t="s">
        <v>14</v>
      </c>
      <c r="E2" s="36" t="s">
        <v>15</v>
      </c>
      <c r="F2" s="36" t="s">
        <v>16</v>
      </c>
      <c r="G2" s="36" t="s">
        <v>17</v>
      </c>
    </row>
    <row r="3" spans="1:7" ht="123.75">
      <c r="A3" s="29">
        <f>ROW()-1</f>
        <v>2</v>
      </c>
      <c r="B3" s="90" t="s">
        <v>18</v>
      </c>
      <c r="C3" s="91">
        <v>44311</v>
      </c>
      <c r="D3" s="90" t="s">
        <v>14</v>
      </c>
      <c r="E3" s="92" t="s">
        <v>15</v>
      </c>
      <c r="F3" s="92" t="s">
        <v>19</v>
      </c>
      <c r="G3" s="92" t="s">
        <v>20</v>
      </c>
    </row>
    <row r="4" spans="1:7">
      <c r="A4" s="29">
        <f t="shared" ref="A4:A55" si="0">A3+1</f>
        <v>3</v>
      </c>
      <c r="B4" s="252" t="s">
        <v>21</v>
      </c>
      <c r="C4" s="253">
        <v>44678</v>
      </c>
      <c r="D4" s="252" t="s">
        <v>14</v>
      </c>
      <c r="E4" s="254" t="s">
        <v>22</v>
      </c>
      <c r="F4" s="254" t="s">
        <v>23</v>
      </c>
      <c r="G4" s="254" t="s">
        <v>24</v>
      </c>
    </row>
    <row r="5" spans="1:7" ht="22.5">
      <c r="A5" s="29">
        <f t="shared" si="0"/>
        <v>4</v>
      </c>
      <c r="B5" s="260" t="s">
        <v>25</v>
      </c>
      <c r="C5" s="261">
        <v>44699</v>
      </c>
      <c r="D5" s="260" t="s">
        <v>14</v>
      </c>
      <c r="E5" s="262" t="s">
        <v>26</v>
      </c>
      <c r="F5" s="262" t="s">
        <v>23</v>
      </c>
      <c r="G5" s="262" t="s">
        <v>27</v>
      </c>
    </row>
    <row r="6" spans="1:7" ht="22.5">
      <c r="A6" s="29">
        <f t="shared" si="0"/>
        <v>5</v>
      </c>
      <c r="B6" s="270" t="s">
        <v>28</v>
      </c>
      <c r="C6" s="271">
        <v>44701</v>
      </c>
      <c r="D6" s="270" t="s">
        <v>14</v>
      </c>
      <c r="E6" s="272" t="s">
        <v>26</v>
      </c>
      <c r="F6" s="272" t="s">
        <v>29</v>
      </c>
      <c r="G6" s="272" t="s">
        <v>30</v>
      </c>
    </row>
    <row r="7" spans="1:7" ht="22.5">
      <c r="A7" s="29">
        <f t="shared" si="0"/>
        <v>6</v>
      </c>
      <c r="B7" s="282" t="s">
        <v>31</v>
      </c>
      <c r="C7" s="283">
        <v>44719</v>
      </c>
      <c r="D7" s="282" t="s">
        <v>14</v>
      </c>
      <c r="E7" s="284" t="s">
        <v>32</v>
      </c>
      <c r="F7" s="284" t="s">
        <v>23</v>
      </c>
      <c r="G7" s="284" t="s">
        <v>33</v>
      </c>
    </row>
    <row r="8" spans="1:7" ht="33.75">
      <c r="A8" s="29">
        <f t="shared" si="0"/>
        <v>7</v>
      </c>
      <c r="B8" s="285" t="s">
        <v>34</v>
      </c>
      <c r="C8" s="286">
        <v>44753</v>
      </c>
      <c r="D8" s="285" t="s">
        <v>14</v>
      </c>
      <c r="E8" s="287" t="s">
        <v>35</v>
      </c>
      <c r="F8" s="287" t="s">
        <v>23</v>
      </c>
      <c r="G8" s="287" t="s">
        <v>36</v>
      </c>
    </row>
    <row r="9" spans="1:7">
      <c r="A9" s="29">
        <f t="shared" si="0"/>
        <v>8</v>
      </c>
      <c r="B9" s="37"/>
      <c r="C9" s="38"/>
      <c r="D9" s="37"/>
      <c r="E9" s="36"/>
      <c r="F9" s="36"/>
      <c r="G9" s="36"/>
    </row>
    <row r="10" spans="1:7">
      <c r="A10" s="29">
        <f t="shared" si="0"/>
        <v>9</v>
      </c>
      <c r="B10" s="37"/>
      <c r="C10" s="38"/>
      <c r="D10" s="37"/>
      <c r="E10" s="36"/>
      <c r="F10" s="36"/>
      <c r="G10" s="36"/>
    </row>
    <row r="11" spans="1:7">
      <c r="A11" s="29">
        <f t="shared" si="0"/>
        <v>10</v>
      </c>
      <c r="B11" s="37"/>
      <c r="C11" s="38"/>
      <c r="D11" s="37"/>
      <c r="E11" s="36"/>
      <c r="F11" s="36"/>
      <c r="G11" s="36"/>
    </row>
    <row r="12" spans="1:7">
      <c r="A12" s="29">
        <f t="shared" si="0"/>
        <v>11</v>
      </c>
      <c r="B12" s="37"/>
      <c r="C12" s="38"/>
      <c r="D12" s="37"/>
      <c r="E12" s="36"/>
      <c r="F12" s="36"/>
      <c r="G12" s="36"/>
    </row>
    <row r="13" spans="1:7">
      <c r="A13" s="29">
        <f t="shared" si="0"/>
        <v>12</v>
      </c>
      <c r="B13" s="37"/>
      <c r="C13" s="38"/>
      <c r="D13" s="37"/>
      <c r="E13" s="36"/>
      <c r="F13" s="36"/>
      <c r="G13" s="36"/>
    </row>
    <row r="14" spans="1:7">
      <c r="A14" s="29">
        <f t="shared" si="0"/>
        <v>13</v>
      </c>
      <c r="B14" s="37"/>
      <c r="C14" s="38"/>
      <c r="D14" s="37"/>
      <c r="E14" s="36"/>
      <c r="F14" s="36"/>
      <c r="G14" s="36"/>
    </row>
    <row r="15" spans="1:7">
      <c r="A15" s="29">
        <f t="shared" si="0"/>
        <v>14</v>
      </c>
      <c r="B15" s="37"/>
      <c r="C15" s="38"/>
      <c r="D15" s="37"/>
      <c r="E15" s="36"/>
      <c r="F15" s="36"/>
      <c r="G15" s="36"/>
    </row>
    <row r="16" spans="1:7">
      <c r="A16" s="29">
        <f t="shared" si="0"/>
        <v>15</v>
      </c>
      <c r="B16" s="37"/>
      <c r="C16" s="38"/>
      <c r="D16" s="37"/>
      <c r="E16" s="36"/>
      <c r="F16" s="36"/>
      <c r="G16" s="36"/>
    </row>
    <row r="17" spans="1:7">
      <c r="A17" s="29">
        <f t="shared" si="0"/>
        <v>16</v>
      </c>
      <c r="B17" s="37"/>
      <c r="C17" s="38"/>
      <c r="D17" s="37"/>
      <c r="E17" s="36"/>
      <c r="F17" s="36"/>
      <c r="G17" s="36"/>
    </row>
    <row r="18" spans="1:7">
      <c r="A18" s="29">
        <f t="shared" si="0"/>
        <v>17</v>
      </c>
      <c r="B18" s="37"/>
      <c r="C18" s="38"/>
      <c r="D18" s="37"/>
      <c r="E18" s="36"/>
      <c r="F18" s="36"/>
      <c r="G18" s="36"/>
    </row>
    <row r="19" spans="1:7">
      <c r="A19" s="29">
        <f t="shared" si="0"/>
        <v>18</v>
      </c>
      <c r="B19" s="37"/>
      <c r="C19" s="38"/>
      <c r="D19" s="37"/>
      <c r="E19" s="36"/>
      <c r="F19" s="36"/>
      <c r="G19" s="36"/>
    </row>
    <row r="20" spans="1:7">
      <c r="A20" s="29">
        <f t="shared" si="0"/>
        <v>19</v>
      </c>
      <c r="B20" s="37"/>
      <c r="C20" s="38"/>
      <c r="D20" s="37"/>
      <c r="E20" s="36"/>
      <c r="F20" s="36"/>
      <c r="G20" s="36"/>
    </row>
    <row r="21" spans="1:7">
      <c r="A21" s="29">
        <f t="shared" si="0"/>
        <v>20</v>
      </c>
      <c r="B21" s="37"/>
      <c r="C21" s="38"/>
      <c r="D21" s="37"/>
      <c r="E21" s="36"/>
      <c r="F21" s="36"/>
      <c r="G21" s="36"/>
    </row>
    <row r="22" spans="1:7">
      <c r="A22" s="29">
        <f t="shared" si="0"/>
        <v>21</v>
      </c>
      <c r="B22" s="37"/>
      <c r="C22" s="38"/>
      <c r="D22" s="37"/>
      <c r="E22" s="36"/>
      <c r="F22" s="36"/>
      <c r="G22" s="36"/>
    </row>
    <row r="23" spans="1:7">
      <c r="A23" s="29">
        <f t="shared" si="0"/>
        <v>22</v>
      </c>
      <c r="B23" s="37"/>
      <c r="C23" s="38"/>
      <c r="D23" s="37"/>
      <c r="E23" s="36"/>
      <c r="F23" s="36"/>
      <c r="G23" s="36"/>
    </row>
    <row r="24" spans="1:7">
      <c r="A24" s="29">
        <f t="shared" si="0"/>
        <v>23</v>
      </c>
      <c r="B24" s="37"/>
      <c r="C24" s="38"/>
      <c r="D24" s="37"/>
      <c r="E24" s="36"/>
      <c r="F24" s="36"/>
      <c r="G24" s="36"/>
    </row>
    <row r="25" spans="1:7">
      <c r="A25" s="29">
        <f t="shared" si="0"/>
        <v>24</v>
      </c>
      <c r="B25" s="37"/>
      <c r="C25" s="38"/>
      <c r="D25" s="37"/>
      <c r="E25" s="36"/>
      <c r="F25" s="36"/>
      <c r="G25" s="36"/>
    </row>
    <row r="26" spans="1:7">
      <c r="A26" s="29">
        <f t="shared" si="0"/>
        <v>25</v>
      </c>
      <c r="B26" s="37"/>
      <c r="C26" s="38"/>
      <c r="D26" s="37"/>
      <c r="E26" s="36"/>
      <c r="F26" s="36"/>
      <c r="G26" s="36"/>
    </row>
    <row r="27" spans="1:7">
      <c r="A27" s="29">
        <f t="shared" si="0"/>
        <v>26</v>
      </c>
      <c r="B27" s="37"/>
      <c r="C27" s="38"/>
      <c r="D27" s="37"/>
      <c r="E27" s="36"/>
      <c r="F27" s="36"/>
      <c r="G27" s="36"/>
    </row>
    <row r="28" spans="1:7">
      <c r="A28" s="29">
        <f t="shared" si="0"/>
        <v>27</v>
      </c>
      <c r="B28" s="37"/>
      <c r="C28" s="38"/>
      <c r="D28" s="37"/>
      <c r="E28" s="36"/>
      <c r="F28" s="36"/>
      <c r="G28" s="36"/>
    </row>
    <row r="29" spans="1:7">
      <c r="A29" s="29">
        <f t="shared" si="0"/>
        <v>28</v>
      </c>
      <c r="B29" s="37"/>
      <c r="C29" s="38"/>
      <c r="D29" s="37"/>
      <c r="E29" s="36"/>
      <c r="F29" s="36"/>
      <c r="G29" s="36"/>
    </row>
    <row r="30" spans="1:7">
      <c r="A30" s="29">
        <f t="shared" si="0"/>
        <v>29</v>
      </c>
      <c r="B30" s="37"/>
      <c r="C30" s="38"/>
      <c r="D30" s="37"/>
      <c r="E30" s="36"/>
      <c r="F30" s="36"/>
      <c r="G30" s="36"/>
    </row>
    <row r="31" spans="1:7">
      <c r="A31" s="29">
        <f t="shared" si="0"/>
        <v>30</v>
      </c>
      <c r="B31" s="37"/>
      <c r="C31" s="38"/>
      <c r="D31" s="37"/>
      <c r="E31" s="36"/>
      <c r="F31" s="36"/>
      <c r="G31" s="36"/>
    </row>
    <row r="32" spans="1:7">
      <c r="A32" s="29">
        <f t="shared" si="0"/>
        <v>31</v>
      </c>
      <c r="B32" s="37"/>
      <c r="C32" s="38"/>
      <c r="D32" s="37"/>
      <c r="E32" s="36"/>
      <c r="F32" s="36"/>
      <c r="G32" s="36"/>
    </row>
    <row r="33" spans="1:7">
      <c r="A33" s="29">
        <f t="shared" si="0"/>
        <v>32</v>
      </c>
      <c r="B33" s="37"/>
      <c r="C33" s="38"/>
      <c r="D33" s="29"/>
      <c r="E33" s="39"/>
      <c r="F33" s="39"/>
      <c r="G33" s="39"/>
    </row>
    <row r="34" spans="1:7">
      <c r="A34" s="29">
        <f t="shared" si="0"/>
        <v>33</v>
      </c>
      <c r="B34" s="37"/>
      <c r="C34" s="38"/>
      <c r="D34" s="29"/>
      <c r="E34" s="39"/>
      <c r="F34" s="39"/>
      <c r="G34" s="39"/>
    </row>
    <row r="35" spans="1:7">
      <c r="A35" s="29">
        <f t="shared" si="0"/>
        <v>34</v>
      </c>
      <c r="B35" s="37"/>
      <c r="C35" s="38"/>
      <c r="D35" s="29"/>
      <c r="E35" s="39"/>
      <c r="F35" s="39"/>
      <c r="G35" s="39"/>
    </row>
    <row r="36" spans="1:7">
      <c r="A36" s="29">
        <f t="shared" si="0"/>
        <v>35</v>
      </c>
      <c r="B36" s="37"/>
      <c r="C36" s="38"/>
      <c r="D36" s="29"/>
      <c r="E36" s="39"/>
      <c r="F36" s="39"/>
      <c r="G36" s="39"/>
    </row>
    <row r="37" spans="1:7">
      <c r="A37" s="29">
        <f t="shared" si="0"/>
        <v>36</v>
      </c>
      <c r="B37" s="37"/>
      <c r="C37" s="38"/>
      <c r="D37" s="29"/>
      <c r="E37" s="39"/>
      <c r="F37" s="39"/>
      <c r="G37" s="39"/>
    </row>
    <row r="38" spans="1:7">
      <c r="A38" s="29">
        <f t="shared" si="0"/>
        <v>37</v>
      </c>
      <c r="B38" s="37"/>
      <c r="C38" s="38"/>
      <c r="D38" s="29"/>
      <c r="E38" s="39"/>
      <c r="F38" s="39"/>
      <c r="G38" s="39"/>
    </row>
    <row r="39" spans="1:7">
      <c r="A39" s="29">
        <f t="shared" si="0"/>
        <v>38</v>
      </c>
      <c r="B39" s="30"/>
      <c r="C39" s="31"/>
      <c r="D39" s="30"/>
      <c r="E39" s="32"/>
      <c r="F39" s="39"/>
      <c r="G39" s="32"/>
    </row>
    <row r="40" spans="1:7">
      <c r="A40" s="29">
        <f t="shared" si="0"/>
        <v>39</v>
      </c>
      <c r="B40" s="30"/>
      <c r="C40" s="31"/>
      <c r="D40" s="30"/>
      <c r="E40" s="32"/>
      <c r="F40" s="39"/>
      <c r="G40" s="32"/>
    </row>
    <row r="41" spans="1:7">
      <c r="A41" s="29">
        <f t="shared" si="0"/>
        <v>40</v>
      </c>
      <c r="B41" s="30"/>
      <c r="C41" s="31"/>
      <c r="D41" s="30"/>
      <c r="E41" s="32"/>
      <c r="F41" s="32"/>
      <c r="G41" s="32"/>
    </row>
    <row r="42" spans="1:7">
      <c r="A42" s="29">
        <f t="shared" si="0"/>
        <v>41</v>
      </c>
      <c r="B42" s="30"/>
      <c r="C42" s="31"/>
      <c r="D42" s="30"/>
      <c r="E42" s="32"/>
      <c r="F42" s="32"/>
      <c r="G42" s="32"/>
    </row>
    <row r="43" spans="1:7">
      <c r="A43" s="29">
        <f t="shared" si="0"/>
        <v>42</v>
      </c>
      <c r="B43" s="30"/>
      <c r="C43" s="31"/>
      <c r="D43" s="30"/>
      <c r="E43" s="32"/>
      <c r="F43" s="32"/>
      <c r="G43" s="32"/>
    </row>
    <row r="44" spans="1:7">
      <c r="A44" s="29">
        <f t="shared" si="0"/>
        <v>43</v>
      </c>
      <c r="B44" s="30"/>
      <c r="C44" s="31"/>
      <c r="D44" s="30"/>
      <c r="E44" s="32"/>
      <c r="F44" s="32"/>
      <c r="G44" s="32"/>
    </row>
    <row r="45" spans="1:7">
      <c r="A45" s="29">
        <f t="shared" si="0"/>
        <v>44</v>
      </c>
      <c r="B45" s="30"/>
      <c r="C45" s="31"/>
      <c r="D45" s="30"/>
      <c r="E45" s="32"/>
      <c r="F45" s="32"/>
      <c r="G45" s="32"/>
    </row>
    <row r="46" spans="1:7">
      <c r="A46" s="29">
        <f t="shared" si="0"/>
        <v>45</v>
      </c>
      <c r="B46" s="30"/>
      <c r="C46" s="31"/>
      <c r="D46" s="30"/>
      <c r="E46" s="32"/>
      <c r="F46" s="32"/>
      <c r="G46" s="32"/>
    </row>
    <row r="47" spans="1:7">
      <c r="A47" s="29">
        <f t="shared" si="0"/>
        <v>46</v>
      </c>
      <c r="B47" s="30"/>
      <c r="C47" s="31"/>
      <c r="D47" s="30"/>
      <c r="E47" s="32"/>
      <c r="F47" s="32"/>
      <c r="G47" s="32"/>
    </row>
    <row r="48" spans="1:7">
      <c r="A48" s="29">
        <f t="shared" si="0"/>
        <v>47</v>
      </c>
      <c r="B48" s="30"/>
      <c r="C48" s="31"/>
      <c r="D48" s="30"/>
      <c r="E48" s="32"/>
      <c r="F48" s="32"/>
      <c r="G48" s="32"/>
    </row>
    <row r="49" spans="1:7">
      <c r="A49" s="29">
        <f t="shared" si="0"/>
        <v>48</v>
      </c>
      <c r="B49" s="30"/>
      <c r="C49" s="31"/>
      <c r="D49" s="30"/>
      <c r="E49" s="32"/>
      <c r="F49" s="32"/>
      <c r="G49" s="32"/>
    </row>
    <row r="50" spans="1:7">
      <c r="A50" s="29">
        <f t="shared" si="0"/>
        <v>49</v>
      </c>
      <c r="B50" s="30"/>
      <c r="C50" s="31"/>
      <c r="D50" s="30"/>
      <c r="E50" s="32"/>
      <c r="F50" s="32"/>
      <c r="G50" s="32"/>
    </row>
    <row r="51" spans="1:7">
      <c r="A51" s="29">
        <f t="shared" si="0"/>
        <v>50</v>
      </c>
      <c r="B51" s="30"/>
      <c r="C51" s="31"/>
      <c r="D51" s="30"/>
      <c r="E51" s="32"/>
      <c r="F51" s="32"/>
      <c r="G51" s="32"/>
    </row>
    <row r="52" spans="1:7">
      <c r="A52" s="29">
        <f t="shared" si="0"/>
        <v>51</v>
      </c>
      <c r="B52" s="30"/>
      <c r="C52" s="31"/>
      <c r="D52" s="30"/>
      <c r="E52" s="32"/>
      <c r="F52" s="32"/>
      <c r="G52" s="32"/>
    </row>
    <row r="53" spans="1:7">
      <c r="A53" s="29">
        <f t="shared" si="0"/>
        <v>52</v>
      </c>
      <c r="B53" s="30"/>
      <c r="C53" s="31"/>
      <c r="D53" s="30"/>
      <c r="E53" s="32"/>
      <c r="F53" s="32"/>
      <c r="G53" s="32"/>
    </row>
    <row r="54" spans="1:7">
      <c r="A54" s="29">
        <f t="shared" si="0"/>
        <v>53</v>
      </c>
      <c r="B54" s="30"/>
      <c r="C54" s="31"/>
      <c r="D54" s="30"/>
      <c r="E54" s="32"/>
      <c r="F54" s="32"/>
      <c r="G54" s="32"/>
    </row>
    <row r="55" spans="1:7">
      <c r="A55" s="29">
        <f t="shared" si="0"/>
        <v>54</v>
      </c>
      <c r="B55" s="30"/>
      <c r="C55" s="31"/>
      <c r="D55" s="30"/>
      <c r="E55" s="32"/>
      <c r="F55" s="32"/>
      <c r="G55" s="32"/>
    </row>
    <row r="56" spans="1:7">
      <c r="A56" s="29">
        <f t="shared" ref="A56:A78" si="1">A55+1</f>
        <v>55</v>
      </c>
      <c r="B56" s="30"/>
      <c r="C56" s="31"/>
      <c r="D56" s="30"/>
      <c r="E56" s="32"/>
      <c r="F56" s="32"/>
      <c r="G56" s="32"/>
    </row>
    <row r="57" spans="1:7">
      <c r="A57" s="29">
        <f t="shared" si="1"/>
        <v>56</v>
      </c>
      <c r="B57" s="30"/>
      <c r="C57" s="31"/>
      <c r="D57" s="30"/>
      <c r="E57" s="32"/>
      <c r="F57" s="32"/>
      <c r="G57" s="32"/>
    </row>
    <row r="58" spans="1:7">
      <c r="A58" s="29">
        <f t="shared" si="1"/>
        <v>57</v>
      </c>
      <c r="B58" s="30"/>
      <c r="C58" s="31"/>
      <c r="D58" s="30"/>
      <c r="E58" s="32"/>
      <c r="F58" s="32"/>
      <c r="G58" s="32"/>
    </row>
    <row r="59" spans="1:7">
      <c r="A59" s="29">
        <f t="shared" si="1"/>
        <v>58</v>
      </c>
      <c r="B59" s="30"/>
      <c r="C59" s="31"/>
      <c r="D59" s="30"/>
      <c r="E59" s="32"/>
      <c r="F59" s="32"/>
      <c r="G59" s="32"/>
    </row>
    <row r="60" spans="1:7">
      <c r="A60" s="29">
        <f t="shared" si="1"/>
        <v>59</v>
      </c>
      <c r="B60" s="40"/>
      <c r="C60" s="41"/>
      <c r="D60" s="40"/>
      <c r="E60" s="42"/>
      <c r="F60" s="42"/>
      <c r="G60" s="42"/>
    </row>
    <row r="61" spans="1:7">
      <c r="A61" s="29">
        <f t="shared" si="1"/>
        <v>60</v>
      </c>
      <c r="B61" s="40"/>
      <c r="C61" s="41"/>
      <c r="D61" s="40"/>
      <c r="E61" s="42"/>
      <c r="F61" s="42"/>
      <c r="G61" s="42"/>
    </row>
    <row r="62" spans="1:7">
      <c r="A62" s="29">
        <f t="shared" si="1"/>
        <v>61</v>
      </c>
      <c r="B62" s="40"/>
      <c r="C62" s="41"/>
      <c r="D62" s="40"/>
      <c r="E62" s="42"/>
      <c r="F62" s="42"/>
      <c r="G62" s="42"/>
    </row>
    <row r="63" spans="1:7">
      <c r="A63" s="29">
        <f t="shared" si="1"/>
        <v>62</v>
      </c>
      <c r="B63" s="40"/>
      <c r="C63" s="41"/>
      <c r="D63" s="40"/>
      <c r="E63" s="42"/>
      <c r="F63" s="42"/>
      <c r="G63" s="42"/>
    </row>
    <row r="64" spans="1:7">
      <c r="A64" s="29">
        <f t="shared" si="1"/>
        <v>63</v>
      </c>
      <c r="B64" s="40"/>
      <c r="C64" s="41"/>
      <c r="D64" s="40"/>
      <c r="E64" s="42"/>
      <c r="F64" s="42"/>
      <c r="G64" s="42"/>
    </row>
    <row r="65" spans="1:7">
      <c r="A65" s="29">
        <f t="shared" si="1"/>
        <v>64</v>
      </c>
      <c r="B65" s="30"/>
      <c r="C65" s="31"/>
      <c r="D65" s="30"/>
      <c r="E65" s="32"/>
      <c r="F65" s="32"/>
      <c r="G65" s="32"/>
    </row>
    <row r="66" spans="1:7">
      <c r="A66" s="29">
        <f t="shared" si="1"/>
        <v>65</v>
      </c>
      <c r="B66" s="30"/>
      <c r="C66" s="31"/>
      <c r="D66" s="30"/>
      <c r="E66" s="32"/>
      <c r="F66" s="32"/>
      <c r="G66" s="32"/>
    </row>
    <row r="67" spans="1:7">
      <c r="A67" s="29">
        <f t="shared" si="1"/>
        <v>66</v>
      </c>
      <c r="B67" s="30"/>
      <c r="C67" s="31"/>
      <c r="D67" s="30"/>
      <c r="E67" s="32"/>
      <c r="F67" s="32"/>
      <c r="G67" s="32"/>
    </row>
    <row r="68" spans="1:7">
      <c r="A68" s="29">
        <f t="shared" si="1"/>
        <v>67</v>
      </c>
      <c r="B68" s="30"/>
      <c r="C68" s="31"/>
      <c r="D68" s="30"/>
      <c r="E68" s="32"/>
      <c r="F68" s="32"/>
      <c r="G68" s="32"/>
    </row>
    <row r="69" spans="1:7">
      <c r="A69" s="29">
        <f t="shared" si="1"/>
        <v>68</v>
      </c>
      <c r="B69" s="30"/>
      <c r="C69" s="31"/>
      <c r="D69" s="30"/>
      <c r="E69" s="32"/>
      <c r="F69" s="32"/>
      <c r="G69" s="32"/>
    </row>
    <row r="70" spans="1:7">
      <c r="A70" s="29">
        <f t="shared" si="1"/>
        <v>69</v>
      </c>
      <c r="B70" s="30"/>
      <c r="C70" s="31"/>
      <c r="D70" s="30"/>
      <c r="E70" s="32"/>
      <c r="F70" s="32"/>
      <c r="G70" s="32"/>
    </row>
    <row r="71" spans="1:7">
      <c r="A71" s="29">
        <f t="shared" si="1"/>
        <v>70</v>
      </c>
      <c r="B71" s="30"/>
      <c r="C71" s="31"/>
      <c r="D71" s="30"/>
      <c r="E71" s="32"/>
      <c r="F71" s="32"/>
      <c r="G71" s="32"/>
    </row>
    <row r="72" spans="1:7">
      <c r="A72" s="29">
        <f t="shared" si="1"/>
        <v>71</v>
      </c>
      <c r="B72" s="30"/>
      <c r="C72" s="31"/>
      <c r="D72" s="30"/>
      <c r="E72" s="32"/>
      <c r="F72" s="32"/>
      <c r="G72" s="32"/>
    </row>
    <row r="73" spans="1:7">
      <c r="A73" s="29">
        <f t="shared" si="1"/>
        <v>72</v>
      </c>
      <c r="B73" s="30"/>
      <c r="C73" s="31"/>
      <c r="D73" s="30"/>
      <c r="E73" s="32"/>
      <c r="F73" s="32"/>
      <c r="G73" s="32"/>
    </row>
    <row r="74" spans="1:7">
      <c r="A74" s="29">
        <f t="shared" si="1"/>
        <v>73</v>
      </c>
      <c r="B74" s="30"/>
      <c r="C74" s="31"/>
      <c r="D74" s="30"/>
      <c r="E74" s="32"/>
      <c r="F74" s="32"/>
      <c r="G74" s="32"/>
    </row>
    <row r="75" spans="1:7">
      <c r="A75" s="29">
        <f t="shared" si="1"/>
        <v>74</v>
      </c>
      <c r="B75" s="30"/>
      <c r="C75" s="31"/>
      <c r="D75" s="30"/>
      <c r="E75" s="32"/>
      <c r="F75" s="32"/>
      <c r="G75" s="32"/>
    </row>
    <row r="76" spans="1:7">
      <c r="A76" s="29">
        <f t="shared" si="1"/>
        <v>75</v>
      </c>
      <c r="B76" s="30"/>
      <c r="C76" s="31"/>
      <c r="D76" s="30"/>
      <c r="E76" s="32"/>
      <c r="F76" s="32"/>
      <c r="G76" s="32"/>
    </row>
    <row r="77" spans="1:7">
      <c r="A77" s="29">
        <f t="shared" si="1"/>
        <v>76</v>
      </c>
      <c r="B77" s="30"/>
      <c r="C77" s="31"/>
      <c r="D77" s="30"/>
      <c r="E77" s="32"/>
      <c r="F77" s="32"/>
      <c r="G77" s="32"/>
    </row>
    <row r="78" spans="1:7">
      <c r="A78" s="29">
        <f t="shared" si="1"/>
        <v>77</v>
      </c>
      <c r="B78" s="30"/>
      <c r="C78" s="31"/>
      <c r="D78" s="30"/>
      <c r="E78" s="32"/>
      <c r="F78" s="32"/>
      <c r="G78" s="32"/>
    </row>
  </sheetData>
  <phoneticPr fontId="5"/>
  <conditionalFormatting sqref="B2:B18">
    <cfRule type="cellIs" dxfId="5" priority="1" stopIfTrue="1" operator="equal">
      <formula>$B1</formula>
    </cfRule>
  </conditionalFormatting>
  <conditionalFormatting sqref="B19">
    <cfRule type="cellIs" dxfId="4" priority="80" stopIfTrue="1" operator="equal">
      <formula>$B15</formula>
    </cfRule>
  </conditionalFormatting>
  <conditionalFormatting sqref="B20:B38">
    <cfRule type="cellIs" dxfId="3" priority="63" stopIfTrue="1" operator="equal">
      <formula>$B19</formula>
    </cfRule>
  </conditionalFormatting>
  <conditionalFormatting sqref="C2:C18">
    <cfRule type="expression" dxfId="2" priority="2" stopIfTrue="1">
      <formula>$B2=$B1</formula>
    </cfRule>
  </conditionalFormatting>
  <conditionalFormatting sqref="C19">
    <cfRule type="expression" dxfId="1" priority="104" stopIfTrue="1">
      <formula>$B19=$B15</formula>
    </cfRule>
  </conditionalFormatting>
  <conditionalFormatting sqref="C20:C38">
    <cfRule type="expression" dxfId="0" priority="64" stopIfTrue="1">
      <formula>$B20=$B19</formula>
    </cfRule>
  </conditionalFormatting>
  <printOptions horizontalCentered="1"/>
  <pageMargins left="0.19685039370078741" right="0.19685039370078741" top="0.62992125984251968" bottom="0.39370078740157483" header="0.19685039370078741" footer="0.31496062992125984"/>
  <pageSetup paperSize="9" fitToHeight="0" orientation="landscape" r:id="rId1"/>
  <headerFooter alignWithMargins="0">
    <oddFooter>&amp;C&amp;"Times New Roman,標準"&amp;10&amp;P/&amp;N&amp;R&amp;"Times New Roman,標準"&amp;9Copyright(C) 2017-2019 VINX Corporation. All Rights Reserved.</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825AE-5D97-401C-9D6D-50BD96AAE8D4}">
  <dimension ref="A2:J23"/>
  <sheetViews>
    <sheetView tabSelected="1" zoomScale="130" zoomScaleNormal="130" zoomScaleSheetLayoutView="145" workbookViewId="0">
      <selection activeCell="C10" sqref="C10"/>
    </sheetView>
  </sheetViews>
  <sheetFormatPr defaultRowHeight="13.5"/>
  <cols>
    <col min="1" max="1" width="3.25" customWidth="1"/>
    <col min="2" max="2" width="36.875" customWidth="1"/>
    <col min="3" max="3" width="24.625" customWidth="1"/>
    <col min="4" max="4" width="33.25" customWidth="1"/>
    <col min="5" max="5" width="20.75" customWidth="1"/>
    <col min="6" max="6" width="10.125" style="89" customWidth="1"/>
    <col min="7" max="8" width="11.25" style="82" customWidth="1"/>
    <col min="9" max="9" width="12.125" style="89" customWidth="1"/>
    <col min="10" max="10" width="9" style="87"/>
  </cols>
  <sheetData>
    <row r="2" spans="1:10" ht="40.5">
      <c r="A2" s="79" t="s">
        <v>37</v>
      </c>
      <c r="B2" s="80" t="s">
        <v>38</v>
      </c>
      <c r="C2" s="63" t="s">
        <v>39</v>
      </c>
      <c r="D2" s="64"/>
      <c r="E2" s="64" t="s">
        <v>40</v>
      </c>
      <c r="F2" s="88" t="s">
        <v>41</v>
      </c>
      <c r="G2" s="81" t="s">
        <v>42</v>
      </c>
      <c r="H2" s="81" t="s">
        <v>43</v>
      </c>
      <c r="I2" s="241" t="s">
        <v>44</v>
      </c>
    </row>
    <row r="3" spans="1:10">
      <c r="A3" s="56">
        <f>ROW()-2</f>
        <v>1</v>
      </c>
      <c r="B3" s="59" t="s">
        <v>45</v>
      </c>
      <c r="C3" s="60" t="s">
        <v>45</v>
      </c>
      <c r="D3" s="60" t="s">
        <v>808</v>
      </c>
      <c r="E3" s="56" t="s">
        <v>47</v>
      </c>
      <c r="F3" s="85" t="s">
        <v>48</v>
      </c>
      <c r="G3" s="57" t="s">
        <v>49</v>
      </c>
      <c r="H3" s="57" t="s">
        <v>49</v>
      </c>
      <c r="I3" s="85">
        <v>199582</v>
      </c>
    </row>
    <row r="4" spans="1:10">
      <c r="A4" s="56">
        <f t="shared" ref="A4:A23" si="0">ROW()-2</f>
        <v>2</v>
      </c>
      <c r="B4" s="60"/>
      <c r="C4" s="56" t="s">
        <v>50</v>
      </c>
      <c r="D4" s="56" t="s">
        <v>51</v>
      </c>
      <c r="E4" s="56" t="s">
        <v>47</v>
      </c>
      <c r="F4" s="85" t="s">
        <v>48</v>
      </c>
      <c r="G4" s="58" t="s">
        <v>52</v>
      </c>
      <c r="H4" s="57" t="s">
        <v>49</v>
      </c>
      <c r="I4" s="85">
        <v>199582</v>
      </c>
    </row>
    <row r="5" spans="1:10">
      <c r="A5" s="56">
        <f t="shared" si="0"/>
        <v>3</v>
      </c>
      <c r="B5" s="59" t="s">
        <v>53</v>
      </c>
      <c r="C5" s="56" t="s">
        <v>54</v>
      </c>
      <c r="D5" s="56" t="s">
        <v>55</v>
      </c>
      <c r="E5" s="56" t="s">
        <v>47</v>
      </c>
      <c r="F5" s="85" t="s">
        <v>48</v>
      </c>
      <c r="G5" s="57" t="s">
        <v>49</v>
      </c>
      <c r="H5" s="57" t="s">
        <v>49</v>
      </c>
      <c r="I5" s="85">
        <v>868</v>
      </c>
    </row>
    <row r="6" spans="1:10" s="269" customFormat="1">
      <c r="A6" s="265">
        <f t="shared" si="0"/>
        <v>4</v>
      </c>
      <c r="B6" s="266"/>
      <c r="C6" s="265" t="s">
        <v>56</v>
      </c>
      <c r="D6" s="265" t="s">
        <v>57</v>
      </c>
      <c r="E6" s="265" t="s">
        <v>47</v>
      </c>
      <c r="F6" s="267" t="s">
        <v>48</v>
      </c>
      <c r="G6" s="268" t="s">
        <v>52</v>
      </c>
      <c r="H6" s="267" t="s">
        <v>49</v>
      </c>
      <c r="I6" s="267">
        <v>210</v>
      </c>
    </row>
    <row r="7" spans="1:10">
      <c r="A7" s="56">
        <f t="shared" si="0"/>
        <v>5</v>
      </c>
      <c r="B7" s="56" t="s">
        <v>58</v>
      </c>
      <c r="C7" s="56" t="s">
        <v>59</v>
      </c>
      <c r="D7" s="56" t="s">
        <v>60</v>
      </c>
      <c r="E7" s="56" t="s">
        <v>47</v>
      </c>
      <c r="F7" s="85" t="s">
        <v>48</v>
      </c>
      <c r="G7" s="57" t="s">
        <v>49</v>
      </c>
      <c r="H7" s="57" t="s">
        <v>49</v>
      </c>
      <c r="I7" s="85">
        <v>3108</v>
      </c>
    </row>
    <row r="8" spans="1:10" ht="13.5" customHeight="1">
      <c r="A8" s="56">
        <f t="shared" si="0"/>
        <v>6</v>
      </c>
      <c r="B8" s="56" t="s">
        <v>61</v>
      </c>
      <c r="C8" s="56" t="s">
        <v>62</v>
      </c>
      <c r="D8" s="56" t="s">
        <v>63</v>
      </c>
      <c r="E8" s="56" t="s">
        <v>47</v>
      </c>
      <c r="F8" s="85" t="s">
        <v>48</v>
      </c>
      <c r="G8" s="57" t="s">
        <v>49</v>
      </c>
      <c r="H8" s="57" t="s">
        <v>49</v>
      </c>
      <c r="I8" s="85">
        <v>168</v>
      </c>
    </row>
    <row r="9" spans="1:10" ht="13.5" customHeight="1">
      <c r="A9" s="56">
        <f t="shared" si="0"/>
        <v>7</v>
      </c>
      <c r="B9" s="56" t="s">
        <v>64</v>
      </c>
      <c r="C9" s="56" t="s">
        <v>65</v>
      </c>
      <c r="D9" s="56" t="s">
        <v>66</v>
      </c>
      <c r="E9" s="56" t="s">
        <v>47</v>
      </c>
      <c r="F9" s="85" t="s">
        <v>48</v>
      </c>
      <c r="G9" s="57" t="s">
        <v>49</v>
      </c>
      <c r="H9" s="57" t="s">
        <v>49</v>
      </c>
      <c r="I9" s="85">
        <v>847</v>
      </c>
    </row>
    <row r="10" spans="1:10" ht="67.5">
      <c r="A10" s="56">
        <f t="shared" si="0"/>
        <v>8</v>
      </c>
      <c r="B10" s="61" t="s">
        <v>67</v>
      </c>
      <c r="C10" s="56" t="s">
        <v>68</v>
      </c>
      <c r="D10" s="56" t="s">
        <v>69</v>
      </c>
      <c r="E10" s="56" t="s">
        <v>47</v>
      </c>
      <c r="F10" s="85" t="s">
        <v>48</v>
      </c>
      <c r="G10" s="58" t="s">
        <v>52</v>
      </c>
      <c r="H10" s="57" t="s">
        <v>49</v>
      </c>
      <c r="I10" s="85">
        <v>1245</v>
      </c>
    </row>
    <row r="11" spans="1:10">
      <c r="A11" s="56">
        <f t="shared" si="0"/>
        <v>9</v>
      </c>
      <c r="B11" s="56" t="s">
        <v>70</v>
      </c>
      <c r="C11" s="56" t="s">
        <v>71</v>
      </c>
      <c r="D11" s="56" t="s">
        <v>72</v>
      </c>
      <c r="E11" s="56" t="s">
        <v>47</v>
      </c>
      <c r="F11" s="85" t="s">
        <v>49</v>
      </c>
      <c r="G11" s="58" t="s">
        <v>52</v>
      </c>
      <c r="H11" s="57" t="s">
        <v>49</v>
      </c>
      <c r="I11" s="85">
        <v>5740</v>
      </c>
      <c r="J11" s="87" t="s">
        <v>73</v>
      </c>
    </row>
    <row r="12" spans="1:10">
      <c r="A12" s="56">
        <f t="shared" si="0"/>
        <v>10</v>
      </c>
      <c r="B12" s="56"/>
      <c r="C12" s="56" t="s">
        <v>74</v>
      </c>
      <c r="D12" s="56" t="s">
        <v>75</v>
      </c>
      <c r="E12" s="56" t="s">
        <v>47</v>
      </c>
      <c r="F12" s="85" t="s">
        <v>49</v>
      </c>
      <c r="G12" s="58" t="s">
        <v>52</v>
      </c>
      <c r="H12" s="57" t="s">
        <v>49</v>
      </c>
      <c r="I12" s="85">
        <v>5740</v>
      </c>
      <c r="J12" s="87" t="s">
        <v>73</v>
      </c>
    </row>
    <row r="13" spans="1:10">
      <c r="A13" s="56">
        <f t="shared" si="0"/>
        <v>11</v>
      </c>
      <c r="B13" s="62" t="s">
        <v>52</v>
      </c>
      <c r="C13" s="56" t="s">
        <v>807</v>
      </c>
      <c r="D13" s="56" t="s">
        <v>76</v>
      </c>
      <c r="E13" s="56" t="s">
        <v>77</v>
      </c>
      <c r="F13" s="85" t="s">
        <v>48</v>
      </c>
      <c r="G13" s="58" t="s">
        <v>52</v>
      </c>
      <c r="H13" s="57" t="s">
        <v>49</v>
      </c>
      <c r="I13" s="85">
        <v>7</v>
      </c>
    </row>
    <row r="14" spans="1:10">
      <c r="A14" s="56">
        <f t="shared" si="0"/>
        <v>12</v>
      </c>
      <c r="B14" s="62" t="s">
        <v>52</v>
      </c>
      <c r="C14" s="56" t="s">
        <v>78</v>
      </c>
      <c r="D14" s="56" t="s">
        <v>79</v>
      </c>
      <c r="E14" s="56" t="s">
        <v>77</v>
      </c>
      <c r="F14" s="85" t="s">
        <v>48</v>
      </c>
      <c r="G14" s="58" t="s">
        <v>52</v>
      </c>
      <c r="H14" s="57" t="s">
        <v>49</v>
      </c>
      <c r="I14" s="85">
        <v>80</v>
      </c>
    </row>
    <row r="15" spans="1:10" s="87" customFormat="1">
      <c r="A15" s="83">
        <f t="shared" si="0"/>
        <v>13</v>
      </c>
      <c r="B15" s="84" t="s">
        <v>52</v>
      </c>
      <c r="C15" s="83" t="s">
        <v>80</v>
      </c>
      <c r="D15" s="83" t="s">
        <v>81</v>
      </c>
      <c r="E15" s="83" t="s">
        <v>77</v>
      </c>
      <c r="F15" s="85" t="s">
        <v>49</v>
      </c>
      <c r="G15" s="85" t="s">
        <v>49</v>
      </c>
      <c r="H15" s="85" t="s">
        <v>49</v>
      </c>
      <c r="I15" s="85">
        <v>9</v>
      </c>
      <c r="J15" s="87" t="s">
        <v>73</v>
      </c>
    </row>
    <row r="16" spans="1:10" s="87" customFormat="1">
      <c r="A16" s="83">
        <f t="shared" si="0"/>
        <v>14</v>
      </c>
      <c r="B16" s="84" t="s">
        <v>52</v>
      </c>
      <c r="C16" s="83" t="s">
        <v>82</v>
      </c>
      <c r="D16" s="83" t="s">
        <v>83</v>
      </c>
      <c r="E16" s="83" t="s">
        <v>77</v>
      </c>
      <c r="F16" s="85" t="s">
        <v>49</v>
      </c>
      <c r="G16" s="85" t="s">
        <v>49</v>
      </c>
      <c r="H16" s="85" t="s">
        <v>49</v>
      </c>
      <c r="I16" s="85">
        <v>9</v>
      </c>
      <c r="J16" s="87" t="s">
        <v>73</v>
      </c>
    </row>
    <row r="17" spans="1:10" s="87" customFormat="1">
      <c r="A17" s="83">
        <f t="shared" si="0"/>
        <v>15</v>
      </c>
      <c r="B17" s="84" t="s">
        <v>52</v>
      </c>
      <c r="C17" s="83" t="s">
        <v>84</v>
      </c>
      <c r="D17" s="83" t="s">
        <v>85</v>
      </c>
      <c r="E17" s="83" t="s">
        <v>77</v>
      </c>
      <c r="F17" s="85" t="s">
        <v>49</v>
      </c>
      <c r="G17" s="85" t="s">
        <v>49</v>
      </c>
      <c r="H17" s="85" t="s">
        <v>49</v>
      </c>
      <c r="I17" s="85">
        <v>11</v>
      </c>
      <c r="J17" s="87" t="s">
        <v>73</v>
      </c>
    </row>
    <row r="18" spans="1:10" s="87" customFormat="1">
      <c r="A18" s="83">
        <f t="shared" si="0"/>
        <v>16</v>
      </c>
      <c r="B18" s="84" t="s">
        <v>52</v>
      </c>
      <c r="C18" s="83" t="s">
        <v>86</v>
      </c>
      <c r="D18" s="83" t="s">
        <v>87</v>
      </c>
      <c r="E18" s="83" t="s">
        <v>77</v>
      </c>
      <c r="F18" s="85" t="s">
        <v>49</v>
      </c>
      <c r="G18" s="85" t="s">
        <v>49</v>
      </c>
      <c r="H18" s="85" t="s">
        <v>49</v>
      </c>
      <c r="I18" s="85">
        <v>3</v>
      </c>
      <c r="J18" s="87" t="s">
        <v>73</v>
      </c>
    </row>
    <row r="19" spans="1:10" s="87" customFormat="1">
      <c r="A19" s="83">
        <f t="shared" si="0"/>
        <v>17</v>
      </c>
      <c r="B19" s="84" t="s">
        <v>52</v>
      </c>
      <c r="C19" s="83" t="s">
        <v>88</v>
      </c>
      <c r="D19" s="83" t="s">
        <v>89</v>
      </c>
      <c r="E19" s="83" t="s">
        <v>77</v>
      </c>
      <c r="F19" s="85" t="s">
        <v>49</v>
      </c>
      <c r="G19" s="85" t="s">
        <v>49</v>
      </c>
      <c r="H19" s="85" t="s">
        <v>49</v>
      </c>
      <c r="I19" s="85">
        <v>9</v>
      </c>
      <c r="J19" s="87" t="s">
        <v>73</v>
      </c>
    </row>
    <row r="20" spans="1:10" s="87" customFormat="1">
      <c r="A20" s="83">
        <f t="shared" si="0"/>
        <v>18</v>
      </c>
      <c r="B20" s="84" t="s">
        <v>52</v>
      </c>
      <c r="C20" s="83" t="s">
        <v>90</v>
      </c>
      <c r="D20" s="83" t="s">
        <v>91</v>
      </c>
      <c r="E20" s="83" t="s">
        <v>77</v>
      </c>
      <c r="F20" s="85" t="s">
        <v>48</v>
      </c>
      <c r="G20" s="86" t="s">
        <v>52</v>
      </c>
      <c r="H20" s="85" t="s">
        <v>49</v>
      </c>
      <c r="I20" s="85">
        <v>27</v>
      </c>
    </row>
    <row r="21" spans="1:10" s="87" customFormat="1">
      <c r="A21" s="83">
        <f t="shared" si="0"/>
        <v>19</v>
      </c>
      <c r="B21" s="84" t="s">
        <v>52</v>
      </c>
      <c r="C21" s="83" t="s">
        <v>92</v>
      </c>
      <c r="D21" s="83" t="s">
        <v>93</v>
      </c>
      <c r="E21" s="83" t="s">
        <v>77</v>
      </c>
      <c r="F21" s="85" t="s">
        <v>48</v>
      </c>
      <c r="G21" s="86" t="s">
        <v>52</v>
      </c>
      <c r="H21" s="85" t="s">
        <v>49</v>
      </c>
      <c r="I21" s="85">
        <v>240</v>
      </c>
      <c r="J21" s="87" t="s">
        <v>94</v>
      </c>
    </row>
    <row r="22" spans="1:10" s="87" customFormat="1">
      <c r="A22" s="83">
        <f t="shared" si="0"/>
        <v>20</v>
      </c>
      <c r="B22" s="84" t="s">
        <v>52</v>
      </c>
      <c r="C22" s="83" t="s">
        <v>95</v>
      </c>
      <c r="D22" s="83" t="s">
        <v>96</v>
      </c>
      <c r="E22" s="83" t="s">
        <v>77</v>
      </c>
      <c r="F22" s="85" t="s">
        <v>48</v>
      </c>
      <c r="G22" s="86" t="s">
        <v>52</v>
      </c>
      <c r="H22" s="85" t="s">
        <v>49</v>
      </c>
      <c r="I22" s="85">
        <v>240</v>
      </c>
      <c r="J22" s="87" t="s">
        <v>94</v>
      </c>
    </row>
    <row r="23" spans="1:10" s="277" customFormat="1">
      <c r="A23" s="273">
        <f t="shared" si="0"/>
        <v>21</v>
      </c>
      <c r="B23" s="274" t="s">
        <v>52</v>
      </c>
      <c r="C23" s="273" t="s">
        <v>97</v>
      </c>
      <c r="D23" s="273" t="s">
        <v>96</v>
      </c>
      <c r="E23" s="273" t="s">
        <v>77</v>
      </c>
      <c r="F23" s="275" t="s">
        <v>48</v>
      </c>
      <c r="G23" s="276" t="s">
        <v>52</v>
      </c>
      <c r="H23" s="275" t="s">
        <v>49</v>
      </c>
      <c r="I23" s="275">
        <v>240</v>
      </c>
      <c r="J23" s="277" t="s">
        <v>94</v>
      </c>
    </row>
  </sheetData>
  <phoneticPr fontId="5"/>
  <pageMargins left="0.7" right="0.7" top="0.75" bottom="0.75" header="0.3" footer="0.3"/>
  <pageSetup paperSize="9" scale="64"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AF002-94A4-4E1F-BDD6-8A48D8AC887B}">
  <sheetPr>
    <tabColor theme="5" tint="0.79998168889431442"/>
  </sheetPr>
  <dimension ref="A1"/>
  <sheetViews>
    <sheetView workbookViewId="0"/>
  </sheetViews>
  <sheetFormatPr defaultRowHeight="13.5"/>
  <sheetData/>
  <phoneticPr fontId="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44"/>
  <sheetViews>
    <sheetView zoomScale="115" zoomScaleNormal="115" workbookViewId="0">
      <pane xSplit="3" ySplit="3" topLeftCell="D29" activePane="bottomRight" state="frozen"/>
      <selection pane="topRight" activeCell="N40" sqref="N40"/>
      <selection pane="bottomLeft" activeCell="N40" sqref="N40"/>
      <selection pane="bottomRight" activeCell="I33" sqref="I33"/>
    </sheetView>
  </sheetViews>
  <sheetFormatPr defaultColWidth="9" defaultRowHeight="13.5"/>
  <cols>
    <col min="1" max="1" width="4.875" style="1" customWidth="1"/>
    <col min="2" max="2" width="30.5" style="1" bestFit="1" customWidth="1"/>
    <col min="3" max="3" width="32.625" style="1" customWidth="1"/>
    <col min="4" max="4" width="10" style="1" bestFit="1" customWidth="1"/>
    <col min="5" max="5" width="15.25" style="1" bestFit="1" customWidth="1"/>
    <col min="6" max="6" width="7.75" style="1" bestFit="1" customWidth="1"/>
    <col min="7" max="7" width="9.5" style="1" bestFit="1" customWidth="1"/>
    <col min="8" max="8" width="10.25" style="1" bestFit="1" customWidth="1"/>
    <col min="9" max="9" width="47.375" style="1" bestFit="1" customWidth="1"/>
    <col min="10" max="16384" width="9" style="1"/>
  </cols>
  <sheetData>
    <row r="1" spans="1:9">
      <c r="A1" s="5" t="s">
        <v>98</v>
      </c>
      <c r="B1" s="5"/>
      <c r="C1" s="5"/>
      <c r="D1" s="5"/>
      <c r="E1" s="5"/>
      <c r="F1" s="5"/>
      <c r="G1" s="5"/>
      <c r="H1" s="5"/>
      <c r="I1" s="5"/>
    </row>
    <row r="2" spans="1:9" ht="14.25" thickBot="1">
      <c r="A2" s="5"/>
      <c r="B2" s="5"/>
      <c r="C2" s="5"/>
      <c r="D2" s="5"/>
      <c r="E2" s="5"/>
      <c r="F2" s="5"/>
      <c r="G2" s="5"/>
      <c r="H2" s="5"/>
      <c r="I2" s="5"/>
    </row>
    <row r="3" spans="1:9" ht="45.75" customHeight="1">
      <c r="A3" s="51" t="s">
        <v>99</v>
      </c>
      <c r="B3" s="52" t="s">
        <v>100</v>
      </c>
      <c r="C3" s="52" t="s">
        <v>101</v>
      </c>
      <c r="D3" s="52" t="s">
        <v>102</v>
      </c>
      <c r="E3" s="52" t="s">
        <v>103</v>
      </c>
      <c r="F3" s="52" t="s">
        <v>104</v>
      </c>
      <c r="G3" s="53" t="s">
        <v>105</v>
      </c>
      <c r="H3" s="54" t="s">
        <v>106</v>
      </c>
      <c r="I3" s="55" t="s">
        <v>107</v>
      </c>
    </row>
    <row r="4" spans="1:9" s="50" customFormat="1">
      <c r="A4" s="239">
        <f t="shared" ref="A4:A43" si="0">ROW() - 3</f>
        <v>1</v>
      </c>
      <c r="B4" s="44" t="s">
        <v>108</v>
      </c>
      <c r="C4" s="44" t="s">
        <v>109</v>
      </c>
      <c r="D4" s="44" t="s">
        <v>110</v>
      </c>
      <c r="E4" s="44">
        <v>1</v>
      </c>
      <c r="F4" s="45" t="s">
        <v>111</v>
      </c>
      <c r="G4" s="44"/>
      <c r="H4" s="44"/>
      <c r="I4" s="240" t="s">
        <v>112</v>
      </c>
    </row>
    <row r="5" spans="1:9" s="46" customFormat="1">
      <c r="A5" s="239">
        <f t="shared" si="0"/>
        <v>2</v>
      </c>
      <c r="B5" s="44" t="s">
        <v>113</v>
      </c>
      <c r="C5" s="44" t="s">
        <v>114</v>
      </c>
      <c r="D5" s="44" t="s">
        <v>110</v>
      </c>
      <c r="E5" s="44">
        <v>10</v>
      </c>
      <c r="F5" s="45" t="s">
        <v>111</v>
      </c>
      <c r="G5" s="44"/>
      <c r="H5" s="44">
        <v>1</v>
      </c>
      <c r="I5" s="240" t="s">
        <v>115</v>
      </c>
    </row>
    <row r="6" spans="1:9" s="46" customFormat="1">
      <c r="A6" s="239">
        <f t="shared" si="0"/>
        <v>3</v>
      </c>
      <c r="B6" s="44" t="s">
        <v>116</v>
      </c>
      <c r="C6" s="44" t="s">
        <v>117</v>
      </c>
      <c r="D6" s="44" t="s">
        <v>110</v>
      </c>
      <c r="E6" s="44">
        <v>10</v>
      </c>
      <c r="F6" s="45" t="s">
        <v>111</v>
      </c>
      <c r="G6" s="44"/>
      <c r="H6" s="44">
        <v>2</v>
      </c>
      <c r="I6" s="240" t="s">
        <v>118</v>
      </c>
    </row>
    <row r="7" spans="1:9" s="46" customFormat="1" ht="27">
      <c r="A7" s="239">
        <f t="shared" si="0"/>
        <v>4</v>
      </c>
      <c r="B7" s="44" t="s">
        <v>119</v>
      </c>
      <c r="C7" s="44" t="s">
        <v>120</v>
      </c>
      <c r="D7" s="44" t="s">
        <v>110</v>
      </c>
      <c r="E7" s="44">
        <v>26</v>
      </c>
      <c r="F7" s="45" t="s">
        <v>111</v>
      </c>
      <c r="G7" s="44"/>
      <c r="H7" s="44">
        <v>3</v>
      </c>
      <c r="I7" s="240" t="s">
        <v>121</v>
      </c>
    </row>
    <row r="8" spans="1:9" s="46" customFormat="1">
      <c r="A8" s="239">
        <f t="shared" si="0"/>
        <v>5</v>
      </c>
      <c r="B8" s="44" t="s">
        <v>122</v>
      </c>
      <c r="C8" s="44" t="s">
        <v>123</v>
      </c>
      <c r="D8" s="44" t="s">
        <v>124</v>
      </c>
      <c r="E8" s="44"/>
      <c r="F8" s="45" t="s">
        <v>125</v>
      </c>
      <c r="G8" s="44"/>
      <c r="H8" s="44">
        <v>4</v>
      </c>
      <c r="I8" s="240" t="s">
        <v>126</v>
      </c>
    </row>
    <row r="9" spans="1:9" s="46" customFormat="1">
      <c r="A9" s="239"/>
      <c r="B9" s="44"/>
      <c r="C9" s="44"/>
      <c r="D9" s="44"/>
      <c r="E9" s="44"/>
      <c r="F9" s="45"/>
      <c r="G9" s="44"/>
      <c r="H9" s="44"/>
      <c r="I9" s="240"/>
    </row>
    <row r="10" spans="1:9" s="46" customFormat="1">
      <c r="A10" s="239"/>
      <c r="B10" s="44"/>
      <c r="C10" s="44"/>
      <c r="D10" s="44"/>
      <c r="E10" s="44"/>
      <c r="F10" s="45"/>
      <c r="G10" s="44"/>
      <c r="H10" s="44"/>
      <c r="I10" s="240"/>
    </row>
    <row r="11" spans="1:9" s="46" customFormat="1">
      <c r="A11" s="239"/>
      <c r="B11" s="44"/>
      <c r="C11" s="44"/>
      <c r="D11" s="44"/>
      <c r="E11" s="44"/>
      <c r="F11" s="45"/>
      <c r="G11" s="44"/>
      <c r="H11" s="44"/>
      <c r="I11" s="240"/>
    </row>
    <row r="12" spans="1:9" s="46" customFormat="1">
      <c r="A12" s="239">
        <f t="shared" si="0"/>
        <v>9</v>
      </c>
      <c r="B12" s="44" t="s">
        <v>127</v>
      </c>
      <c r="C12" s="44" t="s">
        <v>128</v>
      </c>
      <c r="D12" s="44" t="s">
        <v>110</v>
      </c>
      <c r="E12" s="44">
        <v>10</v>
      </c>
      <c r="F12" s="45" t="s">
        <v>111</v>
      </c>
      <c r="G12" s="44"/>
      <c r="H12" s="44"/>
      <c r="I12" s="240" t="s">
        <v>129</v>
      </c>
    </row>
    <row r="13" spans="1:9" s="46" customFormat="1" ht="27">
      <c r="A13" s="239">
        <f t="shared" si="0"/>
        <v>10</v>
      </c>
      <c r="B13" s="44" t="s">
        <v>130</v>
      </c>
      <c r="C13" s="44" t="s">
        <v>131</v>
      </c>
      <c r="D13" s="44" t="s">
        <v>110</v>
      </c>
      <c r="E13" s="44">
        <v>26</v>
      </c>
      <c r="F13" s="45" t="s">
        <v>111</v>
      </c>
      <c r="G13" s="44"/>
      <c r="H13" s="44"/>
      <c r="I13" s="240" t="s">
        <v>132</v>
      </c>
    </row>
    <row r="14" spans="1:9" s="46" customFormat="1">
      <c r="A14" s="239">
        <f t="shared" si="0"/>
        <v>11</v>
      </c>
      <c r="B14" s="44" t="s">
        <v>133</v>
      </c>
      <c r="C14" s="44" t="s">
        <v>134</v>
      </c>
      <c r="D14" s="44" t="s">
        <v>110</v>
      </c>
      <c r="E14" s="44">
        <v>26</v>
      </c>
      <c r="F14" s="45" t="s">
        <v>111</v>
      </c>
      <c r="G14" s="44"/>
      <c r="H14" s="44"/>
      <c r="I14" s="240" t="s">
        <v>135</v>
      </c>
    </row>
    <row r="15" spans="1:9" s="46" customFormat="1" ht="27">
      <c r="A15" s="239">
        <f t="shared" si="0"/>
        <v>12</v>
      </c>
      <c r="B15" s="44" t="s">
        <v>136</v>
      </c>
      <c r="C15" s="44" t="s">
        <v>137</v>
      </c>
      <c r="D15" s="44" t="s">
        <v>110</v>
      </c>
      <c r="E15" s="44">
        <v>50</v>
      </c>
      <c r="F15" s="45"/>
      <c r="G15" s="44"/>
      <c r="H15" s="44"/>
      <c r="I15" s="240" t="s">
        <v>138</v>
      </c>
    </row>
    <row r="16" spans="1:9" s="46" customFormat="1" ht="27">
      <c r="A16" s="239">
        <f t="shared" si="0"/>
        <v>13</v>
      </c>
      <c r="B16" s="44" t="s">
        <v>139</v>
      </c>
      <c r="C16" s="44" t="s">
        <v>140</v>
      </c>
      <c r="D16" s="44" t="s">
        <v>110</v>
      </c>
      <c r="E16" s="44">
        <v>30</v>
      </c>
      <c r="F16" s="45"/>
      <c r="G16" s="44"/>
      <c r="H16" s="44"/>
      <c r="I16" s="240" t="s">
        <v>141</v>
      </c>
    </row>
    <row r="17" spans="1:9" s="46" customFormat="1" ht="27">
      <c r="A17" s="239">
        <f t="shared" si="0"/>
        <v>14</v>
      </c>
      <c r="B17" s="44" t="s">
        <v>142</v>
      </c>
      <c r="C17" s="44" t="s">
        <v>143</v>
      </c>
      <c r="D17" s="44" t="s">
        <v>110</v>
      </c>
      <c r="E17" s="44">
        <v>100</v>
      </c>
      <c r="F17" s="45"/>
      <c r="G17" s="44"/>
      <c r="H17" s="44"/>
      <c r="I17" s="240" t="s">
        <v>144</v>
      </c>
    </row>
    <row r="18" spans="1:9" s="46" customFormat="1">
      <c r="A18" s="239">
        <f t="shared" si="0"/>
        <v>15</v>
      </c>
      <c r="B18" s="44" t="s">
        <v>145</v>
      </c>
      <c r="C18" s="44" t="s">
        <v>146</v>
      </c>
      <c r="D18" s="44" t="s">
        <v>110</v>
      </c>
      <c r="E18" s="44">
        <v>5</v>
      </c>
      <c r="F18" s="45"/>
      <c r="G18" s="44"/>
      <c r="H18" s="44"/>
      <c r="I18" s="240"/>
    </row>
    <row r="19" spans="1:9" s="46" customFormat="1">
      <c r="A19" s="239">
        <f t="shared" si="0"/>
        <v>16</v>
      </c>
      <c r="B19" s="44" t="s">
        <v>147</v>
      </c>
      <c r="C19" s="44" t="s">
        <v>148</v>
      </c>
      <c r="D19" s="44" t="s">
        <v>110</v>
      </c>
      <c r="E19" s="44">
        <v>50</v>
      </c>
      <c r="F19" s="45"/>
      <c r="G19" s="44"/>
      <c r="H19" s="44"/>
      <c r="I19" s="240"/>
    </row>
    <row r="20" spans="1:9" s="46" customFormat="1">
      <c r="A20" s="239">
        <f t="shared" si="0"/>
        <v>17</v>
      </c>
      <c r="B20" s="44" t="s">
        <v>149</v>
      </c>
      <c r="C20" s="44" t="s">
        <v>150</v>
      </c>
      <c r="D20" s="44" t="s">
        <v>151</v>
      </c>
      <c r="E20" s="44"/>
      <c r="F20" s="45" t="s">
        <v>111</v>
      </c>
      <c r="G20" s="44"/>
      <c r="H20" s="44"/>
      <c r="I20" s="240" t="s">
        <v>152</v>
      </c>
    </row>
    <row r="21" spans="1:9" s="46" customFormat="1">
      <c r="A21" s="239">
        <f t="shared" si="0"/>
        <v>18</v>
      </c>
      <c r="B21" s="44" t="s">
        <v>153</v>
      </c>
      <c r="C21" s="44" t="s">
        <v>154</v>
      </c>
      <c r="D21" s="44" t="s">
        <v>151</v>
      </c>
      <c r="E21" s="44"/>
      <c r="F21" s="45"/>
      <c r="G21" s="44"/>
      <c r="H21" s="44"/>
      <c r="I21" s="240"/>
    </row>
    <row r="22" spans="1:9" s="46" customFormat="1" ht="54">
      <c r="A22" s="239">
        <f t="shared" si="0"/>
        <v>19</v>
      </c>
      <c r="B22" s="44" t="s">
        <v>155</v>
      </c>
      <c r="C22" s="44" t="s">
        <v>156</v>
      </c>
      <c r="D22" s="44" t="s">
        <v>151</v>
      </c>
      <c r="E22" s="44"/>
      <c r="F22" s="45"/>
      <c r="G22" s="44"/>
      <c r="H22" s="44"/>
      <c r="I22" s="240" t="s">
        <v>157</v>
      </c>
    </row>
    <row r="23" spans="1:9" s="46" customFormat="1" ht="54">
      <c r="A23" s="239">
        <f t="shared" si="0"/>
        <v>20</v>
      </c>
      <c r="B23" s="44" t="s">
        <v>158</v>
      </c>
      <c r="C23" s="44" t="s">
        <v>159</v>
      </c>
      <c r="D23" s="44" t="s">
        <v>160</v>
      </c>
      <c r="E23" s="44" t="s">
        <v>161</v>
      </c>
      <c r="F23" s="45"/>
      <c r="G23" s="44"/>
      <c r="H23" s="44"/>
      <c r="I23" s="240" t="s">
        <v>162</v>
      </c>
    </row>
    <row r="24" spans="1:9" s="46" customFormat="1" ht="148.5">
      <c r="A24" s="239">
        <f t="shared" si="0"/>
        <v>21</v>
      </c>
      <c r="B24" s="44" t="s">
        <v>163</v>
      </c>
      <c r="C24" s="44" t="s">
        <v>164</v>
      </c>
      <c r="D24" s="44" t="s">
        <v>110</v>
      </c>
      <c r="E24" s="44">
        <v>2</v>
      </c>
      <c r="F24" s="45"/>
      <c r="G24" s="44"/>
      <c r="H24" s="44"/>
      <c r="I24" s="240" t="s">
        <v>165</v>
      </c>
    </row>
    <row r="25" spans="1:9" s="46" customFormat="1" ht="27">
      <c r="A25" s="239">
        <f t="shared" si="0"/>
        <v>22</v>
      </c>
      <c r="B25" s="44" t="s">
        <v>166</v>
      </c>
      <c r="C25" s="44" t="s">
        <v>167</v>
      </c>
      <c r="D25" s="44" t="s">
        <v>168</v>
      </c>
      <c r="E25" s="44"/>
      <c r="F25" s="45" t="s">
        <v>111</v>
      </c>
      <c r="G25" s="44"/>
      <c r="H25" s="44"/>
      <c r="I25" s="240" t="s">
        <v>169</v>
      </c>
    </row>
    <row r="26" spans="1:9" s="46" customFormat="1">
      <c r="A26" s="239">
        <f t="shared" si="0"/>
        <v>23</v>
      </c>
      <c r="B26" s="44" t="s">
        <v>170</v>
      </c>
      <c r="C26" s="44" t="s">
        <v>171</v>
      </c>
      <c r="D26" s="44" t="s">
        <v>160</v>
      </c>
      <c r="E26" s="44" t="s">
        <v>172</v>
      </c>
      <c r="F26" s="45"/>
      <c r="G26" s="44"/>
      <c r="H26" s="44"/>
      <c r="I26" s="240"/>
    </row>
    <row r="27" spans="1:9" s="46" customFormat="1">
      <c r="A27" s="239">
        <f t="shared" si="0"/>
        <v>24</v>
      </c>
      <c r="B27" s="44" t="s">
        <v>173</v>
      </c>
      <c r="C27" s="44" t="s">
        <v>174</v>
      </c>
      <c r="D27" s="44" t="s">
        <v>160</v>
      </c>
      <c r="E27" s="44" t="s">
        <v>175</v>
      </c>
      <c r="F27" s="45"/>
      <c r="G27" s="44"/>
      <c r="H27" s="44"/>
      <c r="I27" s="240"/>
    </row>
    <row r="28" spans="1:9" s="46" customFormat="1" ht="54">
      <c r="A28" s="239">
        <f t="shared" si="0"/>
        <v>25</v>
      </c>
      <c r="B28" s="44" t="s">
        <v>176</v>
      </c>
      <c r="C28" s="44" t="s">
        <v>177</v>
      </c>
      <c r="D28" s="44" t="s">
        <v>178</v>
      </c>
      <c r="E28" s="44"/>
      <c r="F28" s="45"/>
      <c r="G28" s="44"/>
      <c r="H28" s="44"/>
      <c r="I28" s="240" t="s">
        <v>179</v>
      </c>
    </row>
    <row r="29" spans="1:9" s="46" customFormat="1" ht="54">
      <c r="A29" s="278">
        <f t="shared" si="0"/>
        <v>26</v>
      </c>
      <c r="B29" s="279" t="s">
        <v>180</v>
      </c>
      <c r="C29" s="279" t="s">
        <v>181</v>
      </c>
      <c r="D29" s="279" t="s">
        <v>178</v>
      </c>
      <c r="E29" s="279"/>
      <c r="F29" s="280"/>
      <c r="G29" s="279"/>
      <c r="H29" s="279"/>
      <c r="I29" s="281" t="s">
        <v>182</v>
      </c>
    </row>
    <row r="30" spans="1:9" s="46" customFormat="1" ht="54">
      <c r="A30" s="239">
        <f t="shared" si="0"/>
        <v>27</v>
      </c>
      <c r="B30" s="44" t="s">
        <v>183</v>
      </c>
      <c r="C30" s="44" t="s">
        <v>184</v>
      </c>
      <c r="D30" s="44" t="s">
        <v>178</v>
      </c>
      <c r="E30" s="44"/>
      <c r="F30" s="45"/>
      <c r="G30" s="44"/>
      <c r="H30" s="44"/>
      <c r="I30" s="240" t="s">
        <v>185</v>
      </c>
    </row>
    <row r="31" spans="1:9" s="46" customFormat="1" ht="54">
      <c r="A31" s="278">
        <f t="shared" si="0"/>
        <v>28</v>
      </c>
      <c r="B31" s="279" t="s">
        <v>186</v>
      </c>
      <c r="C31" s="279" t="s">
        <v>187</v>
      </c>
      <c r="D31" s="279" t="s">
        <v>178</v>
      </c>
      <c r="E31" s="279"/>
      <c r="F31" s="280"/>
      <c r="G31" s="279"/>
      <c r="H31" s="279"/>
      <c r="I31" s="281" t="s">
        <v>188</v>
      </c>
    </row>
    <row r="32" spans="1:9" s="46" customFormat="1" ht="54">
      <c r="A32" s="239">
        <f t="shared" si="0"/>
        <v>29</v>
      </c>
      <c r="B32" s="44" t="s">
        <v>189</v>
      </c>
      <c r="C32" s="44" t="s">
        <v>190</v>
      </c>
      <c r="D32" s="44" t="s">
        <v>178</v>
      </c>
      <c r="E32" s="44"/>
      <c r="F32" s="45" t="s">
        <v>111</v>
      </c>
      <c r="G32" s="44"/>
      <c r="H32" s="44"/>
      <c r="I32" s="240" t="s">
        <v>191</v>
      </c>
    </row>
    <row r="33" spans="1:9" s="46" customFormat="1" ht="40.5">
      <c r="A33" s="239">
        <f t="shared" si="0"/>
        <v>30</v>
      </c>
      <c r="B33" s="44" t="s">
        <v>192</v>
      </c>
      <c r="C33" s="44" t="s">
        <v>193</v>
      </c>
      <c r="D33" s="44" t="s">
        <v>178</v>
      </c>
      <c r="E33" s="44"/>
      <c r="F33" s="45"/>
      <c r="G33" s="44"/>
      <c r="H33" s="44"/>
      <c r="I33" s="240" t="s">
        <v>194</v>
      </c>
    </row>
    <row r="34" spans="1:9" s="46" customFormat="1" ht="67.5">
      <c r="A34" s="278">
        <f t="shared" si="0"/>
        <v>31</v>
      </c>
      <c r="B34" s="279" t="s">
        <v>195</v>
      </c>
      <c r="C34" s="279" t="s">
        <v>196</v>
      </c>
      <c r="D34" s="279" t="s">
        <v>178</v>
      </c>
      <c r="E34" s="279"/>
      <c r="F34" s="280"/>
      <c r="G34" s="279"/>
      <c r="H34" s="279"/>
      <c r="I34" s="281" t="s">
        <v>197</v>
      </c>
    </row>
    <row r="35" spans="1:9" s="46" customFormat="1" ht="121.5">
      <c r="A35" s="239">
        <f t="shared" si="0"/>
        <v>32</v>
      </c>
      <c r="B35" s="44" t="s">
        <v>198</v>
      </c>
      <c r="C35" s="44" t="s">
        <v>199</v>
      </c>
      <c r="D35" s="44" t="s">
        <v>110</v>
      </c>
      <c r="E35" s="44">
        <v>2</v>
      </c>
      <c r="F35" s="45"/>
      <c r="G35" s="44"/>
      <c r="H35" s="44"/>
      <c r="I35" s="240" t="s">
        <v>200</v>
      </c>
    </row>
    <row r="36" spans="1:9" s="46" customFormat="1" ht="67.5">
      <c r="A36" s="239">
        <f t="shared" si="0"/>
        <v>33</v>
      </c>
      <c r="B36" s="44" t="s">
        <v>201</v>
      </c>
      <c r="C36" s="44" t="s">
        <v>202</v>
      </c>
      <c r="D36" s="44" t="s">
        <v>160</v>
      </c>
      <c r="E36" s="44" t="s">
        <v>203</v>
      </c>
      <c r="F36" s="45"/>
      <c r="G36" s="44"/>
      <c r="H36" s="44"/>
      <c r="I36" s="240" t="s">
        <v>204</v>
      </c>
    </row>
    <row r="37" spans="1:9" s="46" customFormat="1" ht="40.5">
      <c r="A37" s="239">
        <f t="shared" si="0"/>
        <v>34</v>
      </c>
      <c r="B37" s="44" t="s">
        <v>205</v>
      </c>
      <c r="C37" s="44" t="s">
        <v>206</v>
      </c>
      <c r="D37" s="44" t="s">
        <v>178</v>
      </c>
      <c r="E37" s="44"/>
      <c r="F37" s="45"/>
      <c r="G37" s="44"/>
      <c r="H37" s="44"/>
      <c r="I37" s="240" t="s">
        <v>207</v>
      </c>
    </row>
    <row r="38" spans="1:9" s="46" customFormat="1" ht="40.5">
      <c r="A38" s="239">
        <f>ROW() - 3</f>
        <v>35</v>
      </c>
      <c r="B38" s="44" t="s">
        <v>208</v>
      </c>
      <c r="C38" s="44" t="s">
        <v>209</v>
      </c>
      <c r="D38" s="44" t="s">
        <v>210</v>
      </c>
      <c r="E38" s="44"/>
      <c r="F38" s="45" t="s">
        <v>111</v>
      </c>
      <c r="G38" s="44"/>
      <c r="H38" s="44"/>
      <c r="I38" s="240" t="s">
        <v>211</v>
      </c>
    </row>
    <row r="39" spans="1:9" s="46" customFormat="1" ht="54">
      <c r="A39" s="239">
        <f t="shared" si="0"/>
        <v>36</v>
      </c>
      <c r="B39" s="44" t="s">
        <v>212</v>
      </c>
      <c r="C39" s="44" t="s">
        <v>213</v>
      </c>
      <c r="D39" s="44" t="s">
        <v>168</v>
      </c>
      <c r="E39" s="44"/>
      <c r="F39" s="45"/>
      <c r="G39" s="44"/>
      <c r="H39" s="44"/>
      <c r="I39" s="240" t="s">
        <v>214</v>
      </c>
    </row>
    <row r="40" spans="1:9" s="46" customFormat="1" ht="40.5">
      <c r="A40" s="239">
        <f t="shared" si="0"/>
        <v>37</v>
      </c>
      <c r="B40" s="44" t="s">
        <v>215</v>
      </c>
      <c r="C40" s="44" t="s">
        <v>216</v>
      </c>
      <c r="D40" s="44" t="s">
        <v>178</v>
      </c>
      <c r="E40" s="44"/>
      <c r="F40" s="45"/>
      <c r="G40" s="44"/>
      <c r="H40" s="44"/>
      <c r="I40" s="240" t="s">
        <v>217</v>
      </c>
    </row>
    <row r="41" spans="1:9" s="46" customFormat="1" ht="54">
      <c r="A41" s="239">
        <f t="shared" si="0"/>
        <v>38</v>
      </c>
      <c r="B41" s="44" t="s">
        <v>218</v>
      </c>
      <c r="C41" s="44" t="s">
        <v>219</v>
      </c>
      <c r="D41" s="44" t="s">
        <v>178</v>
      </c>
      <c r="E41" s="44"/>
      <c r="F41" s="45"/>
      <c r="G41" s="44"/>
      <c r="H41" s="44"/>
      <c r="I41" s="240" t="s">
        <v>220</v>
      </c>
    </row>
    <row r="42" spans="1:9" s="46" customFormat="1" ht="40.5">
      <c r="A42" s="239">
        <f t="shared" si="0"/>
        <v>39</v>
      </c>
      <c r="B42" s="44" t="s">
        <v>221</v>
      </c>
      <c r="C42" s="44" t="s">
        <v>222</v>
      </c>
      <c r="D42" s="44" t="s">
        <v>178</v>
      </c>
      <c r="E42" s="44"/>
      <c r="F42" s="45"/>
      <c r="G42" s="44"/>
      <c r="H42" s="44"/>
      <c r="I42" s="240" t="s">
        <v>223</v>
      </c>
    </row>
    <row r="43" spans="1:9" s="46" customFormat="1" ht="14.25" thickBot="1">
      <c r="A43" s="243">
        <f t="shared" si="0"/>
        <v>40</v>
      </c>
      <c r="B43" s="244" t="s">
        <v>224</v>
      </c>
      <c r="C43" s="244" t="s">
        <v>225</v>
      </c>
      <c r="D43" s="244" t="s">
        <v>226</v>
      </c>
      <c r="E43" s="244">
        <v>7</v>
      </c>
      <c r="F43" s="245"/>
      <c r="G43" s="244"/>
      <c r="H43" s="244"/>
      <c r="I43" s="248" t="s">
        <v>227</v>
      </c>
    </row>
    <row r="44" spans="1:9" s="46" customFormat="1"/>
  </sheetData>
  <phoneticPr fontId="6"/>
  <pageMargins left="0.19685039370078741" right="0.19685039370078741" top="0.23622047244094491" bottom="0.19685039370078741" header="0.19685039370078741" footer="0.11811023622047245"/>
  <pageSetup paperSize="9" scale="44" fitToHeight="0" orientation="landscape" r:id="rId1"/>
  <headerFooter alignWithMargins="0">
    <oddFooter>&amp;C&amp;"Times New Roman,標準"&amp;10&amp;P/&amp;N&amp;R&amp;"Times New Roman,標準"&amp;9Copyright(C) 2017-2018 VINX Corporation. All Rights Reserved.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1E6CE-6A46-4DE2-9941-E90FE12822A9}">
  <sheetPr>
    <pageSetUpPr fitToPage="1"/>
  </sheetPr>
  <dimension ref="A1:I12"/>
  <sheetViews>
    <sheetView zoomScale="115" zoomScaleNormal="115" workbookViewId="0">
      <pane xSplit="3" ySplit="1" topLeftCell="D2" activePane="bottomRight" state="frozen"/>
      <selection pane="topRight" activeCell="N40" sqref="N40"/>
      <selection pane="bottomLeft" activeCell="N40" sqref="N40"/>
      <selection pane="bottomRight" activeCell="D2" sqref="D2"/>
    </sheetView>
  </sheetViews>
  <sheetFormatPr defaultColWidth="9" defaultRowHeight="13.5"/>
  <cols>
    <col min="1" max="1" width="4.875" style="46" customWidth="1"/>
    <col min="2" max="2" width="30.5" style="46" bestFit="1" customWidth="1"/>
    <col min="3" max="3" width="32.625" style="46" customWidth="1"/>
    <col min="4" max="4" width="10" style="46" bestFit="1" customWidth="1"/>
    <col min="5" max="5" width="15.25" style="46" bestFit="1" customWidth="1"/>
    <col min="6" max="6" width="7.75" style="46" bestFit="1" customWidth="1"/>
    <col min="7" max="7" width="9.5" style="46" bestFit="1" customWidth="1"/>
    <col min="8" max="8" width="10.25" style="46" bestFit="1" customWidth="1"/>
    <col min="9" max="9" width="47.375" style="46" bestFit="1" customWidth="1"/>
    <col min="10" max="16384" width="9" style="46"/>
  </cols>
  <sheetData>
    <row r="1" spans="1:9">
      <c r="A1" s="46" t="s">
        <v>228</v>
      </c>
    </row>
    <row r="2" spans="1:9" ht="14.25" thickBot="1"/>
    <row r="3" spans="1:9" ht="32.25" customHeight="1">
      <c r="A3" s="51" t="s">
        <v>99</v>
      </c>
      <c r="B3" s="52" t="s">
        <v>100</v>
      </c>
      <c r="C3" s="52" t="s">
        <v>101</v>
      </c>
      <c r="D3" s="52" t="s">
        <v>102</v>
      </c>
      <c r="E3" s="52" t="s">
        <v>103</v>
      </c>
      <c r="F3" s="52" t="s">
        <v>104</v>
      </c>
      <c r="G3" s="53" t="s">
        <v>105</v>
      </c>
      <c r="H3" s="54" t="s">
        <v>106</v>
      </c>
      <c r="I3" s="55" t="s">
        <v>107</v>
      </c>
    </row>
    <row r="4" spans="1:9" s="50" customFormat="1">
      <c r="A4" s="239">
        <f t="shared" ref="A4" si="0">ROW() - 3</f>
        <v>1</v>
      </c>
      <c r="B4" s="44" t="s">
        <v>108</v>
      </c>
      <c r="C4" s="44" t="s">
        <v>109</v>
      </c>
      <c r="D4" s="44" t="s">
        <v>110</v>
      </c>
      <c r="E4" s="44">
        <v>1</v>
      </c>
      <c r="F4" s="45" t="s">
        <v>111</v>
      </c>
      <c r="G4" s="44"/>
      <c r="H4" s="44"/>
      <c r="I4" s="240" t="s">
        <v>112</v>
      </c>
    </row>
    <row r="5" spans="1:9">
      <c r="A5" s="77">
        <f>ROW() -3</f>
        <v>2</v>
      </c>
      <c r="B5" s="44" t="s">
        <v>113</v>
      </c>
      <c r="C5" s="47" t="s">
        <v>114</v>
      </c>
      <c r="D5" s="48" t="s">
        <v>110</v>
      </c>
      <c r="E5" s="44">
        <v>10</v>
      </c>
      <c r="F5" s="45" t="s">
        <v>111</v>
      </c>
      <c r="G5" s="44"/>
      <c r="H5" s="44">
        <v>1</v>
      </c>
      <c r="I5" s="97" t="s">
        <v>229</v>
      </c>
    </row>
    <row r="6" spans="1:9">
      <c r="A6" s="77">
        <f t="shared" ref="A6:A12" si="1">ROW() -3</f>
        <v>3</v>
      </c>
      <c r="B6" s="44" t="s">
        <v>116</v>
      </c>
      <c r="C6" s="47" t="s">
        <v>117</v>
      </c>
      <c r="D6" s="48" t="s">
        <v>110</v>
      </c>
      <c r="E6" s="44">
        <v>10</v>
      </c>
      <c r="F6" s="45" t="s">
        <v>111</v>
      </c>
      <c r="G6" s="44"/>
      <c r="H6" s="44">
        <v>2</v>
      </c>
      <c r="I6" s="97" t="s">
        <v>230</v>
      </c>
    </row>
    <row r="7" spans="1:9">
      <c r="A7" s="77">
        <f t="shared" si="1"/>
        <v>4</v>
      </c>
      <c r="B7" s="44" t="s">
        <v>119</v>
      </c>
      <c r="C7" s="47" t="s">
        <v>120</v>
      </c>
      <c r="D7" s="48" t="s">
        <v>110</v>
      </c>
      <c r="E7" s="44">
        <v>26</v>
      </c>
      <c r="F7" s="45" t="s">
        <v>111</v>
      </c>
      <c r="G7" s="44"/>
      <c r="H7" s="44">
        <v>3</v>
      </c>
      <c r="I7" s="97"/>
    </row>
    <row r="8" spans="1:9">
      <c r="A8" s="77">
        <f t="shared" si="1"/>
        <v>5</v>
      </c>
      <c r="B8" s="44" t="s">
        <v>122</v>
      </c>
      <c r="C8" s="47" t="s">
        <v>123</v>
      </c>
      <c r="D8" s="48" t="s">
        <v>124</v>
      </c>
      <c r="E8" s="44"/>
      <c r="F8" s="45" t="s">
        <v>125</v>
      </c>
      <c r="G8" s="44"/>
      <c r="H8" s="44">
        <v>4</v>
      </c>
      <c r="I8" s="97"/>
    </row>
    <row r="9" spans="1:9">
      <c r="A9" s="77">
        <f t="shared" si="1"/>
        <v>6</v>
      </c>
      <c r="B9" s="44" t="s">
        <v>231</v>
      </c>
      <c r="C9" s="47" t="s">
        <v>232</v>
      </c>
      <c r="D9" s="48" t="s">
        <v>160</v>
      </c>
      <c r="E9" s="44" t="s">
        <v>233</v>
      </c>
      <c r="F9" s="45"/>
      <c r="G9" s="44"/>
      <c r="H9" s="44"/>
      <c r="I9" s="97" t="s">
        <v>234</v>
      </c>
    </row>
    <row r="10" spans="1:9">
      <c r="A10" s="77">
        <f t="shared" si="1"/>
        <v>7</v>
      </c>
      <c r="B10" s="44" t="s">
        <v>235</v>
      </c>
      <c r="C10" s="47" t="s">
        <v>236</v>
      </c>
      <c r="D10" s="48" t="s">
        <v>110</v>
      </c>
      <c r="E10" s="44">
        <v>1</v>
      </c>
      <c r="F10" s="45"/>
      <c r="G10" s="44"/>
      <c r="H10" s="44"/>
      <c r="I10" s="97" t="s">
        <v>237</v>
      </c>
    </row>
    <row r="11" spans="1:9">
      <c r="A11" s="77">
        <f t="shared" si="1"/>
        <v>8</v>
      </c>
      <c r="B11" s="44" t="s">
        <v>238</v>
      </c>
      <c r="C11" s="47" t="s">
        <v>239</v>
      </c>
      <c r="D11" s="48" t="s">
        <v>178</v>
      </c>
      <c r="E11" s="44"/>
      <c r="F11" s="45" t="s">
        <v>111</v>
      </c>
      <c r="G11" s="44"/>
      <c r="H11" s="44"/>
      <c r="I11" s="97"/>
    </row>
    <row r="12" spans="1:9" ht="14.25" thickBot="1">
      <c r="A12" s="78">
        <f t="shared" si="1"/>
        <v>9</v>
      </c>
      <c r="B12" s="244" t="s">
        <v>224</v>
      </c>
      <c r="C12" s="247" t="s">
        <v>225</v>
      </c>
      <c r="D12" s="244" t="s">
        <v>226</v>
      </c>
      <c r="E12" s="244">
        <v>7</v>
      </c>
      <c r="F12" s="245"/>
      <c r="G12" s="244"/>
      <c r="H12" s="244"/>
      <c r="I12" s="248"/>
    </row>
  </sheetData>
  <phoneticPr fontId="5"/>
  <pageMargins left="0.19685039370078741" right="0.19685039370078741" top="0.23622047244094491" bottom="0.19685039370078741" header="0.19685039370078741" footer="0.11811023622047245"/>
  <pageSetup paperSize="9" scale="44" fitToHeight="0" orientation="landscape" r:id="rId1"/>
  <headerFooter alignWithMargins="0">
    <oddFooter>&amp;C&amp;"Times New Roman,標準"&amp;10&amp;P/&amp;N&amp;R&amp;"Times New Roman,標準"&amp;9Copyright(C) 2017-2018 VINX Corporation. All Rights Reserved.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27"/>
  <sheetViews>
    <sheetView zoomScale="115" zoomScaleNormal="115" workbookViewId="0">
      <pane xSplit="3" ySplit="3" topLeftCell="D4" activePane="bottomRight" state="frozen"/>
      <selection pane="topRight" activeCell="AY30" sqref="AY30"/>
      <selection pane="bottomLeft" activeCell="AY30" sqref="AY30"/>
      <selection pane="bottomRight" activeCell="D4" sqref="D4"/>
    </sheetView>
  </sheetViews>
  <sheetFormatPr defaultColWidth="9" defaultRowHeight="13.5"/>
  <cols>
    <col min="1" max="1" width="4.625" style="1" customWidth="1"/>
    <col min="2" max="2" width="26.875" style="1" customWidth="1"/>
    <col min="3" max="3" width="26.5" style="1" customWidth="1"/>
    <col min="4" max="5" width="13.625" style="1" customWidth="1"/>
    <col min="6" max="6" width="9" style="1"/>
    <col min="7" max="7" width="10.375" style="1" bestFit="1" customWidth="1"/>
    <col min="8" max="8" width="9" style="1"/>
    <col min="9" max="9" width="40.25" style="1" customWidth="1"/>
    <col min="10" max="16384" width="9" style="1"/>
  </cols>
  <sheetData>
    <row r="1" spans="1:9">
      <c r="A1" s="1" t="s">
        <v>240</v>
      </c>
    </row>
    <row r="2" spans="1:9" ht="14.25" thickBot="1"/>
    <row r="3" spans="1:9" ht="43.5" customHeight="1">
      <c r="A3" s="51" t="s">
        <v>99</v>
      </c>
      <c r="B3" s="52" t="s">
        <v>100</v>
      </c>
      <c r="C3" s="52" t="s">
        <v>101</v>
      </c>
      <c r="D3" s="52" t="s">
        <v>102</v>
      </c>
      <c r="E3" s="52" t="s">
        <v>103</v>
      </c>
      <c r="F3" s="52" t="s">
        <v>104</v>
      </c>
      <c r="G3" s="53" t="s">
        <v>105</v>
      </c>
      <c r="H3" s="54" t="s">
        <v>106</v>
      </c>
      <c r="I3" s="55" t="s">
        <v>107</v>
      </c>
    </row>
    <row r="4" spans="1:9" s="50" customFormat="1">
      <c r="A4" s="239">
        <f t="shared" ref="A4" si="0">ROW() - 3</f>
        <v>1</v>
      </c>
      <c r="B4" s="44" t="s">
        <v>108</v>
      </c>
      <c r="C4" s="44" t="s">
        <v>109</v>
      </c>
      <c r="D4" s="44" t="s">
        <v>110</v>
      </c>
      <c r="E4" s="44">
        <v>1</v>
      </c>
      <c r="F4" s="45" t="s">
        <v>111</v>
      </c>
      <c r="G4" s="44"/>
      <c r="H4" s="44"/>
      <c r="I4" s="240" t="s">
        <v>112</v>
      </c>
    </row>
    <row r="5" spans="1:9" s="46" customFormat="1">
      <c r="A5" s="239">
        <f>ROW() - 3</f>
        <v>2</v>
      </c>
      <c r="B5" s="44" t="s">
        <v>113</v>
      </c>
      <c r="C5" s="44" t="s">
        <v>114</v>
      </c>
      <c r="D5" s="44" t="s">
        <v>110</v>
      </c>
      <c r="E5" s="44">
        <v>10</v>
      </c>
      <c r="F5" s="45" t="s">
        <v>111</v>
      </c>
      <c r="G5" s="44"/>
      <c r="H5" s="44">
        <v>1</v>
      </c>
      <c r="I5" s="240" t="s">
        <v>115</v>
      </c>
    </row>
    <row r="6" spans="1:9" s="46" customFormat="1">
      <c r="A6" s="239">
        <f t="shared" ref="A6:A27" si="1">ROW() - 3</f>
        <v>3</v>
      </c>
      <c r="B6" s="44" t="s">
        <v>116</v>
      </c>
      <c r="C6" s="44" t="s">
        <v>117</v>
      </c>
      <c r="D6" s="44" t="s">
        <v>110</v>
      </c>
      <c r="E6" s="44">
        <v>10</v>
      </c>
      <c r="F6" s="45" t="s">
        <v>111</v>
      </c>
      <c r="G6" s="44"/>
      <c r="H6" s="44">
        <v>2</v>
      </c>
      <c r="I6" s="240" t="s">
        <v>118</v>
      </c>
    </row>
    <row r="7" spans="1:9" s="46" customFormat="1">
      <c r="A7" s="239">
        <f t="shared" si="1"/>
        <v>4</v>
      </c>
      <c r="B7" s="44" t="s">
        <v>241</v>
      </c>
      <c r="C7" s="44" t="s">
        <v>242</v>
      </c>
      <c r="D7" s="44" t="s">
        <v>110</v>
      </c>
      <c r="E7" s="44">
        <v>10</v>
      </c>
      <c r="F7" s="45" t="s">
        <v>111</v>
      </c>
      <c r="G7" s="44"/>
      <c r="H7" s="44">
        <v>3</v>
      </c>
      <c r="I7" s="240" t="s">
        <v>243</v>
      </c>
    </row>
    <row r="8" spans="1:9" s="46" customFormat="1" ht="67.5">
      <c r="A8" s="239">
        <f t="shared" si="1"/>
        <v>5</v>
      </c>
      <c r="B8" s="44" t="s">
        <v>244</v>
      </c>
      <c r="C8" s="44" t="s">
        <v>245</v>
      </c>
      <c r="D8" s="44" t="s">
        <v>168</v>
      </c>
      <c r="E8" s="44"/>
      <c r="F8" s="45" t="s">
        <v>125</v>
      </c>
      <c r="G8" s="44"/>
      <c r="H8" s="44">
        <v>4</v>
      </c>
      <c r="I8" s="240" t="s">
        <v>246</v>
      </c>
    </row>
    <row r="9" spans="1:9" s="46" customFormat="1">
      <c r="A9" s="239">
        <f t="shared" si="1"/>
        <v>6</v>
      </c>
      <c r="B9" s="44" t="s">
        <v>122</v>
      </c>
      <c r="C9" s="44" t="s">
        <v>123</v>
      </c>
      <c r="D9" s="44" t="s">
        <v>124</v>
      </c>
      <c r="E9" s="44"/>
      <c r="F9" s="45" t="s">
        <v>125</v>
      </c>
      <c r="G9" s="44"/>
      <c r="H9" s="44">
        <v>5</v>
      </c>
      <c r="I9" s="240" t="s">
        <v>247</v>
      </c>
    </row>
    <row r="10" spans="1:9" s="46" customFormat="1" ht="40.5">
      <c r="A10" s="239">
        <f t="shared" si="1"/>
        <v>7</v>
      </c>
      <c r="B10" s="44" t="s">
        <v>127</v>
      </c>
      <c r="C10" s="44" t="s">
        <v>128</v>
      </c>
      <c r="D10" s="44" t="s">
        <v>110</v>
      </c>
      <c r="E10" s="44">
        <v>10</v>
      </c>
      <c r="F10" s="45"/>
      <c r="G10" s="44"/>
      <c r="H10" s="44"/>
      <c r="I10" s="240" t="s">
        <v>248</v>
      </c>
    </row>
    <row r="11" spans="1:9" s="46" customFormat="1" ht="54">
      <c r="A11" s="239">
        <f t="shared" si="1"/>
        <v>8</v>
      </c>
      <c r="B11" s="44" t="s">
        <v>249</v>
      </c>
      <c r="C11" s="44" t="s">
        <v>250</v>
      </c>
      <c r="D11" s="44" t="s">
        <v>168</v>
      </c>
      <c r="E11" s="44"/>
      <c r="F11" s="45"/>
      <c r="G11" s="44"/>
      <c r="H11" s="44"/>
      <c r="I11" s="240" t="s">
        <v>251</v>
      </c>
    </row>
    <row r="12" spans="1:9" s="46" customFormat="1">
      <c r="A12" s="239">
        <f t="shared" si="1"/>
        <v>9</v>
      </c>
      <c r="B12" s="44" t="s">
        <v>136</v>
      </c>
      <c r="C12" s="44" t="s">
        <v>137</v>
      </c>
      <c r="D12" s="44" t="s">
        <v>110</v>
      </c>
      <c r="E12" s="44">
        <v>50</v>
      </c>
      <c r="F12" s="45"/>
      <c r="G12" s="44"/>
      <c r="H12" s="44"/>
      <c r="I12" s="240" t="s">
        <v>252</v>
      </c>
    </row>
    <row r="13" spans="1:9" s="46" customFormat="1">
      <c r="A13" s="239">
        <f t="shared" si="1"/>
        <v>10</v>
      </c>
      <c r="B13" s="44" t="s">
        <v>139</v>
      </c>
      <c r="C13" s="44" t="s">
        <v>140</v>
      </c>
      <c r="D13" s="44" t="s">
        <v>110</v>
      </c>
      <c r="E13" s="44">
        <v>25</v>
      </c>
      <c r="F13" s="45"/>
      <c r="G13" s="44"/>
      <c r="H13" s="44"/>
      <c r="I13" s="240" t="s">
        <v>253</v>
      </c>
    </row>
    <row r="14" spans="1:9" s="46" customFormat="1" ht="148.5">
      <c r="A14" s="239">
        <f t="shared" si="1"/>
        <v>11</v>
      </c>
      <c r="B14" s="44" t="s">
        <v>163</v>
      </c>
      <c r="C14" s="44" t="s">
        <v>164</v>
      </c>
      <c r="D14" s="44" t="s">
        <v>110</v>
      </c>
      <c r="E14" s="44">
        <v>2</v>
      </c>
      <c r="F14" s="45"/>
      <c r="G14" s="44"/>
      <c r="H14" s="44"/>
      <c r="I14" s="240" t="s">
        <v>165</v>
      </c>
    </row>
    <row r="15" spans="1:9" s="46" customFormat="1">
      <c r="A15" s="239">
        <f t="shared" si="1"/>
        <v>12</v>
      </c>
      <c r="B15" s="44" t="s">
        <v>158</v>
      </c>
      <c r="C15" s="44" t="s">
        <v>159</v>
      </c>
      <c r="D15" s="44" t="s">
        <v>160</v>
      </c>
      <c r="E15" s="44" t="s">
        <v>161</v>
      </c>
      <c r="F15" s="45"/>
      <c r="G15" s="44"/>
      <c r="H15" s="44"/>
      <c r="I15" s="240"/>
    </row>
    <row r="16" spans="1:9" s="46" customFormat="1" ht="54">
      <c r="A16" s="239">
        <f t="shared" si="1"/>
        <v>13</v>
      </c>
      <c r="B16" s="44" t="s">
        <v>254</v>
      </c>
      <c r="C16" s="44" t="s">
        <v>255</v>
      </c>
      <c r="D16" s="44" t="s">
        <v>110</v>
      </c>
      <c r="E16" s="44">
        <v>2</v>
      </c>
      <c r="F16" s="45"/>
      <c r="G16" s="44"/>
      <c r="H16" s="44"/>
      <c r="I16" s="240" t="s">
        <v>256</v>
      </c>
    </row>
    <row r="17" spans="1:9" s="46" customFormat="1" ht="54">
      <c r="A17" s="239">
        <f t="shared" si="1"/>
        <v>14</v>
      </c>
      <c r="B17" s="44" t="s">
        <v>176</v>
      </c>
      <c r="C17" s="44" t="s">
        <v>177</v>
      </c>
      <c r="D17" s="44" t="s">
        <v>178</v>
      </c>
      <c r="E17" s="44"/>
      <c r="F17" s="45"/>
      <c r="G17" s="44"/>
      <c r="H17" s="44"/>
      <c r="I17" s="240" t="s">
        <v>257</v>
      </c>
    </row>
    <row r="18" spans="1:9" s="46" customFormat="1" ht="54">
      <c r="A18" s="239">
        <f t="shared" si="1"/>
        <v>15</v>
      </c>
      <c r="B18" s="44" t="s">
        <v>180</v>
      </c>
      <c r="C18" s="44" t="s">
        <v>181</v>
      </c>
      <c r="D18" s="44" t="s">
        <v>178</v>
      </c>
      <c r="E18" s="44"/>
      <c r="F18" s="45"/>
      <c r="G18" s="44"/>
      <c r="H18" s="44"/>
      <c r="I18" s="240" t="s">
        <v>258</v>
      </c>
    </row>
    <row r="19" spans="1:9" s="46" customFormat="1" ht="67.5">
      <c r="A19" s="239">
        <f t="shared" si="1"/>
        <v>16</v>
      </c>
      <c r="B19" s="44" t="s">
        <v>183</v>
      </c>
      <c r="C19" s="44" t="s">
        <v>184</v>
      </c>
      <c r="D19" s="44" t="s">
        <v>178</v>
      </c>
      <c r="E19" s="44"/>
      <c r="F19" s="45"/>
      <c r="G19" s="44"/>
      <c r="H19" s="44"/>
      <c r="I19" s="240" t="s">
        <v>259</v>
      </c>
    </row>
    <row r="20" spans="1:9" s="46" customFormat="1" ht="67.5">
      <c r="A20" s="239">
        <f t="shared" si="1"/>
        <v>17</v>
      </c>
      <c r="B20" s="44" t="s">
        <v>186</v>
      </c>
      <c r="C20" s="44" t="s">
        <v>187</v>
      </c>
      <c r="D20" s="44" t="s">
        <v>178</v>
      </c>
      <c r="E20" s="44"/>
      <c r="F20" s="45"/>
      <c r="G20" s="44"/>
      <c r="H20" s="44"/>
      <c r="I20" s="240" t="s">
        <v>260</v>
      </c>
    </row>
    <row r="21" spans="1:9" s="46" customFormat="1" ht="135">
      <c r="A21" s="239">
        <f t="shared" si="1"/>
        <v>18</v>
      </c>
      <c r="B21" s="44" t="s">
        <v>198</v>
      </c>
      <c r="C21" s="44" t="s">
        <v>199</v>
      </c>
      <c r="D21" s="44" t="s">
        <v>110</v>
      </c>
      <c r="E21" s="44">
        <v>2</v>
      </c>
      <c r="F21" s="45"/>
      <c r="G21" s="44"/>
      <c r="H21" s="44"/>
      <c r="I21" s="240" t="s">
        <v>261</v>
      </c>
    </row>
    <row r="22" spans="1:9" s="46" customFormat="1" ht="67.5">
      <c r="A22" s="239">
        <f t="shared" si="1"/>
        <v>19</v>
      </c>
      <c r="B22" s="44" t="s">
        <v>201</v>
      </c>
      <c r="C22" s="44" t="s">
        <v>262</v>
      </c>
      <c r="D22" s="44" t="s">
        <v>168</v>
      </c>
      <c r="E22" s="44"/>
      <c r="F22" s="45"/>
      <c r="G22" s="44"/>
      <c r="H22" s="44"/>
      <c r="I22" s="240" t="s">
        <v>204</v>
      </c>
    </row>
    <row r="23" spans="1:9" s="46" customFormat="1" ht="67.5">
      <c r="A23" s="239">
        <f t="shared" si="1"/>
        <v>20</v>
      </c>
      <c r="B23" s="44" t="s">
        <v>205</v>
      </c>
      <c r="C23" s="44" t="s">
        <v>206</v>
      </c>
      <c r="D23" s="44" t="s">
        <v>178</v>
      </c>
      <c r="E23" s="44"/>
      <c r="F23" s="45"/>
      <c r="G23" s="44"/>
      <c r="H23" s="44"/>
      <c r="I23" s="240" t="s">
        <v>263</v>
      </c>
    </row>
    <row r="24" spans="1:9" s="46" customFormat="1" ht="94.5">
      <c r="A24" s="278">
        <f t="shared" si="1"/>
        <v>21</v>
      </c>
      <c r="B24" s="279" t="s">
        <v>195</v>
      </c>
      <c r="C24" s="279" t="s">
        <v>196</v>
      </c>
      <c r="D24" s="279" t="s">
        <v>178</v>
      </c>
      <c r="E24" s="279"/>
      <c r="F24" s="280"/>
      <c r="G24" s="279"/>
      <c r="H24" s="279"/>
      <c r="I24" s="281" t="s">
        <v>264</v>
      </c>
    </row>
    <row r="25" spans="1:9" s="46" customFormat="1">
      <c r="A25" s="239">
        <f t="shared" si="1"/>
        <v>22</v>
      </c>
      <c r="B25" s="44" t="s">
        <v>265</v>
      </c>
      <c r="C25" s="44" t="s">
        <v>266</v>
      </c>
      <c r="D25" s="44" t="s">
        <v>160</v>
      </c>
      <c r="E25" s="44" t="s">
        <v>161</v>
      </c>
      <c r="F25" s="45" t="s">
        <v>111</v>
      </c>
      <c r="G25" s="44"/>
      <c r="H25" s="44"/>
      <c r="I25" s="240" t="s">
        <v>267</v>
      </c>
    </row>
    <row r="26" spans="1:9" s="46" customFormat="1">
      <c r="A26" s="239">
        <f t="shared" si="1"/>
        <v>23</v>
      </c>
      <c r="B26" s="44" t="s">
        <v>268</v>
      </c>
      <c r="C26" s="44" t="s">
        <v>269</v>
      </c>
      <c r="D26" s="44" t="s">
        <v>160</v>
      </c>
      <c r="E26" s="44" t="s">
        <v>161</v>
      </c>
      <c r="F26" s="45" t="s">
        <v>111</v>
      </c>
      <c r="G26" s="44"/>
      <c r="H26" s="44"/>
      <c r="I26" s="240" t="s">
        <v>270</v>
      </c>
    </row>
    <row r="27" spans="1:9" s="46" customFormat="1" ht="54.75" thickBot="1">
      <c r="A27" s="243">
        <f t="shared" si="1"/>
        <v>24</v>
      </c>
      <c r="B27" s="244" t="s">
        <v>212</v>
      </c>
      <c r="C27" s="244" t="s">
        <v>213</v>
      </c>
      <c r="D27" s="244" t="s">
        <v>168</v>
      </c>
      <c r="E27" s="244"/>
      <c r="F27" s="245"/>
      <c r="G27" s="244"/>
      <c r="H27" s="244"/>
      <c r="I27" s="248" t="s">
        <v>271</v>
      </c>
    </row>
  </sheetData>
  <phoneticPr fontId="6"/>
  <pageMargins left="0.19685039370078741" right="0.19685039370078741" top="0.23622047244094491" bottom="0.19685039370078741" header="0.19685039370078741" footer="0.11811023622047245"/>
  <pageSetup paperSize="9" scale="48" fitToHeight="0" orientation="landscape" r:id="rId1"/>
  <headerFooter alignWithMargins="0">
    <oddFooter>&amp;C&amp;"Times New Roman,標準"&amp;10&amp;P/&amp;N&amp;R&amp;"Times New Roman,標準"&amp;9Copyright(C) 2017-2018 VINX Corporation. All Rights Reserved.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8F2BF-B932-4823-9F6C-AD7EDF4455DD}">
  <sheetPr>
    <tabColor theme="1" tint="0.499984740745262"/>
  </sheetPr>
  <dimension ref="A1:I14"/>
  <sheetViews>
    <sheetView zoomScale="115" zoomScaleNormal="115" workbookViewId="0"/>
  </sheetViews>
  <sheetFormatPr defaultColWidth="9" defaultRowHeight="13.5"/>
  <cols>
    <col min="1" max="1" width="5.625" style="43" customWidth="1"/>
    <col min="2" max="2" width="28.375" style="43" customWidth="1"/>
    <col min="3" max="3" width="32.375" style="43" bestFit="1" customWidth="1"/>
    <col min="4" max="5" width="13.625" style="43" customWidth="1"/>
    <col min="6" max="8" width="9" style="43"/>
    <col min="9" max="9" width="39.25" style="43" bestFit="1" customWidth="1"/>
    <col min="10" max="16384" width="9" style="43"/>
  </cols>
  <sheetData>
    <row r="1" spans="1:9" s="5" customFormat="1">
      <c r="A1" s="5" t="s">
        <v>272</v>
      </c>
    </row>
    <row r="2" spans="1:9" s="5" customFormat="1" ht="14.25" thickBot="1"/>
    <row r="3" spans="1:9" s="5" customFormat="1" ht="31.5" customHeight="1">
      <c r="A3" s="51" t="s">
        <v>99</v>
      </c>
      <c r="B3" s="52" t="s">
        <v>100</v>
      </c>
      <c r="C3" s="52" t="s">
        <v>101</v>
      </c>
      <c r="D3" s="52" t="s">
        <v>102</v>
      </c>
      <c r="E3" s="52" t="s">
        <v>103</v>
      </c>
      <c r="F3" s="52" t="s">
        <v>104</v>
      </c>
      <c r="G3" s="53" t="s">
        <v>105</v>
      </c>
      <c r="H3" s="54" t="s">
        <v>106</v>
      </c>
      <c r="I3" s="55" t="s">
        <v>107</v>
      </c>
    </row>
    <row r="4" spans="1:9" s="50" customFormat="1">
      <c r="A4" s="239">
        <f t="shared" ref="A4" si="0">ROW() - 3</f>
        <v>1</v>
      </c>
      <c r="B4" s="44" t="s">
        <v>108</v>
      </c>
      <c r="C4" s="44" t="s">
        <v>109</v>
      </c>
      <c r="D4" s="44" t="s">
        <v>110</v>
      </c>
      <c r="E4" s="44">
        <v>1</v>
      </c>
      <c r="F4" s="45" t="s">
        <v>111</v>
      </c>
      <c r="G4" s="44"/>
      <c r="H4" s="44"/>
      <c r="I4" s="240" t="s">
        <v>112</v>
      </c>
    </row>
    <row r="5" spans="1:9" s="46" customFormat="1">
      <c r="A5" s="239">
        <f>ROW() - 3</f>
        <v>2</v>
      </c>
      <c r="B5" s="44" t="s">
        <v>113</v>
      </c>
      <c r="C5" s="44" t="s">
        <v>114</v>
      </c>
      <c r="D5" s="44" t="s">
        <v>110</v>
      </c>
      <c r="E5" s="44">
        <v>10</v>
      </c>
      <c r="F5" s="45" t="s">
        <v>111</v>
      </c>
      <c r="G5" s="44"/>
      <c r="H5" s="44">
        <v>1</v>
      </c>
      <c r="I5" s="240" t="s">
        <v>115</v>
      </c>
    </row>
    <row r="6" spans="1:9" s="46" customFormat="1">
      <c r="A6" s="239">
        <f t="shared" ref="A6:A12" si="1">ROW() - 3</f>
        <v>3</v>
      </c>
      <c r="B6" s="44" t="s">
        <v>116</v>
      </c>
      <c r="C6" s="44" t="s">
        <v>117</v>
      </c>
      <c r="D6" s="44" t="s">
        <v>110</v>
      </c>
      <c r="E6" s="44">
        <v>10</v>
      </c>
      <c r="F6" s="45" t="s">
        <v>125</v>
      </c>
      <c r="G6" s="44"/>
      <c r="H6" s="44">
        <v>2</v>
      </c>
      <c r="I6" s="240" t="s">
        <v>118</v>
      </c>
    </row>
    <row r="7" spans="1:9" s="46" customFormat="1">
      <c r="A7" s="239">
        <f t="shared" si="1"/>
        <v>4</v>
      </c>
      <c r="B7" s="44" t="s">
        <v>241</v>
      </c>
      <c r="C7" s="44" t="s">
        <v>273</v>
      </c>
      <c r="D7" s="44" t="s">
        <v>110</v>
      </c>
      <c r="E7" s="44">
        <v>10</v>
      </c>
      <c r="F7" s="45" t="s">
        <v>125</v>
      </c>
      <c r="G7" s="44"/>
      <c r="H7" s="44">
        <v>3</v>
      </c>
      <c r="I7" s="240"/>
    </row>
    <row r="8" spans="1:9" s="46" customFormat="1">
      <c r="A8" s="239">
        <f t="shared" si="1"/>
        <v>5</v>
      </c>
      <c r="B8" s="44" t="s">
        <v>244</v>
      </c>
      <c r="C8" s="44" t="s">
        <v>274</v>
      </c>
      <c r="D8" s="44" t="s">
        <v>168</v>
      </c>
      <c r="E8" s="44"/>
      <c r="F8" s="45" t="s">
        <v>125</v>
      </c>
      <c r="G8" s="44"/>
      <c r="H8" s="44">
        <v>4</v>
      </c>
      <c r="I8" s="240"/>
    </row>
    <row r="9" spans="1:9" s="46" customFormat="1">
      <c r="A9" s="239">
        <f t="shared" si="1"/>
        <v>6</v>
      </c>
      <c r="B9" s="44" t="s">
        <v>122</v>
      </c>
      <c r="C9" s="44" t="s">
        <v>123</v>
      </c>
      <c r="D9" s="44" t="s">
        <v>124</v>
      </c>
      <c r="E9" s="44"/>
      <c r="F9" s="45" t="s">
        <v>125</v>
      </c>
      <c r="G9" s="44"/>
      <c r="H9" s="44">
        <v>5</v>
      </c>
      <c r="I9" s="240"/>
    </row>
    <row r="10" spans="1:9" s="46" customFormat="1">
      <c r="A10" s="239">
        <f t="shared" si="1"/>
        <v>7</v>
      </c>
      <c r="B10" s="44" t="s">
        <v>275</v>
      </c>
      <c r="C10" s="44" t="s">
        <v>276</v>
      </c>
      <c r="D10" s="44" t="s">
        <v>160</v>
      </c>
      <c r="E10" s="44" t="s">
        <v>277</v>
      </c>
      <c r="F10" s="45"/>
      <c r="G10" s="44"/>
      <c r="H10" s="44"/>
      <c r="I10" s="240" t="s">
        <v>278</v>
      </c>
    </row>
    <row r="11" spans="1:9" s="46" customFormat="1">
      <c r="A11" s="239">
        <f t="shared" si="1"/>
        <v>8</v>
      </c>
      <c r="B11" s="44" t="s">
        <v>279</v>
      </c>
      <c r="C11" s="44" t="s">
        <v>280</v>
      </c>
      <c r="D11" s="44" t="s">
        <v>226</v>
      </c>
      <c r="E11" s="44">
        <v>7</v>
      </c>
      <c r="F11" s="45"/>
      <c r="G11" s="44"/>
      <c r="H11" s="44"/>
      <c r="I11" s="240" t="s">
        <v>281</v>
      </c>
    </row>
    <row r="12" spans="1:9" s="46" customFormat="1" ht="14.25" thickBot="1">
      <c r="A12" s="243">
        <f t="shared" si="1"/>
        <v>9</v>
      </c>
      <c r="B12" s="244" t="s">
        <v>282</v>
      </c>
      <c r="C12" s="244" t="s">
        <v>283</v>
      </c>
      <c r="D12" s="244" t="s">
        <v>226</v>
      </c>
      <c r="E12" s="244">
        <v>7</v>
      </c>
      <c r="F12" s="245"/>
      <c r="G12" s="244"/>
      <c r="H12" s="244"/>
      <c r="I12" s="248" t="s">
        <v>284</v>
      </c>
    </row>
    <row r="13" spans="1:9" s="5" customFormat="1"/>
    <row r="14" spans="1:9" s="5" customFormat="1"/>
  </sheetData>
  <phoneticPr fontId="6"/>
  <pageMargins left="0.31496062992125984" right="0.31496062992125984" top="0.74803149606299213" bottom="0.74803149606299213" header="0.31496062992125984" footer="0.31496062992125984"/>
  <pageSetup paperSize="9" scale="98" orientation="landscape" r:id="rId1"/>
  <headerFooter>
    <oddFooter>&amp;C&amp;"Times New Roman,標準"&amp;10&amp;P/&amp;N&amp;R&amp;"Times New Roman,標準"&amp;9Copyright(C) 2017-2019 VINX Corporation. All Rights Reserved.</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26"/>
  <sheetViews>
    <sheetView zoomScale="115" zoomScaleNormal="115" workbookViewId="0">
      <pane xSplit="3" ySplit="3" topLeftCell="D4" activePane="bottomRight" state="frozen"/>
      <selection pane="topRight" activeCell="AY30" sqref="AY30"/>
      <selection pane="bottomLeft" activeCell="AY30" sqref="AY30"/>
      <selection pane="bottomRight" activeCell="D4" sqref="D4"/>
    </sheetView>
  </sheetViews>
  <sheetFormatPr defaultColWidth="9" defaultRowHeight="13.5"/>
  <cols>
    <col min="1" max="1" width="4.625" style="1" customWidth="1"/>
    <col min="2" max="2" width="26.875" style="1" customWidth="1"/>
    <col min="3" max="3" width="26.5" style="1" customWidth="1"/>
    <col min="4" max="5" width="13.625" style="1" customWidth="1"/>
    <col min="6" max="6" width="9" style="1"/>
    <col min="7" max="7" width="10.375" style="1" bestFit="1" customWidth="1"/>
    <col min="8" max="8" width="9" style="1"/>
    <col min="9" max="9" width="40.25" style="1" customWidth="1"/>
    <col min="10" max="16384" width="9" style="1"/>
  </cols>
  <sheetData>
    <row r="1" spans="1:10">
      <c r="A1" s="1" t="s">
        <v>285</v>
      </c>
    </row>
    <row r="2" spans="1:10" ht="14.25" thickBot="1"/>
    <row r="3" spans="1:10" ht="51.75" customHeight="1">
      <c r="A3" s="51" t="s">
        <v>99</v>
      </c>
      <c r="B3" s="52" t="s">
        <v>100</v>
      </c>
      <c r="C3" s="52" t="s">
        <v>101</v>
      </c>
      <c r="D3" s="52" t="s">
        <v>102</v>
      </c>
      <c r="E3" s="52" t="s">
        <v>103</v>
      </c>
      <c r="F3" s="52" t="s">
        <v>104</v>
      </c>
      <c r="G3" s="53" t="s">
        <v>105</v>
      </c>
      <c r="H3" s="54" t="s">
        <v>106</v>
      </c>
      <c r="I3" s="55" t="s">
        <v>107</v>
      </c>
    </row>
    <row r="4" spans="1:10" s="50" customFormat="1">
      <c r="A4" s="239">
        <f t="shared" ref="A4" si="0">ROW() - 3</f>
        <v>1</v>
      </c>
      <c r="B4" s="44" t="s">
        <v>108</v>
      </c>
      <c r="C4" s="44" t="s">
        <v>109</v>
      </c>
      <c r="D4" s="44" t="s">
        <v>110</v>
      </c>
      <c r="E4" s="44">
        <v>1</v>
      </c>
      <c r="F4" s="45" t="s">
        <v>111</v>
      </c>
      <c r="G4" s="44"/>
      <c r="H4" s="44"/>
      <c r="I4" s="240" t="s">
        <v>112</v>
      </c>
    </row>
    <row r="5" spans="1:10" s="46" customFormat="1">
      <c r="A5" s="239">
        <f>ROW() - 3</f>
        <v>2</v>
      </c>
      <c r="B5" s="44" t="s">
        <v>113</v>
      </c>
      <c r="C5" s="44" t="s">
        <v>114</v>
      </c>
      <c r="D5" s="44" t="s">
        <v>110</v>
      </c>
      <c r="E5" s="44">
        <v>10</v>
      </c>
      <c r="F5" s="45" t="s">
        <v>111</v>
      </c>
      <c r="G5" s="44"/>
      <c r="H5" s="44">
        <v>1</v>
      </c>
      <c r="I5" s="240" t="s">
        <v>229</v>
      </c>
    </row>
    <row r="6" spans="1:10" s="46" customFormat="1">
      <c r="A6" s="239">
        <f t="shared" ref="A6:A26" si="1">ROW() - 3</f>
        <v>3</v>
      </c>
      <c r="B6" s="44" t="s">
        <v>116</v>
      </c>
      <c r="C6" s="44" t="s">
        <v>117</v>
      </c>
      <c r="D6" s="44" t="s">
        <v>110</v>
      </c>
      <c r="E6" s="44">
        <v>10</v>
      </c>
      <c r="F6" s="45" t="s">
        <v>111</v>
      </c>
      <c r="G6" s="44"/>
      <c r="H6" s="44">
        <v>2</v>
      </c>
      <c r="I6" s="240" t="s">
        <v>230</v>
      </c>
    </row>
    <row r="7" spans="1:10" s="46" customFormat="1">
      <c r="A7" s="239">
        <f t="shared" si="1"/>
        <v>4</v>
      </c>
      <c r="B7" s="44" t="s">
        <v>286</v>
      </c>
      <c r="C7" s="44" t="s">
        <v>287</v>
      </c>
      <c r="D7" s="44" t="s">
        <v>110</v>
      </c>
      <c r="E7" s="288">
        <v>20</v>
      </c>
      <c r="F7" s="45" t="s">
        <v>111</v>
      </c>
      <c r="G7" s="44"/>
      <c r="H7" s="44">
        <v>3</v>
      </c>
      <c r="I7" s="240" t="s">
        <v>288</v>
      </c>
      <c r="J7" s="289" t="s">
        <v>289</v>
      </c>
    </row>
    <row r="8" spans="1:10" s="46" customFormat="1">
      <c r="A8" s="239">
        <f t="shared" si="1"/>
        <v>5</v>
      </c>
      <c r="B8" s="44" t="s">
        <v>290</v>
      </c>
      <c r="C8" s="44" t="s">
        <v>291</v>
      </c>
      <c r="D8" s="44" t="s">
        <v>110</v>
      </c>
      <c r="E8" s="44">
        <v>10</v>
      </c>
      <c r="F8" s="45" t="s">
        <v>125</v>
      </c>
      <c r="G8" s="44"/>
      <c r="H8" s="44"/>
      <c r="I8" s="240" t="s">
        <v>292</v>
      </c>
    </row>
    <row r="9" spans="1:10" s="46" customFormat="1" ht="40.5">
      <c r="A9" s="239">
        <f t="shared" si="1"/>
        <v>6</v>
      </c>
      <c r="B9" s="44" t="s">
        <v>293</v>
      </c>
      <c r="C9" s="44" t="s">
        <v>294</v>
      </c>
      <c r="D9" s="44" t="s">
        <v>110</v>
      </c>
      <c r="E9" s="44">
        <v>2</v>
      </c>
      <c r="F9" s="45" t="s">
        <v>111</v>
      </c>
      <c r="G9" s="44"/>
      <c r="H9" s="44">
        <v>4</v>
      </c>
      <c r="I9" s="240" t="s">
        <v>295</v>
      </c>
    </row>
    <row r="10" spans="1:10" s="46" customFormat="1">
      <c r="A10" s="239">
        <f t="shared" si="1"/>
        <v>7</v>
      </c>
      <c r="B10" s="44" t="s">
        <v>119</v>
      </c>
      <c r="C10" s="44" t="s">
        <v>296</v>
      </c>
      <c r="D10" s="44" t="s">
        <v>110</v>
      </c>
      <c r="E10" s="44">
        <v>26</v>
      </c>
      <c r="F10" s="45" t="s">
        <v>111</v>
      </c>
      <c r="G10" s="44"/>
      <c r="H10" s="44">
        <v>5</v>
      </c>
      <c r="I10" s="240" t="s">
        <v>297</v>
      </c>
    </row>
    <row r="11" spans="1:10" s="46" customFormat="1" ht="54">
      <c r="A11" s="239">
        <f t="shared" si="1"/>
        <v>8</v>
      </c>
      <c r="B11" s="44" t="s">
        <v>298</v>
      </c>
      <c r="C11" s="44" t="s">
        <v>299</v>
      </c>
      <c r="D11" s="44" t="s">
        <v>110</v>
      </c>
      <c r="E11" s="44">
        <v>2</v>
      </c>
      <c r="F11" s="45" t="s">
        <v>111</v>
      </c>
      <c r="G11" s="44"/>
      <c r="H11" s="44"/>
      <c r="I11" s="240" t="s">
        <v>300</v>
      </c>
    </row>
    <row r="12" spans="1:10" s="46" customFormat="1" ht="27">
      <c r="A12" s="239">
        <f t="shared" si="1"/>
        <v>9</v>
      </c>
      <c r="B12" s="44" t="s">
        <v>301</v>
      </c>
      <c r="C12" s="44" t="s">
        <v>302</v>
      </c>
      <c r="D12" s="44" t="s">
        <v>151</v>
      </c>
      <c r="E12" s="44"/>
      <c r="F12" s="45" t="s">
        <v>111</v>
      </c>
      <c r="G12" s="44"/>
      <c r="H12" s="44"/>
      <c r="I12" s="240" t="s">
        <v>303</v>
      </c>
    </row>
    <row r="13" spans="1:10" s="46" customFormat="1" ht="27">
      <c r="A13" s="239">
        <f t="shared" si="1"/>
        <v>10</v>
      </c>
      <c r="B13" s="44" t="s">
        <v>304</v>
      </c>
      <c r="C13" s="44" t="s">
        <v>305</v>
      </c>
      <c r="D13" s="44" t="s">
        <v>151</v>
      </c>
      <c r="E13" s="44"/>
      <c r="F13" s="45" t="s">
        <v>111</v>
      </c>
      <c r="G13" s="44"/>
      <c r="H13" s="44"/>
      <c r="I13" s="240" t="s">
        <v>306</v>
      </c>
    </row>
    <row r="14" spans="1:10" s="46" customFormat="1" ht="67.5">
      <c r="A14" s="239">
        <f t="shared" si="1"/>
        <v>11</v>
      </c>
      <c r="B14" s="44" t="s">
        <v>307</v>
      </c>
      <c r="C14" s="44" t="s">
        <v>308</v>
      </c>
      <c r="D14" s="44" t="s">
        <v>151</v>
      </c>
      <c r="E14" s="44"/>
      <c r="F14" s="45"/>
      <c r="G14" s="44"/>
      <c r="H14" s="44"/>
      <c r="I14" s="240" t="s">
        <v>309</v>
      </c>
    </row>
    <row r="15" spans="1:10" s="46" customFormat="1" ht="67.5">
      <c r="A15" s="239">
        <f t="shared" si="1"/>
        <v>12</v>
      </c>
      <c r="B15" s="44" t="s">
        <v>310</v>
      </c>
      <c r="C15" s="44" t="s">
        <v>311</v>
      </c>
      <c r="D15" s="44" t="s">
        <v>160</v>
      </c>
      <c r="E15" s="44" t="s">
        <v>312</v>
      </c>
      <c r="F15" s="45"/>
      <c r="G15" s="44"/>
      <c r="H15" s="44"/>
      <c r="I15" s="240" t="s">
        <v>313</v>
      </c>
    </row>
    <row r="16" spans="1:10" s="46" customFormat="1" ht="27">
      <c r="A16" s="239">
        <f t="shared" si="1"/>
        <v>13</v>
      </c>
      <c r="B16" s="44" t="s">
        <v>314</v>
      </c>
      <c r="C16" s="44" t="s">
        <v>315</v>
      </c>
      <c r="D16" s="44" t="s">
        <v>110</v>
      </c>
      <c r="E16" s="44">
        <v>50</v>
      </c>
      <c r="F16" s="45"/>
      <c r="G16" s="44"/>
      <c r="H16" s="44"/>
      <c r="I16" s="240" t="s">
        <v>316</v>
      </c>
    </row>
    <row r="17" spans="1:9" s="46" customFormat="1" ht="40.5">
      <c r="A17" s="239">
        <f t="shared" si="1"/>
        <v>14</v>
      </c>
      <c r="B17" s="44" t="s">
        <v>317</v>
      </c>
      <c r="C17" s="44" t="s">
        <v>318</v>
      </c>
      <c r="D17" s="44" t="s">
        <v>226</v>
      </c>
      <c r="E17" s="44">
        <v>7</v>
      </c>
      <c r="F17" s="45" t="s">
        <v>111</v>
      </c>
      <c r="G17" s="44"/>
      <c r="H17" s="44">
        <v>6</v>
      </c>
      <c r="I17" s="240" t="s">
        <v>319</v>
      </c>
    </row>
    <row r="18" spans="1:9" s="46" customFormat="1" ht="40.5">
      <c r="A18" s="239">
        <f t="shared" si="1"/>
        <v>15</v>
      </c>
      <c r="B18" s="44" t="s">
        <v>320</v>
      </c>
      <c r="C18" s="44" t="s">
        <v>321</v>
      </c>
      <c r="D18" s="44" t="s">
        <v>226</v>
      </c>
      <c r="E18" s="44">
        <v>7</v>
      </c>
      <c r="F18" s="45" t="s">
        <v>111</v>
      </c>
      <c r="G18" s="44"/>
      <c r="H18" s="44">
        <v>7</v>
      </c>
      <c r="I18" s="240" t="s">
        <v>322</v>
      </c>
    </row>
    <row r="19" spans="1:9" s="46" customFormat="1" ht="54">
      <c r="A19" s="239">
        <f t="shared" si="1"/>
        <v>16</v>
      </c>
      <c r="B19" s="44" t="s">
        <v>323</v>
      </c>
      <c r="C19" s="44" t="s">
        <v>324</v>
      </c>
      <c r="D19" s="44" t="s">
        <v>210</v>
      </c>
      <c r="E19" s="44"/>
      <c r="F19" s="45" t="s">
        <v>111</v>
      </c>
      <c r="G19" s="44"/>
      <c r="H19" s="44"/>
      <c r="I19" s="240" t="s">
        <v>325</v>
      </c>
    </row>
    <row r="20" spans="1:9" s="46" customFormat="1" ht="54">
      <c r="A20" s="239">
        <f t="shared" si="1"/>
        <v>17</v>
      </c>
      <c r="B20" s="44" t="s">
        <v>326</v>
      </c>
      <c r="C20" s="44" t="s">
        <v>327</v>
      </c>
      <c r="D20" s="44" t="s">
        <v>178</v>
      </c>
      <c r="E20" s="44"/>
      <c r="F20" s="45" t="s">
        <v>111</v>
      </c>
      <c r="G20" s="44"/>
      <c r="H20" s="44"/>
      <c r="I20" s="240" t="s">
        <v>328</v>
      </c>
    </row>
    <row r="21" spans="1:9" s="46" customFormat="1" ht="54">
      <c r="A21" s="239">
        <f t="shared" si="1"/>
        <v>18</v>
      </c>
      <c r="B21" s="44" t="s">
        <v>329</v>
      </c>
      <c r="C21" s="44" t="s">
        <v>330</v>
      </c>
      <c r="D21" s="44" t="s">
        <v>178</v>
      </c>
      <c r="E21" s="44"/>
      <c r="F21" s="45" t="s">
        <v>111</v>
      </c>
      <c r="G21" s="44"/>
      <c r="H21" s="44"/>
      <c r="I21" s="240" t="s">
        <v>331</v>
      </c>
    </row>
    <row r="22" spans="1:9" s="46" customFormat="1" ht="54">
      <c r="A22" s="239">
        <f t="shared" si="1"/>
        <v>19</v>
      </c>
      <c r="B22" s="44" t="s">
        <v>332</v>
      </c>
      <c r="C22" s="44" t="s">
        <v>333</v>
      </c>
      <c r="D22" s="44" t="s">
        <v>178</v>
      </c>
      <c r="E22" s="44"/>
      <c r="F22" s="45" t="s">
        <v>111</v>
      </c>
      <c r="G22" s="44"/>
      <c r="H22" s="44"/>
      <c r="I22" s="240" t="s">
        <v>334</v>
      </c>
    </row>
    <row r="23" spans="1:9" s="46" customFormat="1" ht="54">
      <c r="A23" s="239">
        <f t="shared" si="1"/>
        <v>20</v>
      </c>
      <c r="B23" s="44" t="s">
        <v>335</v>
      </c>
      <c r="C23" s="44" t="s">
        <v>336</v>
      </c>
      <c r="D23" s="44" t="s">
        <v>178</v>
      </c>
      <c r="E23" s="44"/>
      <c r="F23" s="45" t="s">
        <v>111</v>
      </c>
      <c r="G23" s="44"/>
      <c r="H23" s="44"/>
      <c r="I23" s="240" t="s">
        <v>337</v>
      </c>
    </row>
    <row r="24" spans="1:9" s="46" customFormat="1" ht="54">
      <c r="A24" s="239">
        <f t="shared" si="1"/>
        <v>21</v>
      </c>
      <c r="B24" s="44" t="s">
        <v>338</v>
      </c>
      <c r="C24" s="44" t="s">
        <v>339</v>
      </c>
      <c r="D24" s="44" t="s">
        <v>178</v>
      </c>
      <c r="E24" s="44"/>
      <c r="F24" s="45" t="s">
        <v>111</v>
      </c>
      <c r="G24" s="44"/>
      <c r="H24" s="44"/>
      <c r="I24" s="240" t="s">
        <v>340</v>
      </c>
    </row>
    <row r="25" spans="1:9" s="46" customFormat="1" ht="54">
      <c r="A25" s="239">
        <f t="shared" si="1"/>
        <v>22</v>
      </c>
      <c r="B25" s="44" t="s">
        <v>341</v>
      </c>
      <c r="C25" s="44" t="s">
        <v>342</v>
      </c>
      <c r="D25" s="44" t="s">
        <v>178</v>
      </c>
      <c r="E25" s="44"/>
      <c r="F25" s="45" t="s">
        <v>111</v>
      </c>
      <c r="G25" s="44"/>
      <c r="H25" s="44"/>
      <c r="I25" s="240" t="s">
        <v>343</v>
      </c>
    </row>
    <row r="26" spans="1:9" s="46" customFormat="1" ht="54.75" thickBot="1">
      <c r="A26" s="243">
        <f t="shared" si="1"/>
        <v>23</v>
      </c>
      <c r="B26" s="244" t="s">
        <v>344</v>
      </c>
      <c r="C26" s="244" t="s">
        <v>345</v>
      </c>
      <c r="D26" s="244" t="s">
        <v>178</v>
      </c>
      <c r="E26" s="244"/>
      <c r="F26" s="245" t="s">
        <v>111</v>
      </c>
      <c r="G26" s="244"/>
      <c r="H26" s="244"/>
      <c r="I26" s="248" t="s">
        <v>346</v>
      </c>
    </row>
  </sheetData>
  <phoneticPr fontId="5"/>
  <pageMargins left="0.19685039370078741" right="0.19685039370078741" top="0.23622047244094491" bottom="0.19685039370078741" header="0.19685039370078741" footer="0.11811023622047245"/>
  <pageSetup paperSize="9" scale="48" fitToHeight="0" orientation="landscape" r:id="rId1"/>
  <headerFooter alignWithMargins="0">
    <oddFooter>&amp;C&amp;"Times New Roman,標準"&amp;10&amp;P/&amp;N&amp;R&amp;"Times New Roman,標準"&amp;9Copyright(C) 2017-2018 VINX Corporation. All Rights Reserved.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38"/>
  <sheetViews>
    <sheetView zoomScale="115" zoomScaleNormal="115" workbookViewId="0">
      <pane xSplit="3" ySplit="3" topLeftCell="D4" activePane="bottomRight" state="frozen"/>
      <selection pane="topRight" activeCell="AY30" sqref="AY30"/>
      <selection pane="bottomLeft" activeCell="AY30" sqref="AY30"/>
      <selection pane="bottomRight" activeCell="D4" sqref="D4"/>
    </sheetView>
  </sheetViews>
  <sheetFormatPr defaultColWidth="9" defaultRowHeight="13.5"/>
  <cols>
    <col min="1" max="1" width="4.625" style="1" customWidth="1"/>
    <col min="2" max="2" width="26.875" style="1" customWidth="1"/>
    <col min="3" max="3" width="26.5" style="1" customWidth="1"/>
    <col min="4" max="5" width="13.625" style="1" customWidth="1"/>
    <col min="6" max="6" width="9" style="1"/>
    <col min="7" max="7" width="10.375" style="1" bestFit="1" customWidth="1"/>
    <col min="8" max="8" width="9" style="1"/>
    <col min="9" max="9" width="40.25" style="1" customWidth="1"/>
    <col min="10" max="16384" width="9" style="1"/>
  </cols>
  <sheetData>
    <row r="1" spans="1:10">
      <c r="A1" s="1" t="s">
        <v>347</v>
      </c>
    </row>
    <row r="2" spans="1:10" ht="14.25" thickBot="1"/>
    <row r="3" spans="1:10" ht="51.75" customHeight="1">
      <c r="A3" s="51" t="s">
        <v>99</v>
      </c>
      <c r="B3" s="52" t="s">
        <v>100</v>
      </c>
      <c r="C3" s="52" t="s">
        <v>101</v>
      </c>
      <c r="D3" s="52" t="s">
        <v>102</v>
      </c>
      <c r="E3" s="52" t="s">
        <v>103</v>
      </c>
      <c r="F3" s="52" t="s">
        <v>104</v>
      </c>
      <c r="G3" s="53" t="s">
        <v>105</v>
      </c>
      <c r="H3" s="54" t="s">
        <v>106</v>
      </c>
      <c r="I3" s="55" t="s">
        <v>107</v>
      </c>
    </row>
    <row r="4" spans="1:10" s="50" customFormat="1">
      <c r="A4" s="239">
        <f t="shared" ref="A4" si="0">ROW() - 3</f>
        <v>1</v>
      </c>
      <c r="B4" s="44" t="s">
        <v>108</v>
      </c>
      <c r="C4" s="44" t="s">
        <v>109</v>
      </c>
      <c r="D4" s="44" t="s">
        <v>110</v>
      </c>
      <c r="E4" s="44">
        <v>1</v>
      </c>
      <c r="F4" s="45" t="s">
        <v>111</v>
      </c>
      <c r="G4" s="44"/>
      <c r="H4" s="44"/>
      <c r="I4" s="240" t="s">
        <v>112</v>
      </c>
    </row>
    <row r="5" spans="1:10" s="46" customFormat="1">
      <c r="A5" s="239">
        <f t="shared" ref="A5:A36" si="1">ROW() - 3</f>
        <v>2</v>
      </c>
      <c r="B5" s="44" t="s">
        <v>113</v>
      </c>
      <c r="C5" s="44" t="s">
        <v>114</v>
      </c>
      <c r="D5" s="44" t="s">
        <v>110</v>
      </c>
      <c r="E5" s="44">
        <v>10</v>
      </c>
      <c r="F5" s="45" t="s">
        <v>111</v>
      </c>
      <c r="G5" s="44"/>
      <c r="H5" s="44">
        <v>1</v>
      </c>
      <c r="I5" s="240" t="s">
        <v>115</v>
      </c>
    </row>
    <row r="6" spans="1:10" s="46" customFormat="1">
      <c r="A6" s="239">
        <f t="shared" si="1"/>
        <v>3</v>
      </c>
      <c r="B6" s="44" t="s">
        <v>116</v>
      </c>
      <c r="C6" s="44" t="s">
        <v>117</v>
      </c>
      <c r="D6" s="44" t="s">
        <v>110</v>
      </c>
      <c r="E6" s="44">
        <v>10</v>
      </c>
      <c r="F6" s="45" t="s">
        <v>111</v>
      </c>
      <c r="G6" s="44"/>
      <c r="H6" s="44">
        <v>2</v>
      </c>
      <c r="I6" s="240" t="s">
        <v>118</v>
      </c>
    </row>
    <row r="7" spans="1:10" s="46" customFormat="1" ht="27">
      <c r="A7" s="239">
        <f t="shared" si="1"/>
        <v>4</v>
      </c>
      <c r="B7" s="44" t="s">
        <v>348</v>
      </c>
      <c r="C7" s="44" t="s">
        <v>349</v>
      </c>
      <c r="D7" s="44" t="s">
        <v>110</v>
      </c>
      <c r="E7" s="288">
        <v>20</v>
      </c>
      <c r="F7" s="45" t="s">
        <v>111</v>
      </c>
      <c r="G7" s="44"/>
      <c r="H7" s="44">
        <v>3</v>
      </c>
      <c r="I7" s="240" t="s">
        <v>350</v>
      </c>
      <c r="J7" s="289" t="s">
        <v>289</v>
      </c>
    </row>
    <row r="8" spans="1:10" s="46" customFormat="1">
      <c r="A8" s="239">
        <f t="shared" si="1"/>
        <v>5</v>
      </c>
      <c r="B8" s="44" t="s">
        <v>136</v>
      </c>
      <c r="C8" s="44" t="s">
        <v>351</v>
      </c>
      <c r="D8" s="44" t="s">
        <v>110</v>
      </c>
      <c r="E8" s="44">
        <v>50</v>
      </c>
      <c r="F8" s="45"/>
      <c r="G8" s="44"/>
      <c r="H8" s="44"/>
      <c r="I8" s="240" t="s">
        <v>352</v>
      </c>
    </row>
    <row r="9" spans="1:10" s="46" customFormat="1">
      <c r="A9" s="239">
        <f t="shared" si="1"/>
        <v>6</v>
      </c>
      <c r="B9" s="44" t="s">
        <v>290</v>
      </c>
      <c r="C9" s="44" t="s">
        <v>353</v>
      </c>
      <c r="D9" s="44" t="s">
        <v>110</v>
      </c>
      <c r="E9" s="44">
        <v>10</v>
      </c>
      <c r="F9" s="45" t="s">
        <v>111</v>
      </c>
      <c r="G9" s="44"/>
      <c r="H9" s="44"/>
      <c r="I9" s="240" t="s">
        <v>354</v>
      </c>
    </row>
    <row r="10" spans="1:10" s="46" customFormat="1" ht="40.5">
      <c r="A10" s="239">
        <f t="shared" si="1"/>
        <v>7</v>
      </c>
      <c r="B10" s="44" t="s">
        <v>355</v>
      </c>
      <c r="C10" s="44" t="s">
        <v>356</v>
      </c>
      <c r="D10" s="44" t="s">
        <v>110</v>
      </c>
      <c r="E10" s="44">
        <v>2</v>
      </c>
      <c r="F10" s="45" t="s">
        <v>111</v>
      </c>
      <c r="G10" s="44"/>
      <c r="H10" s="44"/>
      <c r="I10" s="240" t="s">
        <v>357</v>
      </c>
    </row>
    <row r="11" spans="1:10" s="46" customFormat="1" ht="40.5">
      <c r="A11" s="239">
        <f t="shared" si="1"/>
        <v>8</v>
      </c>
      <c r="B11" s="44" t="s">
        <v>317</v>
      </c>
      <c r="C11" s="44" t="s">
        <v>318</v>
      </c>
      <c r="D11" s="44" t="s">
        <v>226</v>
      </c>
      <c r="E11" s="44">
        <v>7</v>
      </c>
      <c r="F11" s="45" t="s">
        <v>111</v>
      </c>
      <c r="G11" s="44"/>
      <c r="H11" s="44"/>
      <c r="I11" s="240" t="s">
        <v>358</v>
      </c>
    </row>
    <row r="12" spans="1:10" s="46" customFormat="1" ht="40.5">
      <c r="A12" s="239">
        <f t="shared" si="1"/>
        <v>9</v>
      </c>
      <c r="B12" s="44" t="s">
        <v>320</v>
      </c>
      <c r="C12" s="44" t="s">
        <v>321</v>
      </c>
      <c r="D12" s="44" t="s">
        <v>226</v>
      </c>
      <c r="E12" s="44">
        <v>7</v>
      </c>
      <c r="F12" s="45" t="s">
        <v>111</v>
      </c>
      <c r="G12" s="44"/>
      <c r="H12" s="44"/>
      <c r="I12" s="240" t="s">
        <v>359</v>
      </c>
    </row>
    <row r="13" spans="1:10" s="46" customFormat="1">
      <c r="A13" s="239">
        <f t="shared" si="1"/>
        <v>10</v>
      </c>
      <c r="B13" s="44" t="s">
        <v>360</v>
      </c>
      <c r="C13" s="44" t="s">
        <v>361</v>
      </c>
      <c r="D13" s="44" t="s">
        <v>168</v>
      </c>
      <c r="E13" s="44"/>
      <c r="F13" s="45"/>
      <c r="G13" s="44"/>
      <c r="H13" s="44"/>
      <c r="I13" s="240" t="s">
        <v>362</v>
      </c>
    </row>
    <row r="14" spans="1:10" s="46" customFormat="1">
      <c r="A14" s="239">
        <f t="shared" si="1"/>
        <v>11</v>
      </c>
      <c r="B14" s="44" t="s">
        <v>363</v>
      </c>
      <c r="C14" s="44" t="s">
        <v>364</v>
      </c>
      <c r="D14" s="44" t="s">
        <v>151</v>
      </c>
      <c r="E14" s="44"/>
      <c r="F14" s="45"/>
      <c r="G14" s="44"/>
      <c r="H14" s="44"/>
      <c r="I14" s="240" t="s">
        <v>365</v>
      </c>
    </row>
    <row r="15" spans="1:10" s="46" customFormat="1">
      <c r="A15" s="239">
        <f t="shared" si="1"/>
        <v>12</v>
      </c>
      <c r="B15" s="44" t="s">
        <v>366</v>
      </c>
      <c r="C15" s="44" t="s">
        <v>367</v>
      </c>
      <c r="D15" s="44" t="s">
        <v>151</v>
      </c>
      <c r="E15" s="44"/>
      <c r="F15" s="45"/>
      <c r="G15" s="44"/>
      <c r="H15" s="44"/>
      <c r="I15" s="240" t="s">
        <v>368</v>
      </c>
    </row>
    <row r="16" spans="1:10" s="46" customFormat="1">
      <c r="A16" s="239">
        <f t="shared" si="1"/>
        <v>13</v>
      </c>
      <c r="B16" s="44" t="s">
        <v>369</v>
      </c>
      <c r="C16" s="44" t="s">
        <v>370</v>
      </c>
      <c r="D16" s="44" t="s">
        <v>168</v>
      </c>
      <c r="E16" s="44"/>
      <c r="F16" s="45"/>
      <c r="G16" s="44"/>
      <c r="H16" s="44"/>
      <c r="I16" s="240" t="s">
        <v>371</v>
      </c>
    </row>
    <row r="17" spans="1:9" s="46" customFormat="1">
      <c r="A17" s="239">
        <f t="shared" si="1"/>
        <v>14</v>
      </c>
      <c r="B17" s="44" t="s">
        <v>372</v>
      </c>
      <c r="C17" s="44" t="s">
        <v>373</v>
      </c>
      <c r="D17" s="44" t="s">
        <v>151</v>
      </c>
      <c r="E17" s="44"/>
      <c r="F17" s="45"/>
      <c r="G17" s="44"/>
      <c r="H17" s="44"/>
      <c r="I17" s="240" t="s">
        <v>374</v>
      </c>
    </row>
    <row r="18" spans="1:9" s="46" customFormat="1">
      <c r="A18" s="239">
        <f t="shared" si="1"/>
        <v>15</v>
      </c>
      <c r="B18" s="44" t="s">
        <v>375</v>
      </c>
      <c r="C18" s="44" t="s">
        <v>376</v>
      </c>
      <c r="D18" s="44" t="s">
        <v>151</v>
      </c>
      <c r="E18" s="44"/>
      <c r="F18" s="45"/>
      <c r="G18" s="44"/>
      <c r="H18" s="44"/>
      <c r="I18" s="240" t="s">
        <v>377</v>
      </c>
    </row>
    <row r="19" spans="1:9" s="46" customFormat="1">
      <c r="A19" s="239">
        <f t="shared" si="1"/>
        <v>16</v>
      </c>
      <c r="B19" s="44" t="s">
        <v>378</v>
      </c>
      <c r="C19" s="44" t="s">
        <v>379</v>
      </c>
      <c r="D19" s="44" t="s">
        <v>168</v>
      </c>
      <c r="E19" s="44"/>
      <c r="F19" s="45"/>
      <c r="G19" s="44"/>
      <c r="H19" s="44"/>
      <c r="I19" s="240" t="s">
        <v>380</v>
      </c>
    </row>
    <row r="20" spans="1:9" s="46" customFormat="1" ht="27">
      <c r="A20" s="239">
        <f t="shared" si="1"/>
        <v>17</v>
      </c>
      <c r="B20" s="44" t="s">
        <v>381</v>
      </c>
      <c r="C20" s="44" t="s">
        <v>382</v>
      </c>
      <c r="D20" s="44" t="s">
        <v>151</v>
      </c>
      <c r="E20" s="44"/>
      <c r="F20" s="45"/>
      <c r="G20" s="44"/>
      <c r="H20" s="44"/>
      <c r="I20" s="240" t="s">
        <v>383</v>
      </c>
    </row>
    <row r="21" spans="1:9" s="46" customFormat="1">
      <c r="A21" s="239">
        <f t="shared" si="1"/>
        <v>18</v>
      </c>
      <c r="B21" s="44" t="s">
        <v>384</v>
      </c>
      <c r="C21" s="44" t="s">
        <v>385</v>
      </c>
      <c r="D21" s="44" t="s">
        <v>151</v>
      </c>
      <c r="E21" s="44"/>
      <c r="F21" s="45"/>
      <c r="G21" s="44"/>
      <c r="H21" s="44"/>
      <c r="I21" s="240" t="s">
        <v>386</v>
      </c>
    </row>
    <row r="22" spans="1:9" s="46" customFormat="1">
      <c r="A22" s="239">
        <f t="shared" si="1"/>
        <v>19</v>
      </c>
      <c r="B22" s="44" t="s">
        <v>387</v>
      </c>
      <c r="C22" s="44" t="s">
        <v>388</v>
      </c>
      <c r="D22" s="44" t="s">
        <v>168</v>
      </c>
      <c r="E22" s="44"/>
      <c r="F22" s="45"/>
      <c r="G22" s="44"/>
      <c r="H22" s="44"/>
      <c r="I22" s="240" t="s">
        <v>389</v>
      </c>
    </row>
    <row r="23" spans="1:9" s="46" customFormat="1" ht="27">
      <c r="A23" s="239">
        <f t="shared" si="1"/>
        <v>20</v>
      </c>
      <c r="B23" s="44" t="s">
        <v>390</v>
      </c>
      <c r="C23" s="44" t="s">
        <v>391</v>
      </c>
      <c r="D23" s="44" t="s">
        <v>151</v>
      </c>
      <c r="E23" s="44"/>
      <c r="F23" s="45"/>
      <c r="G23" s="44"/>
      <c r="H23" s="44"/>
      <c r="I23" s="240" t="s">
        <v>392</v>
      </c>
    </row>
    <row r="24" spans="1:9" s="46" customFormat="1">
      <c r="A24" s="239">
        <f t="shared" si="1"/>
        <v>21</v>
      </c>
      <c r="B24" s="44" t="s">
        <v>393</v>
      </c>
      <c r="C24" s="44" t="s">
        <v>394</v>
      </c>
      <c r="D24" s="44" t="s">
        <v>151</v>
      </c>
      <c r="E24" s="44"/>
      <c r="F24" s="45"/>
      <c r="G24" s="44"/>
      <c r="H24" s="44"/>
      <c r="I24" s="240" t="s">
        <v>395</v>
      </c>
    </row>
    <row r="25" spans="1:9" s="46" customFormat="1">
      <c r="A25" s="239">
        <f t="shared" si="1"/>
        <v>22</v>
      </c>
      <c r="B25" s="44" t="s">
        <v>396</v>
      </c>
      <c r="C25" s="44" t="s">
        <v>397</v>
      </c>
      <c r="D25" s="44" t="s">
        <v>168</v>
      </c>
      <c r="E25" s="44"/>
      <c r="F25" s="45"/>
      <c r="G25" s="44"/>
      <c r="H25" s="44"/>
      <c r="I25" s="240" t="s">
        <v>398</v>
      </c>
    </row>
    <row r="26" spans="1:9" s="46" customFormat="1" ht="27">
      <c r="A26" s="239">
        <f t="shared" si="1"/>
        <v>23</v>
      </c>
      <c r="B26" s="44" t="s">
        <v>399</v>
      </c>
      <c r="C26" s="44" t="s">
        <v>400</v>
      </c>
      <c r="D26" s="44" t="s">
        <v>151</v>
      </c>
      <c r="E26" s="44"/>
      <c r="F26" s="45"/>
      <c r="G26" s="44"/>
      <c r="H26" s="44"/>
      <c r="I26" s="240" t="s">
        <v>401</v>
      </c>
    </row>
    <row r="27" spans="1:9" s="46" customFormat="1">
      <c r="A27" s="239">
        <f t="shared" si="1"/>
        <v>24</v>
      </c>
      <c r="B27" s="44" t="s">
        <v>402</v>
      </c>
      <c r="C27" s="44" t="s">
        <v>403</v>
      </c>
      <c r="D27" s="44" t="s">
        <v>151</v>
      </c>
      <c r="E27" s="44"/>
      <c r="F27" s="45"/>
      <c r="G27" s="44"/>
      <c r="H27" s="44"/>
      <c r="I27" s="240" t="s">
        <v>404</v>
      </c>
    </row>
    <row r="28" spans="1:9" s="46" customFormat="1">
      <c r="A28" s="239">
        <f t="shared" si="1"/>
        <v>25</v>
      </c>
      <c r="B28" s="44" t="s">
        <v>405</v>
      </c>
      <c r="C28" s="44" t="s">
        <v>406</v>
      </c>
      <c r="D28" s="44" t="s">
        <v>151</v>
      </c>
      <c r="E28" s="44"/>
      <c r="F28" s="45"/>
      <c r="G28" s="44"/>
      <c r="H28" s="44"/>
      <c r="I28" s="240" t="s">
        <v>407</v>
      </c>
    </row>
    <row r="29" spans="1:9" s="46" customFormat="1" ht="81">
      <c r="A29" s="239">
        <f t="shared" si="1"/>
        <v>26</v>
      </c>
      <c r="B29" s="44" t="s">
        <v>323</v>
      </c>
      <c r="C29" s="44" t="s">
        <v>324</v>
      </c>
      <c r="D29" s="44" t="s">
        <v>210</v>
      </c>
      <c r="E29" s="44"/>
      <c r="F29" s="45" t="s">
        <v>111</v>
      </c>
      <c r="G29" s="44"/>
      <c r="H29" s="44"/>
      <c r="I29" s="240" t="s">
        <v>408</v>
      </c>
    </row>
    <row r="30" spans="1:9" s="46" customFormat="1" ht="54">
      <c r="A30" s="239">
        <f t="shared" si="1"/>
        <v>27</v>
      </c>
      <c r="B30" s="44" t="s">
        <v>326</v>
      </c>
      <c r="C30" s="44" t="s">
        <v>327</v>
      </c>
      <c r="D30" s="44" t="s">
        <v>178</v>
      </c>
      <c r="E30" s="44"/>
      <c r="F30" s="45" t="s">
        <v>111</v>
      </c>
      <c r="G30" s="44"/>
      <c r="H30" s="44"/>
      <c r="I30" s="240" t="s">
        <v>409</v>
      </c>
    </row>
    <row r="31" spans="1:9" s="46" customFormat="1" ht="54">
      <c r="A31" s="239">
        <f t="shared" si="1"/>
        <v>28</v>
      </c>
      <c r="B31" s="44" t="s">
        <v>329</v>
      </c>
      <c r="C31" s="44" t="s">
        <v>330</v>
      </c>
      <c r="D31" s="44" t="s">
        <v>178</v>
      </c>
      <c r="E31" s="44"/>
      <c r="F31" s="45" t="s">
        <v>111</v>
      </c>
      <c r="G31" s="44"/>
      <c r="H31" s="44"/>
      <c r="I31" s="240" t="s">
        <v>410</v>
      </c>
    </row>
    <row r="32" spans="1:9" s="46" customFormat="1" ht="54">
      <c r="A32" s="239">
        <f t="shared" si="1"/>
        <v>29</v>
      </c>
      <c r="B32" s="44" t="s">
        <v>332</v>
      </c>
      <c r="C32" s="44" t="s">
        <v>333</v>
      </c>
      <c r="D32" s="44" t="s">
        <v>178</v>
      </c>
      <c r="E32" s="44"/>
      <c r="F32" s="45" t="s">
        <v>111</v>
      </c>
      <c r="G32" s="44"/>
      <c r="H32" s="44"/>
      <c r="I32" s="240" t="s">
        <v>411</v>
      </c>
    </row>
    <row r="33" spans="1:9" s="46" customFormat="1" ht="54">
      <c r="A33" s="239">
        <f t="shared" si="1"/>
        <v>30</v>
      </c>
      <c r="B33" s="44" t="s">
        <v>335</v>
      </c>
      <c r="C33" s="44" t="s">
        <v>336</v>
      </c>
      <c r="D33" s="44" t="s">
        <v>178</v>
      </c>
      <c r="E33" s="44"/>
      <c r="F33" s="45" t="s">
        <v>111</v>
      </c>
      <c r="G33" s="44"/>
      <c r="H33" s="44"/>
      <c r="I33" s="240" t="s">
        <v>412</v>
      </c>
    </row>
    <row r="34" spans="1:9" s="46" customFormat="1" ht="54">
      <c r="A34" s="239">
        <f t="shared" si="1"/>
        <v>31</v>
      </c>
      <c r="B34" s="44" t="s">
        <v>338</v>
      </c>
      <c r="C34" s="44" t="s">
        <v>339</v>
      </c>
      <c r="D34" s="44" t="s">
        <v>178</v>
      </c>
      <c r="E34" s="44"/>
      <c r="F34" s="45" t="s">
        <v>111</v>
      </c>
      <c r="G34" s="44"/>
      <c r="H34" s="44"/>
      <c r="I34" s="240" t="s">
        <v>413</v>
      </c>
    </row>
    <row r="35" spans="1:9" s="46" customFormat="1" ht="54">
      <c r="A35" s="239">
        <f t="shared" si="1"/>
        <v>32</v>
      </c>
      <c r="B35" s="44" t="s">
        <v>341</v>
      </c>
      <c r="C35" s="44" t="s">
        <v>342</v>
      </c>
      <c r="D35" s="44" t="s">
        <v>178</v>
      </c>
      <c r="E35" s="44"/>
      <c r="F35" s="45" t="s">
        <v>111</v>
      </c>
      <c r="G35" s="44"/>
      <c r="H35" s="44"/>
      <c r="I35" s="240" t="s">
        <v>414</v>
      </c>
    </row>
    <row r="36" spans="1:9" s="46" customFormat="1" ht="54.75" thickBot="1">
      <c r="A36" s="243">
        <f t="shared" si="1"/>
        <v>33</v>
      </c>
      <c r="B36" s="244" t="s">
        <v>344</v>
      </c>
      <c r="C36" s="244" t="s">
        <v>345</v>
      </c>
      <c r="D36" s="244" t="s">
        <v>178</v>
      </c>
      <c r="E36" s="244"/>
      <c r="F36" s="245" t="s">
        <v>111</v>
      </c>
      <c r="G36" s="244"/>
      <c r="H36" s="244"/>
      <c r="I36" s="248" t="s">
        <v>415</v>
      </c>
    </row>
    <row r="37" spans="1:9" s="46" customFormat="1"/>
    <row r="38" spans="1:9" s="46" customFormat="1"/>
  </sheetData>
  <phoneticPr fontId="6"/>
  <pageMargins left="0.19685039370078741" right="0.19685039370078741" top="0.23622047244094491" bottom="0.19685039370078741" header="0.19685039370078741" footer="0.11811023622047245"/>
  <pageSetup paperSize="9" scale="48" fitToHeight="0" orientation="landscape" r:id="rId1"/>
  <headerFooter alignWithMargins="0">
    <oddFooter>&amp;C&amp;"Times New Roman,標準"&amp;10&amp;P/&amp;N&amp;R&amp;"Times New Roman,標準"&amp;9Copyright(C) 2017-2018 VINX Corporation. All Rights Reserved.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18"/>
  <sheetViews>
    <sheetView zoomScaleNormal="100" workbookViewId="0">
      <pane xSplit="3" ySplit="3" topLeftCell="D4" activePane="bottomRight" state="frozen"/>
      <selection pane="topRight" activeCell="AY30" sqref="AY30"/>
      <selection pane="bottomLeft" activeCell="AY30" sqref="AY30"/>
      <selection pane="bottomRight" activeCell="D4" sqref="D4"/>
    </sheetView>
  </sheetViews>
  <sheetFormatPr defaultColWidth="9" defaultRowHeight="13.5"/>
  <cols>
    <col min="1" max="1" width="4.625" style="1" customWidth="1"/>
    <col min="2" max="2" width="26.875" style="1" customWidth="1"/>
    <col min="3" max="3" width="26.5" style="1" customWidth="1"/>
    <col min="4" max="5" width="13.625" style="1" customWidth="1"/>
    <col min="6" max="6" width="9" style="1"/>
    <col min="7" max="7" width="10.375" style="1" bestFit="1" customWidth="1"/>
    <col min="8" max="8" width="9" style="1"/>
    <col min="9" max="9" width="40.25" style="1" customWidth="1"/>
    <col min="10" max="16384" width="9" style="1"/>
  </cols>
  <sheetData>
    <row r="1" spans="1:10">
      <c r="A1" s="1" t="s">
        <v>416</v>
      </c>
    </row>
    <row r="2" spans="1:10" ht="14.25" thickBot="1"/>
    <row r="3" spans="1:10" ht="51.75" customHeight="1">
      <c r="A3" s="51" t="s">
        <v>99</v>
      </c>
      <c r="B3" s="52" t="s">
        <v>100</v>
      </c>
      <c r="C3" s="52" t="s">
        <v>101</v>
      </c>
      <c r="D3" s="52" t="s">
        <v>102</v>
      </c>
      <c r="E3" s="52" t="s">
        <v>103</v>
      </c>
      <c r="F3" s="52" t="s">
        <v>104</v>
      </c>
      <c r="G3" s="53" t="s">
        <v>105</v>
      </c>
      <c r="H3" s="54" t="s">
        <v>106</v>
      </c>
      <c r="I3" s="55" t="s">
        <v>107</v>
      </c>
    </row>
    <row r="4" spans="1:10" s="50" customFormat="1">
      <c r="A4" s="239">
        <f t="shared" ref="A4" si="0">ROW() - 3</f>
        <v>1</v>
      </c>
      <c r="B4" s="44" t="s">
        <v>108</v>
      </c>
      <c r="C4" s="44" t="s">
        <v>109</v>
      </c>
      <c r="D4" s="44" t="s">
        <v>110</v>
      </c>
      <c r="E4" s="44">
        <v>1</v>
      </c>
      <c r="F4" s="45" t="s">
        <v>111</v>
      </c>
      <c r="G4" s="44"/>
      <c r="H4" s="44"/>
      <c r="I4" s="240" t="s">
        <v>112</v>
      </c>
    </row>
    <row r="5" spans="1:10" s="46" customFormat="1">
      <c r="A5" s="239">
        <f t="shared" ref="A5:A11" si="1">ROW() - 3</f>
        <v>2</v>
      </c>
      <c r="B5" s="44" t="s">
        <v>113</v>
      </c>
      <c r="C5" s="44" t="s">
        <v>114</v>
      </c>
      <c r="D5" s="44" t="s">
        <v>110</v>
      </c>
      <c r="E5" s="44">
        <v>10</v>
      </c>
      <c r="F5" s="45" t="s">
        <v>111</v>
      </c>
      <c r="G5" s="44"/>
      <c r="H5" s="44">
        <v>1</v>
      </c>
      <c r="I5" s="240" t="s">
        <v>115</v>
      </c>
    </row>
    <row r="6" spans="1:10" s="46" customFormat="1">
      <c r="A6" s="239">
        <f t="shared" si="1"/>
        <v>3</v>
      </c>
      <c r="B6" s="44" t="s">
        <v>116</v>
      </c>
      <c r="C6" s="44" t="s">
        <v>117</v>
      </c>
      <c r="D6" s="44" t="s">
        <v>110</v>
      </c>
      <c r="E6" s="44">
        <v>10</v>
      </c>
      <c r="F6" s="45" t="s">
        <v>111</v>
      </c>
      <c r="G6" s="44"/>
      <c r="H6" s="44">
        <v>2</v>
      </c>
      <c r="I6" s="240" t="s">
        <v>118</v>
      </c>
    </row>
    <row r="7" spans="1:10" s="46" customFormat="1" ht="27">
      <c r="A7" s="239">
        <f t="shared" si="1"/>
        <v>4</v>
      </c>
      <c r="B7" s="44" t="s">
        <v>348</v>
      </c>
      <c r="C7" s="44" t="s">
        <v>349</v>
      </c>
      <c r="D7" s="44" t="s">
        <v>110</v>
      </c>
      <c r="E7" s="288">
        <v>20</v>
      </c>
      <c r="F7" s="45" t="s">
        <v>111</v>
      </c>
      <c r="G7" s="44"/>
      <c r="H7" s="44">
        <v>3</v>
      </c>
      <c r="I7" s="240" t="s">
        <v>417</v>
      </c>
      <c r="J7" s="289" t="s">
        <v>289</v>
      </c>
    </row>
    <row r="8" spans="1:10" s="46" customFormat="1" ht="58.5" customHeight="1">
      <c r="A8" s="239">
        <f t="shared" si="1"/>
        <v>5</v>
      </c>
      <c r="B8" s="44" t="s">
        <v>119</v>
      </c>
      <c r="C8" s="44" t="s">
        <v>296</v>
      </c>
      <c r="D8" s="44" t="s">
        <v>110</v>
      </c>
      <c r="E8" s="44">
        <v>26</v>
      </c>
      <c r="F8" s="45" t="s">
        <v>125</v>
      </c>
      <c r="G8" s="44"/>
      <c r="H8" s="44">
        <v>4</v>
      </c>
      <c r="I8" s="240" t="s">
        <v>418</v>
      </c>
    </row>
    <row r="9" spans="1:10" s="46" customFormat="1">
      <c r="A9" s="239">
        <f t="shared" si="1"/>
        <v>6</v>
      </c>
      <c r="B9" s="44" t="s">
        <v>419</v>
      </c>
      <c r="C9" s="44" t="s">
        <v>242</v>
      </c>
      <c r="D9" s="44" t="s">
        <v>110</v>
      </c>
      <c r="E9" s="44">
        <v>10</v>
      </c>
      <c r="F9" s="45" t="s">
        <v>111</v>
      </c>
      <c r="G9" s="44"/>
      <c r="H9" s="44"/>
      <c r="I9" s="240" t="s">
        <v>420</v>
      </c>
    </row>
    <row r="10" spans="1:10" s="46" customFormat="1" ht="40.5">
      <c r="A10" s="239">
        <f t="shared" si="1"/>
        <v>7</v>
      </c>
      <c r="B10" s="48" t="s">
        <v>421</v>
      </c>
      <c r="C10" s="48" t="s">
        <v>422</v>
      </c>
      <c r="D10" s="48" t="s">
        <v>423</v>
      </c>
      <c r="E10" s="48"/>
      <c r="F10" s="49"/>
      <c r="G10" s="48"/>
      <c r="H10" s="48"/>
      <c r="I10" s="250" t="s">
        <v>424</v>
      </c>
    </row>
    <row r="11" spans="1:10" s="46" customFormat="1" ht="14.25" thickBot="1">
      <c r="A11" s="243">
        <f t="shared" si="1"/>
        <v>8</v>
      </c>
      <c r="B11" s="244" t="s">
        <v>425</v>
      </c>
      <c r="C11" s="244" t="s">
        <v>426</v>
      </c>
      <c r="D11" s="244" t="s">
        <v>427</v>
      </c>
      <c r="E11" s="244"/>
      <c r="F11" s="245"/>
      <c r="G11" s="244"/>
      <c r="H11" s="244"/>
      <c r="I11" s="248" t="s">
        <v>428</v>
      </c>
    </row>
    <row r="12" spans="1:10" s="46" customFormat="1"/>
    <row r="13" spans="1:10" s="46" customFormat="1"/>
    <row r="14" spans="1:10" s="46" customFormat="1"/>
    <row r="15" spans="1:10" s="46" customFormat="1"/>
    <row r="16" spans="1:10" s="46" customFormat="1"/>
    <row r="17" s="46" customFormat="1"/>
    <row r="18" s="46" customFormat="1"/>
  </sheetData>
  <phoneticPr fontId="5"/>
  <pageMargins left="0.19685039370078741" right="0.19685039370078741" top="0.23622047244094491" bottom="0.19685039370078741" header="0.19685039370078741" footer="0.11811023622047245"/>
  <pageSetup paperSize="9" scale="48" fitToHeight="0" orientation="landscape" r:id="rId1"/>
  <headerFooter alignWithMargins="0">
    <oddFooter>&amp;C&amp;"Times New Roman,標準"&amp;10&amp;P/&amp;N&amp;R&amp;"Times New Roman,標準"&amp;9Copyright(C) 2017-2018 VINX Corporation. All Rights Reserved.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891D1-AF74-4980-841E-5B34D85F7416}">
  <dimension ref="A1:I31"/>
  <sheetViews>
    <sheetView zoomScale="85" zoomScaleNormal="85" workbookViewId="0"/>
  </sheetViews>
  <sheetFormatPr defaultColWidth="9" defaultRowHeight="13.5"/>
  <cols>
    <col min="1" max="1" width="5.625" style="46" customWidth="1"/>
    <col min="2" max="3" width="28.375" style="46" customWidth="1"/>
    <col min="4" max="5" width="13.625" style="46" customWidth="1"/>
    <col min="6" max="8" width="9" style="46" customWidth="1"/>
    <col min="9" max="9" width="67" style="46" customWidth="1"/>
    <col min="10" max="16384" width="9" style="46"/>
  </cols>
  <sheetData>
    <row r="1" spans="1:9">
      <c r="A1" s="46" t="s">
        <v>429</v>
      </c>
    </row>
    <row r="2" spans="1:9" ht="14.25" thickBot="1"/>
    <row r="3" spans="1:9" ht="31.5" customHeight="1">
      <c r="A3" s="51" t="s">
        <v>99</v>
      </c>
      <c r="B3" s="52" t="s">
        <v>100</v>
      </c>
      <c r="C3" s="52" t="s">
        <v>101</v>
      </c>
      <c r="D3" s="52" t="s">
        <v>102</v>
      </c>
      <c r="E3" s="52" t="s">
        <v>103</v>
      </c>
      <c r="F3" s="52" t="s">
        <v>104</v>
      </c>
      <c r="G3" s="53" t="s">
        <v>105</v>
      </c>
      <c r="H3" s="54" t="s">
        <v>430</v>
      </c>
      <c r="I3" s="55" t="s">
        <v>107</v>
      </c>
    </row>
    <row r="4" spans="1:9" s="50" customFormat="1">
      <c r="A4" s="239">
        <f t="shared" ref="A4" si="0">ROW() - 3</f>
        <v>1</v>
      </c>
      <c r="B4" s="44" t="s">
        <v>108</v>
      </c>
      <c r="C4" s="44" t="s">
        <v>109</v>
      </c>
      <c r="D4" s="44" t="s">
        <v>110</v>
      </c>
      <c r="E4" s="44">
        <v>1</v>
      </c>
      <c r="F4" s="45" t="s">
        <v>111</v>
      </c>
      <c r="G4" s="44"/>
      <c r="H4" s="44"/>
      <c r="I4" s="240" t="s">
        <v>112</v>
      </c>
    </row>
    <row r="5" spans="1:9" ht="31.5" customHeight="1">
      <c r="A5" s="239">
        <f>ROW() - 3</f>
        <v>2</v>
      </c>
      <c r="B5" s="44" t="s">
        <v>113</v>
      </c>
      <c r="C5" s="44" t="s">
        <v>114</v>
      </c>
      <c r="D5" s="44" t="s">
        <v>110</v>
      </c>
      <c r="E5" s="44">
        <v>10</v>
      </c>
      <c r="F5" s="45" t="s">
        <v>111</v>
      </c>
      <c r="G5" s="44"/>
      <c r="H5" s="44">
        <v>1</v>
      </c>
      <c r="I5" s="240" t="s">
        <v>115</v>
      </c>
    </row>
    <row r="6" spans="1:9" ht="31.5" customHeight="1">
      <c r="A6" s="239">
        <f>ROW() - 3</f>
        <v>3</v>
      </c>
      <c r="B6" s="44" t="s">
        <v>116</v>
      </c>
      <c r="C6" s="44" t="s">
        <v>117</v>
      </c>
      <c r="D6" s="44" t="s">
        <v>110</v>
      </c>
      <c r="E6" s="44">
        <v>10</v>
      </c>
      <c r="F6" s="45" t="s">
        <v>111</v>
      </c>
      <c r="G6" s="44"/>
      <c r="H6" s="44">
        <v>2</v>
      </c>
      <c r="I6" s="240" t="s">
        <v>118</v>
      </c>
    </row>
    <row r="7" spans="1:9" ht="31.5" customHeight="1">
      <c r="A7" s="239">
        <f>ROW() - 3</f>
        <v>4</v>
      </c>
      <c r="B7" s="44" t="s">
        <v>431</v>
      </c>
      <c r="C7" s="44" t="s">
        <v>432</v>
      </c>
      <c r="D7" s="44" t="s">
        <v>110</v>
      </c>
      <c r="E7" s="44">
        <v>10</v>
      </c>
      <c r="F7" s="45" t="s">
        <v>111</v>
      </c>
      <c r="G7" s="44"/>
      <c r="H7" s="44">
        <v>3</v>
      </c>
      <c r="I7" s="240" t="s">
        <v>433</v>
      </c>
    </row>
    <row r="8" spans="1:9" ht="31.5" customHeight="1">
      <c r="A8" s="239">
        <f>ROW() - 3</f>
        <v>5</v>
      </c>
      <c r="B8" s="44" t="s">
        <v>136</v>
      </c>
      <c r="C8" s="44" t="s">
        <v>434</v>
      </c>
      <c r="D8" s="44" t="s">
        <v>110</v>
      </c>
      <c r="E8" s="44">
        <v>50</v>
      </c>
      <c r="F8" s="45"/>
      <c r="G8" s="44"/>
      <c r="H8" s="44"/>
      <c r="I8" s="240" t="s">
        <v>435</v>
      </c>
    </row>
    <row r="9" spans="1:9" ht="31.5" customHeight="1">
      <c r="A9" s="239">
        <f t="shared" ref="A9:A31" si="1">ROW() - 3</f>
        <v>6</v>
      </c>
      <c r="B9" s="44" t="s">
        <v>241</v>
      </c>
      <c r="C9" s="44" t="s">
        <v>273</v>
      </c>
      <c r="D9" s="44" t="s">
        <v>110</v>
      </c>
      <c r="E9" s="44">
        <v>10</v>
      </c>
      <c r="F9" s="45" t="s">
        <v>125</v>
      </c>
      <c r="G9" s="44"/>
      <c r="H9" s="44">
        <v>4</v>
      </c>
      <c r="I9" s="240" t="s">
        <v>436</v>
      </c>
    </row>
    <row r="10" spans="1:9" ht="31.5" customHeight="1">
      <c r="A10" s="239">
        <f t="shared" si="1"/>
        <v>7</v>
      </c>
      <c r="B10" s="44" t="s">
        <v>244</v>
      </c>
      <c r="C10" s="44" t="s">
        <v>274</v>
      </c>
      <c r="D10" s="44" t="s">
        <v>168</v>
      </c>
      <c r="E10" s="44"/>
      <c r="F10" s="45" t="s">
        <v>125</v>
      </c>
      <c r="G10" s="44"/>
      <c r="H10" s="44">
        <v>5</v>
      </c>
      <c r="I10" s="240" t="s">
        <v>437</v>
      </c>
    </row>
    <row r="11" spans="1:9" ht="31.5" customHeight="1">
      <c r="A11" s="239">
        <f t="shared" si="1"/>
        <v>8</v>
      </c>
      <c r="B11" s="44" t="s">
        <v>290</v>
      </c>
      <c r="C11" s="44" t="s">
        <v>291</v>
      </c>
      <c r="D11" s="44" t="s">
        <v>110</v>
      </c>
      <c r="E11" s="44">
        <v>10</v>
      </c>
      <c r="F11" s="45" t="s">
        <v>125</v>
      </c>
      <c r="G11" s="44"/>
      <c r="H11" s="44">
        <v>6</v>
      </c>
      <c r="I11" s="240" t="s">
        <v>438</v>
      </c>
    </row>
    <row r="12" spans="1:9" ht="31.5" customHeight="1">
      <c r="A12" s="239">
        <f t="shared" si="1"/>
        <v>9</v>
      </c>
      <c r="B12" s="44" t="s">
        <v>439</v>
      </c>
      <c r="C12" s="44" t="s">
        <v>440</v>
      </c>
      <c r="D12" s="44" t="s">
        <v>110</v>
      </c>
      <c r="E12" s="44">
        <v>2</v>
      </c>
      <c r="F12" s="45" t="s">
        <v>125</v>
      </c>
      <c r="G12" s="44"/>
      <c r="H12" s="44"/>
      <c r="I12" s="240" t="s">
        <v>441</v>
      </c>
    </row>
    <row r="13" spans="1:9" ht="31.5" customHeight="1">
      <c r="A13" s="239">
        <f t="shared" si="1"/>
        <v>10</v>
      </c>
      <c r="B13" s="44" t="s">
        <v>298</v>
      </c>
      <c r="C13" s="44" t="s">
        <v>299</v>
      </c>
      <c r="D13" s="44" t="s">
        <v>110</v>
      </c>
      <c r="E13" s="44">
        <v>2</v>
      </c>
      <c r="F13" s="45" t="s">
        <v>125</v>
      </c>
      <c r="G13" s="44"/>
      <c r="H13" s="44"/>
      <c r="I13" s="240" t="s">
        <v>442</v>
      </c>
    </row>
    <row r="14" spans="1:9" ht="31.5" customHeight="1">
      <c r="A14" s="239">
        <f t="shared" si="1"/>
        <v>11</v>
      </c>
      <c r="B14" s="44" t="s">
        <v>301</v>
      </c>
      <c r="C14" s="44" t="s">
        <v>302</v>
      </c>
      <c r="D14" s="44" t="s">
        <v>151</v>
      </c>
      <c r="E14" s="44"/>
      <c r="F14" s="45" t="s">
        <v>125</v>
      </c>
      <c r="G14" s="44"/>
      <c r="H14" s="44"/>
      <c r="I14" s="240" t="s">
        <v>443</v>
      </c>
    </row>
    <row r="15" spans="1:9" ht="31.5" customHeight="1">
      <c r="A15" s="239">
        <f t="shared" si="1"/>
        <v>12</v>
      </c>
      <c r="B15" s="44" t="s">
        <v>444</v>
      </c>
      <c r="C15" s="44" t="s">
        <v>445</v>
      </c>
      <c r="D15" s="44" t="s">
        <v>226</v>
      </c>
      <c r="E15" s="44">
        <v>7</v>
      </c>
      <c r="F15" s="45" t="s">
        <v>125</v>
      </c>
      <c r="G15" s="44"/>
      <c r="H15" s="44">
        <v>7</v>
      </c>
      <c r="I15" s="240" t="s">
        <v>446</v>
      </c>
    </row>
    <row r="16" spans="1:9" ht="31.5" customHeight="1">
      <c r="A16" s="239">
        <f t="shared" si="1"/>
        <v>13</v>
      </c>
      <c r="B16" s="44" t="s">
        <v>317</v>
      </c>
      <c r="C16" s="44" t="s">
        <v>318</v>
      </c>
      <c r="D16" s="44" t="s">
        <v>226</v>
      </c>
      <c r="E16" s="44">
        <v>7</v>
      </c>
      <c r="F16" s="45" t="s">
        <v>125</v>
      </c>
      <c r="G16" s="44"/>
      <c r="H16" s="44"/>
      <c r="I16" s="240" t="s">
        <v>447</v>
      </c>
    </row>
    <row r="17" spans="1:9" ht="31.5" customHeight="1">
      <c r="A17" s="239">
        <f t="shared" si="1"/>
        <v>14</v>
      </c>
      <c r="B17" s="44" t="s">
        <v>320</v>
      </c>
      <c r="C17" s="44" t="s">
        <v>321</v>
      </c>
      <c r="D17" s="44" t="s">
        <v>226</v>
      </c>
      <c r="E17" s="44">
        <v>7</v>
      </c>
      <c r="F17" s="45" t="s">
        <v>125</v>
      </c>
      <c r="G17" s="44"/>
      <c r="H17" s="44"/>
      <c r="I17" s="240" t="s">
        <v>448</v>
      </c>
    </row>
    <row r="18" spans="1:9" ht="31.5" customHeight="1">
      <c r="A18" s="239">
        <f t="shared" si="1"/>
        <v>15</v>
      </c>
      <c r="B18" s="44" t="s">
        <v>449</v>
      </c>
      <c r="C18" s="44" t="s">
        <v>450</v>
      </c>
      <c r="D18" s="44" t="s">
        <v>451</v>
      </c>
      <c r="E18" s="44">
        <v>7</v>
      </c>
      <c r="F18" s="45"/>
      <c r="G18" s="44"/>
      <c r="H18" s="44"/>
      <c r="I18" s="240" t="s">
        <v>452</v>
      </c>
    </row>
    <row r="19" spans="1:9" ht="31.5" customHeight="1">
      <c r="A19" s="239">
        <f t="shared" si="1"/>
        <v>16</v>
      </c>
      <c r="B19" s="44" t="s">
        <v>453</v>
      </c>
      <c r="C19" s="44" t="s">
        <v>454</v>
      </c>
      <c r="D19" s="44" t="s">
        <v>451</v>
      </c>
      <c r="E19" s="44">
        <v>7</v>
      </c>
      <c r="F19" s="45"/>
      <c r="G19" s="44"/>
      <c r="H19" s="44"/>
      <c r="I19" s="240" t="s">
        <v>455</v>
      </c>
    </row>
    <row r="20" spans="1:9" ht="58.5" customHeight="1">
      <c r="A20" s="239">
        <v>15</v>
      </c>
      <c r="B20" s="44" t="s">
        <v>323</v>
      </c>
      <c r="C20" s="44" t="s">
        <v>324</v>
      </c>
      <c r="D20" s="44" t="s">
        <v>210</v>
      </c>
      <c r="E20" s="44"/>
      <c r="F20" s="45" t="s">
        <v>111</v>
      </c>
      <c r="G20" s="44"/>
      <c r="H20" s="44"/>
      <c r="I20" s="240" t="s">
        <v>456</v>
      </c>
    </row>
    <row r="21" spans="1:9" ht="31.5" customHeight="1">
      <c r="A21" s="239">
        <v>16</v>
      </c>
      <c r="B21" s="44" t="s">
        <v>326</v>
      </c>
      <c r="C21" s="44" t="s">
        <v>327</v>
      </c>
      <c r="D21" s="44" t="s">
        <v>178</v>
      </c>
      <c r="E21" s="44"/>
      <c r="F21" s="45" t="s">
        <v>111</v>
      </c>
      <c r="G21" s="44"/>
      <c r="H21" s="44"/>
      <c r="I21" s="240" t="s">
        <v>457</v>
      </c>
    </row>
    <row r="22" spans="1:9" ht="31.5" customHeight="1">
      <c r="A22" s="239">
        <v>17</v>
      </c>
      <c r="B22" s="44" t="s">
        <v>329</v>
      </c>
      <c r="C22" s="44" t="s">
        <v>330</v>
      </c>
      <c r="D22" s="44" t="s">
        <v>178</v>
      </c>
      <c r="E22" s="44"/>
      <c r="F22" s="45" t="s">
        <v>111</v>
      </c>
      <c r="G22" s="44"/>
      <c r="H22" s="44"/>
      <c r="I22" s="240" t="s">
        <v>458</v>
      </c>
    </row>
    <row r="23" spans="1:9" ht="31.5" customHeight="1">
      <c r="A23" s="239">
        <v>18</v>
      </c>
      <c r="B23" s="44" t="s">
        <v>332</v>
      </c>
      <c r="C23" s="44" t="s">
        <v>333</v>
      </c>
      <c r="D23" s="44" t="s">
        <v>178</v>
      </c>
      <c r="E23" s="44"/>
      <c r="F23" s="45" t="s">
        <v>111</v>
      </c>
      <c r="G23" s="44"/>
      <c r="H23" s="44"/>
      <c r="I23" s="240" t="s">
        <v>459</v>
      </c>
    </row>
    <row r="24" spans="1:9" ht="31.5" customHeight="1">
      <c r="A24" s="239">
        <v>19</v>
      </c>
      <c r="B24" s="44" t="s">
        <v>335</v>
      </c>
      <c r="C24" s="44" t="s">
        <v>336</v>
      </c>
      <c r="D24" s="44" t="s">
        <v>178</v>
      </c>
      <c r="E24" s="44"/>
      <c r="F24" s="45" t="s">
        <v>111</v>
      </c>
      <c r="G24" s="44"/>
      <c r="H24" s="44"/>
      <c r="I24" s="240" t="s">
        <v>460</v>
      </c>
    </row>
    <row r="25" spans="1:9" ht="31.5" customHeight="1">
      <c r="A25" s="239">
        <v>20</v>
      </c>
      <c r="B25" s="44" t="s">
        <v>338</v>
      </c>
      <c r="C25" s="44" t="s">
        <v>339</v>
      </c>
      <c r="D25" s="44" t="s">
        <v>178</v>
      </c>
      <c r="E25" s="44"/>
      <c r="F25" s="45" t="s">
        <v>111</v>
      </c>
      <c r="G25" s="44"/>
      <c r="H25" s="44"/>
      <c r="I25" s="240" t="s">
        <v>461</v>
      </c>
    </row>
    <row r="26" spans="1:9" ht="31.5" customHeight="1">
      <c r="A26" s="239">
        <v>21</v>
      </c>
      <c r="B26" s="44" t="s">
        <v>341</v>
      </c>
      <c r="C26" s="44" t="s">
        <v>342</v>
      </c>
      <c r="D26" s="44" t="s">
        <v>178</v>
      </c>
      <c r="E26" s="44"/>
      <c r="F26" s="45" t="s">
        <v>111</v>
      </c>
      <c r="G26" s="44"/>
      <c r="H26" s="44"/>
      <c r="I26" s="240" t="s">
        <v>462</v>
      </c>
    </row>
    <row r="27" spans="1:9" ht="31.5" customHeight="1">
      <c r="A27" s="239">
        <v>22</v>
      </c>
      <c r="B27" s="44" t="s">
        <v>344</v>
      </c>
      <c r="C27" s="44" t="s">
        <v>345</v>
      </c>
      <c r="D27" s="44" t="s">
        <v>178</v>
      </c>
      <c r="E27" s="44"/>
      <c r="F27" s="45" t="s">
        <v>111</v>
      </c>
      <c r="G27" s="44"/>
      <c r="H27" s="44"/>
      <c r="I27" s="240" t="s">
        <v>463</v>
      </c>
    </row>
    <row r="28" spans="1:9" ht="31.5" customHeight="1">
      <c r="A28" s="239">
        <f t="shared" si="1"/>
        <v>25</v>
      </c>
      <c r="B28" s="44" t="s">
        <v>464</v>
      </c>
      <c r="C28" s="44" t="s">
        <v>465</v>
      </c>
      <c r="D28" s="44" t="s">
        <v>168</v>
      </c>
      <c r="E28" s="44"/>
      <c r="F28" s="45" t="s">
        <v>125</v>
      </c>
      <c r="G28" s="44"/>
      <c r="H28" s="44"/>
      <c r="I28" s="240" t="s">
        <v>466</v>
      </c>
    </row>
    <row r="29" spans="1:9" ht="31.5" customHeight="1">
      <c r="A29" s="239">
        <f t="shared" si="1"/>
        <v>26</v>
      </c>
      <c r="B29" s="44" t="s">
        <v>467</v>
      </c>
      <c r="C29" s="44" t="s">
        <v>468</v>
      </c>
      <c r="D29" s="44" t="s">
        <v>110</v>
      </c>
      <c r="E29" s="44">
        <v>80</v>
      </c>
      <c r="F29" s="45"/>
      <c r="G29" s="44"/>
      <c r="H29" s="44"/>
      <c r="I29" s="240" t="s">
        <v>469</v>
      </c>
    </row>
    <row r="30" spans="1:9" ht="31.5" customHeight="1">
      <c r="A30" s="239">
        <f t="shared" si="1"/>
        <v>27</v>
      </c>
      <c r="B30" s="44" t="s">
        <v>470</v>
      </c>
      <c r="C30" s="44" t="s">
        <v>471</v>
      </c>
      <c r="D30" s="44" t="s">
        <v>168</v>
      </c>
      <c r="E30" s="44"/>
      <c r="F30" s="45"/>
      <c r="G30" s="44"/>
      <c r="H30" s="44"/>
      <c r="I30" s="240" t="s">
        <v>472</v>
      </c>
    </row>
    <row r="31" spans="1:9" ht="31.5" customHeight="1" thickBot="1">
      <c r="A31" s="243">
        <f t="shared" si="1"/>
        <v>28</v>
      </c>
      <c r="B31" s="244" t="s">
        <v>473</v>
      </c>
      <c r="C31" s="244" t="s">
        <v>474</v>
      </c>
      <c r="D31" s="244" t="s">
        <v>168</v>
      </c>
      <c r="E31" s="244"/>
      <c r="F31" s="245" t="s">
        <v>125</v>
      </c>
      <c r="G31" s="244"/>
      <c r="H31" s="244"/>
      <c r="I31" s="248" t="s">
        <v>475</v>
      </c>
    </row>
  </sheetData>
  <phoneticPr fontId="6"/>
  <pageMargins left="0.31496062992125984" right="0.31496062992125984" top="0.74803149606299213" bottom="0.74803149606299213" header="0.31496062992125984" footer="0.31496062992125984"/>
  <pageSetup paperSize="9" scale="98" orientation="landscape" r:id="rId1"/>
  <headerFooter>
    <oddFooter>&amp;C&amp;"Times New Roman,標準"&amp;10&amp;P/&amp;N&amp;R&amp;"Times New Roman,標準"&amp;9Copyright(C) 2017-2019 VINX Corporation. All Rights Reserved.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AC623-D3BD-4402-98F4-6A2335555F53}">
  <dimension ref="A1:I12"/>
  <sheetViews>
    <sheetView zoomScaleNormal="100" workbookViewId="0"/>
  </sheetViews>
  <sheetFormatPr defaultColWidth="9" defaultRowHeight="13.5"/>
  <cols>
    <col min="1" max="1" width="5.625" style="5" customWidth="1"/>
    <col min="2" max="3" width="28.375" style="5" customWidth="1"/>
    <col min="4" max="5" width="13.625" style="5" customWidth="1"/>
    <col min="6" max="8" width="9" style="5"/>
    <col min="9" max="9" width="28.25" style="5" customWidth="1"/>
    <col min="10" max="16384" width="9" style="5"/>
  </cols>
  <sheetData>
    <row r="1" spans="1:9">
      <c r="A1" s="5" t="s">
        <v>476</v>
      </c>
    </row>
    <row r="2" spans="1:9" ht="14.25" thickBot="1"/>
    <row r="3" spans="1:9" ht="31.5" customHeight="1">
      <c r="A3" s="51" t="s">
        <v>99</v>
      </c>
      <c r="B3" s="52" t="s">
        <v>100</v>
      </c>
      <c r="C3" s="52" t="s">
        <v>101</v>
      </c>
      <c r="D3" s="52" t="s">
        <v>102</v>
      </c>
      <c r="E3" s="52" t="s">
        <v>103</v>
      </c>
      <c r="F3" s="52" t="s">
        <v>104</v>
      </c>
      <c r="G3" s="53" t="s">
        <v>105</v>
      </c>
      <c r="H3" s="54" t="s">
        <v>106</v>
      </c>
      <c r="I3" s="55" t="s">
        <v>107</v>
      </c>
    </row>
    <row r="4" spans="1:9" s="50" customFormat="1" ht="27">
      <c r="A4" s="239">
        <f t="shared" ref="A4" si="0">ROW() - 3</f>
        <v>1</v>
      </c>
      <c r="B4" s="44" t="s">
        <v>108</v>
      </c>
      <c r="C4" s="44" t="s">
        <v>109</v>
      </c>
      <c r="D4" s="44" t="s">
        <v>110</v>
      </c>
      <c r="E4" s="44">
        <v>1</v>
      </c>
      <c r="F4" s="45" t="s">
        <v>111</v>
      </c>
      <c r="G4" s="44"/>
      <c r="H4" s="44"/>
      <c r="I4" s="240" t="s">
        <v>112</v>
      </c>
    </row>
    <row r="5" spans="1:9" s="46" customFormat="1" ht="31.5" customHeight="1">
      <c r="A5" s="239">
        <f t="shared" ref="A5:A11" si="1">ROW() - 3</f>
        <v>2</v>
      </c>
      <c r="B5" s="44" t="s">
        <v>113</v>
      </c>
      <c r="C5" s="44" t="s">
        <v>114</v>
      </c>
      <c r="D5" s="44" t="s">
        <v>110</v>
      </c>
      <c r="E5" s="44">
        <v>10</v>
      </c>
      <c r="F5" s="45" t="s">
        <v>477</v>
      </c>
      <c r="G5" s="44"/>
      <c r="H5" s="44">
        <v>1</v>
      </c>
      <c r="I5" s="240" t="s">
        <v>478</v>
      </c>
    </row>
    <row r="6" spans="1:9" s="46" customFormat="1" ht="31.5" customHeight="1">
      <c r="A6" s="239">
        <f t="shared" si="1"/>
        <v>3</v>
      </c>
      <c r="B6" s="44" t="s">
        <v>116</v>
      </c>
      <c r="C6" s="44" t="s">
        <v>117</v>
      </c>
      <c r="D6" s="44" t="s">
        <v>110</v>
      </c>
      <c r="E6" s="44">
        <v>10</v>
      </c>
      <c r="F6" s="45" t="s">
        <v>111</v>
      </c>
      <c r="G6" s="44"/>
      <c r="H6" s="44">
        <v>2</v>
      </c>
      <c r="I6" s="240" t="s">
        <v>118</v>
      </c>
    </row>
    <row r="7" spans="1:9" s="46" customFormat="1">
      <c r="A7" s="239">
        <f t="shared" si="1"/>
        <v>4</v>
      </c>
      <c r="B7" s="44" t="s">
        <v>479</v>
      </c>
      <c r="C7" s="44" t="s">
        <v>480</v>
      </c>
      <c r="D7" s="44" t="s">
        <v>110</v>
      </c>
      <c r="E7" s="44">
        <v>16</v>
      </c>
      <c r="F7" s="45" t="s">
        <v>111</v>
      </c>
      <c r="G7" s="44"/>
      <c r="H7" s="44">
        <v>3</v>
      </c>
      <c r="I7" s="240"/>
    </row>
    <row r="8" spans="1:9" s="46" customFormat="1" ht="111.75" customHeight="1">
      <c r="A8" s="239">
        <f t="shared" si="1"/>
        <v>5</v>
      </c>
      <c r="B8" s="44" t="s">
        <v>481</v>
      </c>
      <c r="C8" s="44" t="s">
        <v>482</v>
      </c>
      <c r="D8" s="44" t="s">
        <v>110</v>
      </c>
      <c r="E8" s="44">
        <v>2</v>
      </c>
      <c r="F8" s="45" t="s">
        <v>125</v>
      </c>
      <c r="G8" s="44"/>
      <c r="H8" s="44"/>
      <c r="I8" s="240" t="s">
        <v>483</v>
      </c>
    </row>
    <row r="9" spans="1:9" s="46" customFormat="1">
      <c r="A9" s="239">
        <f t="shared" si="1"/>
        <v>6</v>
      </c>
      <c r="B9" s="44" t="s">
        <v>314</v>
      </c>
      <c r="C9" s="44" t="s">
        <v>484</v>
      </c>
      <c r="D9" s="44" t="s">
        <v>110</v>
      </c>
      <c r="E9" s="44">
        <v>50</v>
      </c>
      <c r="F9" s="45"/>
      <c r="G9" s="44"/>
      <c r="H9" s="44"/>
      <c r="I9" s="240"/>
    </row>
    <row r="10" spans="1:9" s="46" customFormat="1">
      <c r="A10" s="77">
        <f t="shared" si="1"/>
        <v>7</v>
      </c>
      <c r="B10" s="44" t="s">
        <v>485</v>
      </c>
      <c r="C10" s="44" t="s">
        <v>486</v>
      </c>
      <c r="D10" s="44" t="s">
        <v>487</v>
      </c>
      <c r="E10" s="44">
        <v>50</v>
      </c>
      <c r="F10" s="45"/>
      <c r="G10" s="44"/>
      <c r="H10" s="44"/>
      <c r="I10" s="251"/>
    </row>
    <row r="11" spans="1:9" s="46" customFormat="1" ht="14.25" thickBot="1">
      <c r="A11" s="78">
        <f t="shared" si="1"/>
        <v>8</v>
      </c>
      <c r="B11" s="244" t="s">
        <v>101</v>
      </c>
      <c r="C11" s="244" t="s">
        <v>488</v>
      </c>
      <c r="D11" s="244" t="s">
        <v>487</v>
      </c>
      <c r="E11" s="244">
        <v>50</v>
      </c>
      <c r="F11" s="245"/>
      <c r="G11" s="244"/>
      <c r="H11" s="244"/>
      <c r="I11" s="246"/>
    </row>
    <row r="12" spans="1:9" s="46" customFormat="1"/>
  </sheetData>
  <phoneticPr fontId="6"/>
  <pageMargins left="0.31496062992125984" right="0.31496062992125984" top="0.74803149606299213" bottom="0.74803149606299213" header="0.31496062992125984" footer="0.31496062992125984"/>
  <pageSetup paperSize="9" scale="98" orientation="landscape" r:id="rId1"/>
  <headerFooter>
    <oddFooter>&amp;C&amp;"Times New Roman,標準"&amp;10&amp;P/&amp;N&amp;R&amp;"Times New Roman,標準"&amp;9Copyright(C) 2017-2019 VINX Corporation. All Rights Reserved.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DC4F8-F1CE-436B-BA40-D0473584FD90}">
  <dimension ref="A1:I10"/>
  <sheetViews>
    <sheetView zoomScaleNormal="100" workbookViewId="0"/>
  </sheetViews>
  <sheetFormatPr defaultColWidth="9" defaultRowHeight="13.5"/>
  <cols>
    <col min="1" max="1" width="5.625" style="5" customWidth="1"/>
    <col min="2" max="3" width="28.375" style="5" customWidth="1"/>
    <col min="4" max="5" width="13.625" style="5" customWidth="1"/>
    <col min="6" max="8" width="9" style="5"/>
    <col min="9" max="9" width="28.25" style="5" customWidth="1"/>
    <col min="10" max="16384" width="9" style="5"/>
  </cols>
  <sheetData>
    <row r="1" spans="1:9" s="46" customFormat="1">
      <c r="A1" s="46" t="s">
        <v>489</v>
      </c>
    </row>
    <row r="2" spans="1:9" s="46" customFormat="1" ht="18" customHeight="1" thickBot="1"/>
    <row r="3" spans="1:9" s="46" customFormat="1" ht="31.5">
      <c r="A3" s="51" t="s">
        <v>99</v>
      </c>
      <c r="B3" s="52" t="s">
        <v>100</v>
      </c>
      <c r="C3" s="52" t="s">
        <v>101</v>
      </c>
      <c r="D3" s="52" t="s">
        <v>102</v>
      </c>
      <c r="E3" s="52" t="s">
        <v>103</v>
      </c>
      <c r="F3" s="52" t="s">
        <v>104</v>
      </c>
      <c r="G3" s="53" t="s">
        <v>105</v>
      </c>
      <c r="H3" s="54" t="s">
        <v>106</v>
      </c>
      <c r="I3" s="55" t="s">
        <v>107</v>
      </c>
    </row>
    <row r="4" spans="1:9" s="50" customFormat="1" ht="27">
      <c r="A4" s="239">
        <f t="shared" ref="A4" si="0">ROW() - 3</f>
        <v>1</v>
      </c>
      <c r="B4" s="44" t="s">
        <v>108</v>
      </c>
      <c r="C4" s="44" t="s">
        <v>109</v>
      </c>
      <c r="D4" s="44" t="s">
        <v>110</v>
      </c>
      <c r="E4" s="44">
        <v>1</v>
      </c>
      <c r="F4" s="45" t="s">
        <v>111</v>
      </c>
      <c r="G4" s="44"/>
      <c r="H4" s="44"/>
      <c r="I4" s="240" t="s">
        <v>112</v>
      </c>
    </row>
    <row r="5" spans="1:9" s="46" customFormat="1" ht="31.5" customHeight="1">
      <c r="A5" s="239">
        <f>ROW() - 3</f>
        <v>2</v>
      </c>
      <c r="B5" s="44" t="s">
        <v>113</v>
      </c>
      <c r="C5" s="44" t="s">
        <v>114</v>
      </c>
      <c r="D5" s="44" t="s">
        <v>110</v>
      </c>
      <c r="E5" s="44">
        <v>10</v>
      </c>
      <c r="F5" s="45" t="s">
        <v>111</v>
      </c>
      <c r="G5" s="44"/>
      <c r="H5" s="44">
        <v>1</v>
      </c>
      <c r="I5" s="240" t="s">
        <v>115</v>
      </c>
    </row>
    <row r="6" spans="1:9" s="46" customFormat="1" ht="31.5" customHeight="1">
      <c r="A6" s="239">
        <f t="shared" ref="A6:A8" si="1">ROW() - 3</f>
        <v>3</v>
      </c>
      <c r="B6" s="44" t="s">
        <v>116</v>
      </c>
      <c r="C6" s="44" t="s">
        <v>117</v>
      </c>
      <c r="D6" s="44" t="s">
        <v>110</v>
      </c>
      <c r="E6" s="44">
        <v>10</v>
      </c>
      <c r="F6" s="45" t="s">
        <v>111</v>
      </c>
      <c r="G6" s="44"/>
      <c r="H6" s="44">
        <v>2</v>
      </c>
      <c r="I6" s="240" t="s">
        <v>118</v>
      </c>
    </row>
    <row r="7" spans="1:9" s="46" customFormat="1" ht="31.5" customHeight="1">
      <c r="A7" s="239">
        <f t="shared" si="1"/>
        <v>4</v>
      </c>
      <c r="B7" s="44" t="s">
        <v>479</v>
      </c>
      <c r="C7" s="44" t="s">
        <v>480</v>
      </c>
      <c r="D7" s="44" t="s">
        <v>110</v>
      </c>
      <c r="E7" s="44">
        <v>16</v>
      </c>
      <c r="F7" s="45" t="s">
        <v>111</v>
      </c>
      <c r="G7" s="44"/>
      <c r="H7" s="44">
        <v>3</v>
      </c>
      <c r="I7" s="240"/>
    </row>
    <row r="8" spans="1:9" s="46" customFormat="1" ht="31.5" customHeight="1" thickBot="1">
      <c r="A8" s="243">
        <f t="shared" si="1"/>
        <v>5</v>
      </c>
      <c r="B8" s="244" t="s">
        <v>490</v>
      </c>
      <c r="C8" s="244" t="s">
        <v>491</v>
      </c>
      <c r="D8" s="244" t="s">
        <v>110</v>
      </c>
      <c r="E8" s="244">
        <v>20</v>
      </c>
      <c r="F8" s="245"/>
      <c r="G8" s="244"/>
      <c r="H8" s="244"/>
      <c r="I8" s="249"/>
    </row>
    <row r="10" spans="1:9" s="46" customFormat="1"/>
  </sheetData>
  <phoneticPr fontId="6"/>
  <pageMargins left="0.31496062992125984" right="0.31496062992125984" top="0.74803149606299213" bottom="0.74803149606299213" header="0.31496062992125984" footer="0.31496062992125984"/>
  <pageSetup paperSize="9" scale="98" orientation="landscape" r:id="rId1"/>
  <headerFooter>
    <oddFooter>&amp;C&amp;"Times New Roman,標準"&amp;10&amp;P/&amp;N&amp;R&amp;"Times New Roman,標準"&amp;9Copyright(C) 2017-2019 VINX Corporation. All Rights Reserved.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0C790-4CFF-4ED7-BB11-20E0032D0A5C}">
  <dimension ref="A1:I14"/>
  <sheetViews>
    <sheetView zoomScale="115" zoomScaleNormal="115" workbookViewId="0"/>
  </sheetViews>
  <sheetFormatPr defaultRowHeight="13.5"/>
  <cols>
    <col min="1" max="1" width="4.25" style="50" customWidth="1"/>
    <col min="2" max="2" width="18.75" style="50" bestFit="1" customWidth="1"/>
    <col min="3" max="3" width="27.625" style="50" bestFit="1" customWidth="1"/>
    <col min="4" max="4" width="9.625" style="50" bestFit="1" customWidth="1"/>
    <col min="5" max="5" width="14.75" style="50" bestFit="1" customWidth="1"/>
    <col min="6" max="6" width="7.5" style="50" bestFit="1" customWidth="1"/>
    <col min="7" max="7" width="9.25" style="50" bestFit="1" customWidth="1"/>
    <col min="8" max="8" width="9.875" style="50" bestFit="1" customWidth="1"/>
    <col min="9" max="9" width="36.875" style="50" customWidth="1"/>
    <col min="10" max="16384" width="9" style="50"/>
  </cols>
  <sheetData>
    <row r="1" spans="1:9">
      <c r="A1" s="5" t="s">
        <v>492</v>
      </c>
      <c r="B1" s="5"/>
      <c r="C1" s="5"/>
      <c r="D1" s="5"/>
      <c r="E1" s="5"/>
      <c r="F1" s="5"/>
      <c r="G1" s="5"/>
      <c r="H1" s="5"/>
      <c r="I1" s="5"/>
    </row>
    <row r="2" spans="1:9" ht="14.25" thickBot="1">
      <c r="A2" s="5"/>
      <c r="B2" s="5"/>
      <c r="C2" s="5"/>
      <c r="D2" s="5"/>
      <c r="E2" s="5"/>
      <c r="F2" s="5"/>
      <c r="G2" s="5"/>
      <c r="H2" s="5"/>
      <c r="I2" s="5"/>
    </row>
    <row r="3" spans="1:9" ht="31.5">
      <c r="A3" s="51" t="s">
        <v>99</v>
      </c>
      <c r="B3" s="52" t="s">
        <v>100</v>
      </c>
      <c r="C3" s="52" t="s">
        <v>101</v>
      </c>
      <c r="D3" s="52" t="s">
        <v>102</v>
      </c>
      <c r="E3" s="52" t="s">
        <v>103</v>
      </c>
      <c r="F3" s="52" t="s">
        <v>104</v>
      </c>
      <c r="G3" s="53" t="s">
        <v>105</v>
      </c>
      <c r="H3" s="54" t="s">
        <v>106</v>
      </c>
      <c r="I3" s="55" t="s">
        <v>107</v>
      </c>
    </row>
    <row r="4" spans="1:9">
      <c r="A4" s="239">
        <f t="shared" ref="A4" si="0">ROW() - 3</f>
        <v>1</v>
      </c>
      <c r="B4" s="44" t="s">
        <v>108</v>
      </c>
      <c r="C4" s="44" t="s">
        <v>109</v>
      </c>
      <c r="D4" s="44" t="s">
        <v>110</v>
      </c>
      <c r="E4" s="44">
        <v>1</v>
      </c>
      <c r="F4" s="45" t="s">
        <v>111</v>
      </c>
      <c r="G4" s="44"/>
      <c r="H4" s="44"/>
      <c r="I4" s="240" t="s">
        <v>112</v>
      </c>
    </row>
    <row r="5" spans="1:9">
      <c r="A5" s="239">
        <f>ROW()-3</f>
        <v>2</v>
      </c>
      <c r="B5" s="44" t="s">
        <v>113</v>
      </c>
      <c r="C5" s="44" t="s">
        <v>114</v>
      </c>
      <c r="D5" s="44" t="s">
        <v>110</v>
      </c>
      <c r="E5" s="44">
        <v>10</v>
      </c>
      <c r="F5" s="45" t="s">
        <v>477</v>
      </c>
      <c r="G5" s="44"/>
      <c r="H5" s="44">
        <v>1</v>
      </c>
      <c r="I5" s="240"/>
    </row>
    <row r="6" spans="1:9">
      <c r="A6" s="239">
        <f>ROW() - 3</f>
        <v>3</v>
      </c>
      <c r="B6" s="44" t="s">
        <v>116</v>
      </c>
      <c r="C6" s="44" t="s">
        <v>117</v>
      </c>
      <c r="D6" s="44" t="s">
        <v>110</v>
      </c>
      <c r="E6" s="44">
        <v>10</v>
      </c>
      <c r="F6" s="45" t="s">
        <v>477</v>
      </c>
      <c r="G6" s="44"/>
      <c r="H6" s="44">
        <v>2</v>
      </c>
      <c r="I6" s="240"/>
    </row>
    <row r="7" spans="1:9">
      <c r="A7" s="239">
        <f t="shared" ref="A7:A14" si="1">ROW() - 3</f>
        <v>4</v>
      </c>
      <c r="B7" s="44" t="s">
        <v>493</v>
      </c>
      <c r="C7" s="44" t="s">
        <v>494</v>
      </c>
      <c r="D7" s="44" t="s">
        <v>110</v>
      </c>
      <c r="E7" s="44">
        <v>12</v>
      </c>
      <c r="F7" s="45" t="s">
        <v>477</v>
      </c>
      <c r="G7" s="44"/>
      <c r="H7" s="44">
        <v>3</v>
      </c>
      <c r="I7" s="240"/>
    </row>
    <row r="8" spans="1:9">
      <c r="A8" s="239">
        <f t="shared" si="1"/>
        <v>5</v>
      </c>
      <c r="B8" s="44" t="s">
        <v>495</v>
      </c>
      <c r="C8" s="44" t="s">
        <v>496</v>
      </c>
      <c r="D8" s="44" t="s">
        <v>210</v>
      </c>
      <c r="E8" s="44"/>
      <c r="F8" s="45" t="s">
        <v>477</v>
      </c>
      <c r="G8" s="44"/>
      <c r="H8" s="44">
        <v>4</v>
      </c>
      <c r="I8" s="240"/>
    </row>
    <row r="9" spans="1:9">
      <c r="A9" s="239">
        <f t="shared" si="1"/>
        <v>6</v>
      </c>
      <c r="B9" s="44" t="s">
        <v>497</v>
      </c>
      <c r="C9" s="44" t="s">
        <v>498</v>
      </c>
      <c r="D9" s="44" t="s">
        <v>210</v>
      </c>
      <c r="E9" s="44"/>
      <c r="F9" s="45" t="s">
        <v>477</v>
      </c>
      <c r="G9" s="44"/>
      <c r="H9" s="44">
        <v>5</v>
      </c>
      <c r="I9" s="240"/>
    </row>
    <row r="10" spans="1:9">
      <c r="A10" s="239">
        <f t="shared" si="1"/>
        <v>7</v>
      </c>
      <c r="B10" s="44" t="s">
        <v>122</v>
      </c>
      <c r="C10" s="44" t="s">
        <v>123</v>
      </c>
      <c r="D10" s="44" t="s">
        <v>124</v>
      </c>
      <c r="E10" s="44"/>
      <c r="F10" s="45" t="s">
        <v>477</v>
      </c>
      <c r="G10" s="44"/>
      <c r="H10" s="44">
        <v>6</v>
      </c>
      <c r="I10" s="240"/>
    </row>
    <row r="11" spans="1:9">
      <c r="A11" s="239">
        <f t="shared" si="1"/>
        <v>8</v>
      </c>
      <c r="B11" s="44" t="s">
        <v>499</v>
      </c>
      <c r="C11" s="44" t="s">
        <v>500</v>
      </c>
      <c r="D11" s="44" t="s">
        <v>210</v>
      </c>
      <c r="E11" s="44"/>
      <c r="F11" s="45" t="s">
        <v>477</v>
      </c>
      <c r="G11" s="44"/>
      <c r="H11" s="44"/>
      <c r="I11" s="240"/>
    </row>
    <row r="12" spans="1:9">
      <c r="A12" s="239">
        <f t="shared" si="1"/>
        <v>9</v>
      </c>
      <c r="B12" s="44" t="s">
        <v>501</v>
      </c>
      <c r="C12" s="44" t="s">
        <v>502</v>
      </c>
      <c r="D12" s="44" t="s">
        <v>210</v>
      </c>
      <c r="E12" s="44"/>
      <c r="F12" s="45" t="s">
        <v>477</v>
      </c>
      <c r="G12" s="44"/>
      <c r="H12" s="44"/>
      <c r="I12" s="240"/>
    </row>
    <row r="13" spans="1:9">
      <c r="A13" s="239">
        <f t="shared" si="1"/>
        <v>10</v>
      </c>
      <c r="B13" s="44" t="s">
        <v>136</v>
      </c>
      <c r="C13" s="44" t="s">
        <v>503</v>
      </c>
      <c r="D13" s="44" t="s">
        <v>110</v>
      </c>
      <c r="E13" s="44">
        <v>50</v>
      </c>
      <c r="F13" s="45"/>
      <c r="G13" s="44"/>
      <c r="H13" s="44"/>
      <c r="I13" s="240"/>
    </row>
    <row r="14" spans="1:9" ht="149.25" thickBot="1">
      <c r="A14" s="243">
        <f t="shared" si="1"/>
        <v>11</v>
      </c>
      <c r="B14" s="244" t="s">
        <v>504</v>
      </c>
      <c r="C14" s="244" t="s">
        <v>505</v>
      </c>
      <c r="D14" s="244" t="s">
        <v>110</v>
      </c>
      <c r="E14" s="244">
        <v>50</v>
      </c>
      <c r="F14" s="245"/>
      <c r="G14" s="244"/>
      <c r="H14" s="244"/>
      <c r="I14" s="248" t="s">
        <v>506</v>
      </c>
    </row>
  </sheetData>
  <phoneticPr fontId="5"/>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7D3B5-F2EE-4BDA-B86F-B634CCB4DF34}">
  <dimension ref="A1:J19"/>
  <sheetViews>
    <sheetView zoomScale="115" zoomScaleNormal="115" workbookViewId="0"/>
  </sheetViews>
  <sheetFormatPr defaultRowHeight="13.5"/>
  <cols>
    <col min="1" max="1" width="4.25" style="50" customWidth="1"/>
    <col min="2" max="2" width="18.75" style="50" bestFit="1" customWidth="1"/>
    <col min="3" max="3" width="27.625" style="50" bestFit="1" customWidth="1"/>
    <col min="4" max="4" width="9.625" style="50" bestFit="1" customWidth="1"/>
    <col min="5" max="5" width="14.75" style="50" bestFit="1" customWidth="1"/>
    <col min="6" max="6" width="7.5" style="50" bestFit="1" customWidth="1"/>
    <col min="7" max="7" width="9.25" style="50" bestFit="1" customWidth="1"/>
    <col min="8" max="8" width="9.875" style="50" bestFit="1" customWidth="1"/>
    <col min="9" max="9" width="36.875" style="50" customWidth="1"/>
    <col min="10" max="16384" width="9" style="50"/>
  </cols>
  <sheetData>
    <row r="1" spans="1:10">
      <c r="A1" s="50" t="s">
        <v>507</v>
      </c>
    </row>
    <row r="2" spans="1:10" ht="14.25" thickBot="1"/>
    <row r="3" spans="1:10" ht="31.5">
      <c r="A3" s="51" t="s">
        <v>99</v>
      </c>
      <c r="B3" s="52" t="s">
        <v>100</v>
      </c>
      <c r="C3" s="52" t="s">
        <v>101</v>
      </c>
      <c r="D3" s="52" t="s">
        <v>102</v>
      </c>
      <c r="E3" s="52" t="s">
        <v>103</v>
      </c>
      <c r="F3" s="52" t="s">
        <v>104</v>
      </c>
      <c r="G3" s="53" t="s">
        <v>105</v>
      </c>
      <c r="H3" s="54" t="s">
        <v>106</v>
      </c>
      <c r="I3" s="55" t="s">
        <v>107</v>
      </c>
    </row>
    <row r="4" spans="1:10">
      <c r="A4" s="239">
        <f t="shared" ref="A4" si="0">ROW() - 3</f>
        <v>1</v>
      </c>
      <c r="B4" s="44" t="s">
        <v>108</v>
      </c>
      <c r="C4" s="44" t="s">
        <v>109</v>
      </c>
      <c r="D4" s="44" t="s">
        <v>110</v>
      </c>
      <c r="E4" s="44">
        <v>1</v>
      </c>
      <c r="F4" s="45" t="s">
        <v>111</v>
      </c>
      <c r="G4" s="44"/>
      <c r="H4" s="44"/>
      <c r="I4" s="240" t="s">
        <v>112</v>
      </c>
    </row>
    <row r="5" spans="1:10">
      <c r="A5" s="239">
        <f>ROW() - 3</f>
        <v>2</v>
      </c>
      <c r="B5" s="44" t="s">
        <v>113</v>
      </c>
      <c r="C5" s="44" t="s">
        <v>114</v>
      </c>
      <c r="D5" s="44" t="s">
        <v>110</v>
      </c>
      <c r="E5" s="44">
        <v>10</v>
      </c>
      <c r="F5" s="45" t="s">
        <v>125</v>
      </c>
      <c r="G5" s="44"/>
      <c r="H5" s="44">
        <v>1</v>
      </c>
      <c r="I5" s="240"/>
    </row>
    <row r="6" spans="1:10">
      <c r="A6" s="239">
        <f t="shared" ref="A6:A19" si="1">ROW() - 3</f>
        <v>3</v>
      </c>
      <c r="B6" s="44" t="s">
        <v>116</v>
      </c>
      <c r="C6" s="44" t="s">
        <v>117</v>
      </c>
      <c r="D6" s="44" t="s">
        <v>110</v>
      </c>
      <c r="E6" s="288">
        <v>10</v>
      </c>
      <c r="F6" s="45" t="s">
        <v>125</v>
      </c>
      <c r="G6" s="44"/>
      <c r="H6" s="44">
        <v>2</v>
      </c>
      <c r="I6" s="240"/>
      <c r="J6" s="289" t="s">
        <v>289</v>
      </c>
    </row>
    <row r="7" spans="1:10">
      <c r="A7" s="239">
        <f t="shared" si="1"/>
        <v>4</v>
      </c>
      <c r="B7" s="44" t="s">
        <v>493</v>
      </c>
      <c r="C7" s="44" t="s">
        <v>494</v>
      </c>
      <c r="D7" s="44" t="s">
        <v>110</v>
      </c>
      <c r="E7" s="44">
        <v>4</v>
      </c>
      <c r="F7" s="45" t="s">
        <v>125</v>
      </c>
      <c r="G7" s="44"/>
      <c r="H7" s="44">
        <v>3</v>
      </c>
      <c r="I7" s="240" t="s">
        <v>508</v>
      </c>
    </row>
    <row r="8" spans="1:10">
      <c r="A8" s="239">
        <f t="shared" si="1"/>
        <v>5</v>
      </c>
      <c r="B8" s="44" t="s">
        <v>495</v>
      </c>
      <c r="C8" s="44" t="s">
        <v>496</v>
      </c>
      <c r="D8" s="44" t="s">
        <v>210</v>
      </c>
      <c r="E8" s="44"/>
      <c r="F8" s="45" t="s">
        <v>125</v>
      </c>
      <c r="G8" s="44"/>
      <c r="H8" s="44">
        <v>4</v>
      </c>
      <c r="I8" s="240" t="s">
        <v>508</v>
      </c>
    </row>
    <row r="9" spans="1:10">
      <c r="A9" s="239">
        <f t="shared" si="1"/>
        <v>6</v>
      </c>
      <c r="B9" s="44" t="s">
        <v>497</v>
      </c>
      <c r="C9" s="44" t="s">
        <v>509</v>
      </c>
      <c r="D9" s="44" t="s">
        <v>210</v>
      </c>
      <c r="E9" s="44"/>
      <c r="F9" s="45" t="s">
        <v>125</v>
      </c>
      <c r="G9" s="44"/>
      <c r="H9" s="44">
        <v>5</v>
      </c>
      <c r="I9" s="240" t="s">
        <v>508</v>
      </c>
    </row>
    <row r="10" spans="1:10">
      <c r="A10" s="239">
        <f t="shared" si="1"/>
        <v>7</v>
      </c>
      <c r="B10" s="44" t="s">
        <v>510</v>
      </c>
      <c r="C10" s="44" t="s">
        <v>511</v>
      </c>
      <c r="D10" s="44" t="s">
        <v>210</v>
      </c>
      <c r="E10" s="44"/>
      <c r="F10" s="45" t="s">
        <v>125</v>
      </c>
      <c r="G10" s="44"/>
      <c r="H10" s="44">
        <v>6</v>
      </c>
      <c r="I10" s="240"/>
    </row>
    <row r="11" spans="1:10">
      <c r="A11" s="239">
        <f t="shared" si="1"/>
        <v>8</v>
      </c>
      <c r="B11" s="44" t="s">
        <v>512</v>
      </c>
      <c r="C11" s="44" t="s">
        <v>513</v>
      </c>
      <c r="D11" s="44" t="s">
        <v>210</v>
      </c>
      <c r="E11" s="44"/>
      <c r="F11" s="45" t="s">
        <v>125</v>
      </c>
      <c r="G11" s="44"/>
      <c r="H11" s="44">
        <v>7</v>
      </c>
      <c r="I11" s="240"/>
    </row>
    <row r="12" spans="1:10">
      <c r="A12" s="239">
        <f t="shared" si="1"/>
        <v>9</v>
      </c>
      <c r="B12" s="44" t="s">
        <v>122</v>
      </c>
      <c r="C12" s="44" t="s">
        <v>514</v>
      </c>
      <c r="D12" s="44" t="s">
        <v>124</v>
      </c>
      <c r="E12" s="44"/>
      <c r="F12" s="45" t="s">
        <v>125</v>
      </c>
      <c r="G12" s="44"/>
      <c r="H12" s="44">
        <v>8</v>
      </c>
      <c r="I12" s="240"/>
    </row>
    <row r="13" spans="1:10">
      <c r="A13" s="239">
        <f t="shared" si="1"/>
        <v>10</v>
      </c>
      <c r="B13" s="44" t="s">
        <v>515</v>
      </c>
      <c r="C13" s="44" t="s">
        <v>516</v>
      </c>
      <c r="D13" s="44" t="s">
        <v>210</v>
      </c>
      <c r="E13" s="44"/>
      <c r="F13" s="45" t="s">
        <v>125</v>
      </c>
      <c r="G13" s="44"/>
      <c r="H13" s="44"/>
      <c r="I13" s="240"/>
    </row>
    <row r="14" spans="1:10">
      <c r="A14" s="239">
        <f t="shared" si="1"/>
        <v>11</v>
      </c>
      <c r="B14" s="44" t="s">
        <v>517</v>
      </c>
      <c r="C14" s="44" t="s">
        <v>518</v>
      </c>
      <c r="D14" s="44" t="s">
        <v>210</v>
      </c>
      <c r="E14" s="44"/>
      <c r="F14" s="45" t="s">
        <v>125</v>
      </c>
      <c r="G14" s="44"/>
      <c r="H14" s="44"/>
      <c r="I14" s="240"/>
    </row>
    <row r="15" spans="1:10">
      <c r="A15" s="239">
        <f t="shared" si="1"/>
        <v>12</v>
      </c>
      <c r="B15" s="44" t="s">
        <v>136</v>
      </c>
      <c r="C15" s="44" t="s">
        <v>503</v>
      </c>
      <c r="D15" s="44" t="s">
        <v>110</v>
      </c>
      <c r="E15" s="44">
        <v>50</v>
      </c>
      <c r="F15" s="45"/>
      <c r="G15" s="44"/>
      <c r="H15" s="44"/>
      <c r="I15" s="240"/>
    </row>
    <row r="16" spans="1:10" ht="162">
      <c r="A16" s="239">
        <f t="shared" si="1"/>
        <v>13</v>
      </c>
      <c r="B16" s="44" t="s">
        <v>504</v>
      </c>
      <c r="C16" s="44" t="s">
        <v>519</v>
      </c>
      <c r="D16" s="44" t="s">
        <v>110</v>
      </c>
      <c r="E16" s="44">
        <v>50</v>
      </c>
      <c r="F16" s="45"/>
      <c r="G16" s="44"/>
      <c r="H16" s="44"/>
      <c r="I16" s="240" t="s">
        <v>520</v>
      </c>
    </row>
    <row r="17" spans="1:9">
      <c r="A17" s="239">
        <f t="shared" si="1"/>
        <v>14</v>
      </c>
      <c r="B17" s="44" t="s">
        <v>521</v>
      </c>
      <c r="C17" s="44" t="s">
        <v>522</v>
      </c>
      <c r="D17" s="44" t="s">
        <v>110</v>
      </c>
      <c r="E17" s="44">
        <v>100</v>
      </c>
      <c r="F17" s="45"/>
      <c r="G17" s="44"/>
      <c r="H17" s="44"/>
      <c r="I17" s="240"/>
    </row>
    <row r="18" spans="1:9">
      <c r="A18" s="239">
        <f t="shared" si="1"/>
        <v>15</v>
      </c>
      <c r="B18" s="44" t="s">
        <v>523</v>
      </c>
      <c r="C18" s="44" t="s">
        <v>524</v>
      </c>
      <c r="D18" s="44" t="s">
        <v>168</v>
      </c>
      <c r="E18" s="44"/>
      <c r="F18" s="45"/>
      <c r="G18" s="44"/>
      <c r="H18" s="44"/>
      <c r="I18" s="240"/>
    </row>
    <row r="19" spans="1:9" ht="14.25" thickBot="1">
      <c r="A19" s="243">
        <f t="shared" si="1"/>
        <v>16</v>
      </c>
      <c r="B19" s="244" t="s">
        <v>525</v>
      </c>
      <c r="C19" s="244" t="s">
        <v>526</v>
      </c>
      <c r="D19" s="244" t="s">
        <v>110</v>
      </c>
      <c r="E19" s="244">
        <v>50</v>
      </c>
      <c r="F19" s="245"/>
      <c r="G19" s="244"/>
      <c r="H19" s="244"/>
      <c r="I19" s="248"/>
    </row>
  </sheetData>
  <phoneticPr fontId="6"/>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32884-6F1D-488A-AC48-5D12147DE587}">
  <sheetPr>
    <pageSetUpPr fitToPage="1"/>
  </sheetPr>
  <dimension ref="A1:K16"/>
  <sheetViews>
    <sheetView zoomScaleNormal="100" workbookViewId="0"/>
  </sheetViews>
  <sheetFormatPr defaultColWidth="9" defaultRowHeight="13.5"/>
  <cols>
    <col min="1" max="1" width="5.625" style="183" customWidth="1"/>
    <col min="2" max="3" width="28.375" style="183" customWidth="1"/>
    <col min="4" max="5" width="13.625" style="183" customWidth="1"/>
    <col min="6" max="6" width="12.75" style="183" customWidth="1"/>
    <col min="7" max="7" width="15.25" style="183" customWidth="1"/>
    <col min="8" max="8" width="9" style="183"/>
    <col min="9" max="10" width="11.875" style="183" customWidth="1"/>
    <col min="11" max="11" width="34.5" style="183" customWidth="1"/>
    <col min="12" max="16384" width="9" style="183"/>
  </cols>
  <sheetData>
    <row r="1" spans="1:11">
      <c r="A1" s="183" t="s">
        <v>527</v>
      </c>
    </row>
    <row r="2" spans="1:11" ht="14.25" thickBot="1"/>
    <row r="3" spans="1:11" ht="49.5" customHeight="1" thickBot="1">
      <c r="A3" s="184" t="s">
        <v>99</v>
      </c>
      <c r="B3" s="185" t="s">
        <v>100</v>
      </c>
      <c r="C3" s="185" t="s">
        <v>101</v>
      </c>
      <c r="D3" s="185" t="s">
        <v>102</v>
      </c>
      <c r="E3" s="185" t="s">
        <v>528</v>
      </c>
      <c r="F3" s="185" t="s">
        <v>104</v>
      </c>
      <c r="G3" s="186" t="s">
        <v>105</v>
      </c>
      <c r="H3" s="187" t="s">
        <v>106</v>
      </c>
      <c r="I3" s="315" t="s">
        <v>529</v>
      </c>
      <c r="J3" s="316"/>
      <c r="K3" s="188" t="s">
        <v>107</v>
      </c>
    </row>
    <row r="4" spans="1:11" s="5" customFormat="1" ht="14.25" thickTop="1">
      <c r="A4" s="93">
        <f t="shared" ref="A4:A12" si="0">ROW() - 3</f>
        <v>1</v>
      </c>
      <c r="B4" s="70" t="s">
        <v>108</v>
      </c>
      <c r="C4" s="70" t="s">
        <v>109</v>
      </c>
      <c r="D4" s="70" t="s">
        <v>110</v>
      </c>
      <c r="E4" s="70">
        <v>1</v>
      </c>
      <c r="F4" s="72" t="s">
        <v>111</v>
      </c>
      <c r="G4" s="70"/>
      <c r="H4" s="70"/>
      <c r="I4" s="189"/>
      <c r="J4" s="189"/>
      <c r="K4" s="190" t="s">
        <v>530</v>
      </c>
    </row>
    <row r="5" spans="1:11" s="5" customFormat="1">
      <c r="A5" s="96">
        <f t="shared" si="0"/>
        <v>2</v>
      </c>
      <c r="B5" s="3" t="s">
        <v>113</v>
      </c>
      <c r="C5" s="3" t="s">
        <v>114</v>
      </c>
      <c r="D5" s="3" t="s">
        <v>110</v>
      </c>
      <c r="E5" s="3">
        <v>10</v>
      </c>
      <c r="F5" s="2" t="s">
        <v>111</v>
      </c>
      <c r="G5" s="3"/>
      <c r="H5" s="3">
        <v>1</v>
      </c>
      <c r="I5" s="191"/>
      <c r="J5" s="191"/>
      <c r="K5" s="94" t="s">
        <v>115</v>
      </c>
    </row>
    <row r="6" spans="1:11" s="5" customFormat="1">
      <c r="A6" s="96">
        <f t="shared" si="0"/>
        <v>3</v>
      </c>
      <c r="B6" s="3" t="s">
        <v>116</v>
      </c>
      <c r="C6" s="3" t="s">
        <v>117</v>
      </c>
      <c r="D6" s="3" t="s">
        <v>110</v>
      </c>
      <c r="E6" s="3">
        <v>10</v>
      </c>
      <c r="F6" s="2" t="s">
        <v>111</v>
      </c>
      <c r="G6" s="3"/>
      <c r="H6" s="3">
        <v>2</v>
      </c>
      <c r="I6" s="191"/>
      <c r="J6" s="191"/>
      <c r="K6" s="94" t="s">
        <v>118</v>
      </c>
    </row>
    <row r="7" spans="1:11">
      <c r="A7" s="192">
        <f t="shared" si="0"/>
        <v>4</v>
      </c>
      <c r="B7" s="193" t="s">
        <v>531</v>
      </c>
      <c r="C7" s="193" t="s">
        <v>532</v>
      </c>
      <c r="D7" s="193" t="s">
        <v>110</v>
      </c>
      <c r="E7" s="193">
        <v>2</v>
      </c>
      <c r="F7" s="194" t="s">
        <v>111</v>
      </c>
      <c r="G7" s="193"/>
      <c r="H7" s="193">
        <v>3</v>
      </c>
      <c r="I7" s="193"/>
      <c r="J7" s="193"/>
      <c r="K7" s="202"/>
    </row>
    <row r="8" spans="1:11">
      <c r="A8" s="192">
        <f t="shared" si="0"/>
        <v>5</v>
      </c>
      <c r="B8" s="195" t="s">
        <v>533</v>
      </c>
      <c r="C8" s="195" t="s">
        <v>534</v>
      </c>
      <c r="D8" s="195" t="s">
        <v>110</v>
      </c>
      <c r="E8" s="195">
        <v>2</v>
      </c>
      <c r="F8" s="196" t="s">
        <v>111</v>
      </c>
      <c r="G8" s="195"/>
      <c r="H8" s="195"/>
      <c r="I8" s="195"/>
      <c r="J8" s="195"/>
      <c r="K8" s="238" t="s">
        <v>535</v>
      </c>
    </row>
    <row r="9" spans="1:11">
      <c r="A9" s="192">
        <f t="shared" si="0"/>
        <v>6</v>
      </c>
      <c r="B9" s="195" t="s">
        <v>536</v>
      </c>
      <c r="C9" s="195" t="s">
        <v>537</v>
      </c>
      <c r="D9" s="195" t="s">
        <v>538</v>
      </c>
      <c r="E9" s="195" t="s">
        <v>539</v>
      </c>
      <c r="F9" s="196" t="s">
        <v>111</v>
      </c>
      <c r="G9" s="195"/>
      <c r="H9" s="195"/>
      <c r="I9" s="195"/>
      <c r="J9" s="195"/>
      <c r="K9" s="208"/>
    </row>
    <row r="10" spans="1:11">
      <c r="A10" s="192">
        <f t="shared" si="0"/>
        <v>7</v>
      </c>
      <c r="B10" s="195" t="s">
        <v>101</v>
      </c>
      <c r="C10" s="195" t="s">
        <v>540</v>
      </c>
      <c r="D10" s="195" t="s">
        <v>487</v>
      </c>
      <c r="E10" s="195">
        <v>50</v>
      </c>
      <c r="F10" s="196" t="s">
        <v>125</v>
      </c>
      <c r="G10" s="195"/>
      <c r="H10" s="195"/>
      <c r="I10" s="195"/>
      <c r="J10" s="195"/>
      <c r="K10" s="208"/>
    </row>
    <row r="11" spans="1:11">
      <c r="A11" s="192">
        <f t="shared" si="0"/>
        <v>8</v>
      </c>
      <c r="B11" s="195" t="s">
        <v>541</v>
      </c>
      <c r="C11" s="195" t="s">
        <v>542</v>
      </c>
      <c r="D11" s="195" t="s">
        <v>427</v>
      </c>
      <c r="E11" s="195"/>
      <c r="F11" s="196" t="s">
        <v>111</v>
      </c>
      <c r="G11" s="195"/>
      <c r="H11" s="195"/>
      <c r="I11" s="195"/>
      <c r="J11" s="195"/>
      <c r="K11" s="208"/>
    </row>
    <row r="12" spans="1:11" ht="14.25" thickBot="1">
      <c r="A12" s="197">
        <f t="shared" si="0"/>
        <v>9</v>
      </c>
      <c r="B12" s="198" t="s">
        <v>543</v>
      </c>
      <c r="C12" s="198" t="s">
        <v>544</v>
      </c>
      <c r="D12" s="198" t="s">
        <v>110</v>
      </c>
      <c r="E12" s="198">
        <v>2</v>
      </c>
      <c r="F12" s="199" t="s">
        <v>111</v>
      </c>
      <c r="G12" s="198"/>
      <c r="H12" s="198"/>
      <c r="I12" s="198"/>
      <c r="J12" s="198"/>
      <c r="K12" s="204"/>
    </row>
    <row r="16" spans="1:11" ht="121.5">
      <c r="I16" s="200" t="s">
        <v>256</v>
      </c>
    </row>
  </sheetData>
  <mergeCells count="1">
    <mergeCell ref="I3:J3"/>
  </mergeCells>
  <phoneticPr fontId="5"/>
  <printOptions horizontalCentered="1"/>
  <pageMargins left="0.31496062992125984" right="0.31496062992125984" top="0.74803149606299213" bottom="0.74803149606299213" header="0.31496062992125984" footer="0.31496062992125984"/>
  <pageSetup paperSize="9" scale="63" fitToHeight="0" orientation="landscape" r:id="rId1"/>
  <headerFooter alignWithMargins="0">
    <oddFooter>&amp;C&amp;"Times New Roman,標準"&amp;10&amp;P/&amp;N&amp;R&amp;"Times New Roman,標準"&amp;9Copyright(C) 2017-2022 VINX Corporation. All Rights Reserved.</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82FED-CA8C-4BD1-827B-5A5A68588E09}">
  <sheetPr>
    <pageSetUpPr fitToPage="1"/>
  </sheetPr>
  <dimension ref="A1:K20"/>
  <sheetViews>
    <sheetView zoomScaleNormal="100" workbookViewId="0"/>
  </sheetViews>
  <sheetFormatPr defaultColWidth="9" defaultRowHeight="13.5"/>
  <cols>
    <col min="1" max="1" width="5.625" style="183" customWidth="1"/>
    <col min="2" max="3" width="28.375" style="183" customWidth="1"/>
    <col min="4" max="5" width="13.625" style="183" customWidth="1"/>
    <col min="6" max="8" width="9" style="183"/>
    <col min="9" max="9" width="10" style="183" customWidth="1"/>
    <col min="10" max="10" width="10.625" style="183" customWidth="1"/>
    <col min="11" max="11" width="35" style="183" customWidth="1"/>
    <col min="12" max="16384" width="9" style="183"/>
  </cols>
  <sheetData>
    <row r="1" spans="1:11">
      <c r="A1" s="183" t="s">
        <v>545</v>
      </c>
    </row>
    <row r="2" spans="1:11" ht="14.25" thickBot="1"/>
    <row r="3" spans="1:11" ht="48" customHeight="1" thickBot="1">
      <c r="A3" s="184" t="s">
        <v>99</v>
      </c>
      <c r="B3" s="185" t="s">
        <v>100</v>
      </c>
      <c r="C3" s="185" t="s">
        <v>101</v>
      </c>
      <c r="D3" s="185" t="s">
        <v>102</v>
      </c>
      <c r="E3" s="185" t="s">
        <v>528</v>
      </c>
      <c r="F3" s="185" t="s">
        <v>104</v>
      </c>
      <c r="G3" s="186" t="s">
        <v>105</v>
      </c>
      <c r="H3" s="187" t="s">
        <v>106</v>
      </c>
      <c r="I3" s="315" t="s">
        <v>529</v>
      </c>
      <c r="J3" s="316"/>
      <c r="K3" s="188" t="s">
        <v>107</v>
      </c>
    </row>
    <row r="4" spans="1:11" s="1" customFormat="1" ht="14.25" thickTop="1">
      <c r="A4" s="93">
        <f t="shared" ref="A4:A6" si="0">ROW() - 3</f>
        <v>1</v>
      </c>
      <c r="B4" s="70" t="s">
        <v>108</v>
      </c>
      <c r="C4" s="70" t="s">
        <v>109</v>
      </c>
      <c r="D4" s="70" t="s">
        <v>110</v>
      </c>
      <c r="E4" s="70">
        <v>1</v>
      </c>
      <c r="F4" s="72" t="s">
        <v>111</v>
      </c>
      <c r="G4" s="70"/>
      <c r="H4" s="70"/>
      <c r="I4" s="189"/>
      <c r="J4" s="189"/>
      <c r="K4" s="190" t="s">
        <v>530</v>
      </c>
    </row>
    <row r="5" spans="1:11" s="1" customFormat="1">
      <c r="A5" s="96">
        <f t="shared" si="0"/>
        <v>2</v>
      </c>
      <c r="B5" s="3" t="s">
        <v>113</v>
      </c>
      <c r="C5" s="3" t="s">
        <v>114</v>
      </c>
      <c r="D5" s="3" t="s">
        <v>110</v>
      </c>
      <c r="E5" s="3">
        <v>10</v>
      </c>
      <c r="F5" s="2" t="s">
        <v>111</v>
      </c>
      <c r="G5" s="3"/>
      <c r="H5" s="3">
        <v>1</v>
      </c>
      <c r="I5" s="191"/>
      <c r="J5" s="191"/>
      <c r="K5" s="94" t="s">
        <v>115</v>
      </c>
    </row>
    <row r="6" spans="1:11" s="1" customFormat="1">
      <c r="A6" s="96">
        <f t="shared" si="0"/>
        <v>3</v>
      </c>
      <c r="B6" s="3" t="s">
        <v>116</v>
      </c>
      <c r="C6" s="3" t="s">
        <v>117</v>
      </c>
      <c r="D6" s="3" t="s">
        <v>110</v>
      </c>
      <c r="E6" s="3">
        <v>10</v>
      </c>
      <c r="F6" s="2" t="s">
        <v>111</v>
      </c>
      <c r="G6" s="3"/>
      <c r="H6" s="3">
        <v>2</v>
      </c>
      <c r="I6" s="191"/>
      <c r="J6" s="191"/>
      <c r="K6" s="94" t="s">
        <v>118</v>
      </c>
    </row>
    <row r="7" spans="1:11">
      <c r="A7" s="192">
        <f>ROW() - 3</f>
        <v>4</v>
      </c>
      <c r="B7" s="193" t="s">
        <v>546</v>
      </c>
      <c r="C7" s="193" t="s">
        <v>547</v>
      </c>
      <c r="D7" s="193" t="s">
        <v>110</v>
      </c>
      <c r="E7" s="193">
        <v>2</v>
      </c>
      <c r="F7" s="194" t="s">
        <v>111</v>
      </c>
      <c r="G7" s="193"/>
      <c r="H7" s="201">
        <v>3</v>
      </c>
      <c r="I7" s="193"/>
      <c r="J7" s="193"/>
      <c r="K7" s="202"/>
    </row>
    <row r="8" spans="1:11" ht="14.25" thickBot="1">
      <c r="A8" s="197">
        <f>ROW() - 3</f>
        <v>5</v>
      </c>
      <c r="B8" s="198" t="s">
        <v>548</v>
      </c>
      <c r="C8" s="198" t="s">
        <v>549</v>
      </c>
      <c r="D8" s="198" t="s">
        <v>110</v>
      </c>
      <c r="E8" s="198">
        <v>2</v>
      </c>
      <c r="F8" s="199" t="s">
        <v>125</v>
      </c>
      <c r="G8" s="198"/>
      <c r="H8" s="203">
        <v>4</v>
      </c>
      <c r="I8" s="198"/>
      <c r="J8" s="198"/>
      <c r="K8" s="204"/>
    </row>
    <row r="12" spans="1:11" s="205" customFormat="1">
      <c r="B12" s="183"/>
      <c r="C12" s="183"/>
    </row>
    <row r="13" spans="1:11" s="205" customFormat="1">
      <c r="B13" s="183"/>
      <c r="C13" s="183"/>
    </row>
    <row r="14" spans="1:11" s="205" customFormat="1">
      <c r="B14" s="183"/>
      <c r="C14" s="183"/>
    </row>
    <row r="15" spans="1:11" s="205" customFormat="1">
      <c r="B15" s="183"/>
      <c r="C15" s="183"/>
    </row>
    <row r="16" spans="1:11" s="205" customFormat="1" ht="148.5">
      <c r="B16" s="183"/>
      <c r="C16" s="183"/>
      <c r="I16" s="206" t="s">
        <v>256</v>
      </c>
    </row>
    <row r="17" spans="2:3" s="205" customFormat="1">
      <c r="B17" s="183"/>
      <c r="C17" s="183"/>
    </row>
    <row r="18" spans="2:3" s="205" customFormat="1"/>
    <row r="19" spans="2:3" s="205" customFormat="1"/>
    <row r="20" spans="2:3" s="205" customFormat="1"/>
  </sheetData>
  <mergeCells count="1">
    <mergeCell ref="I3:J3"/>
  </mergeCells>
  <phoneticPr fontId="5"/>
  <printOptions horizontalCentered="1"/>
  <pageMargins left="0.31496062992125984" right="0.31496062992125984" top="0.74803149606299213" bottom="0.74803149606299213" header="0.31496062992125984" footer="0.31496062992125984"/>
  <pageSetup paperSize="9" scale="68" fitToHeight="0" orientation="landscape" r:id="rId1"/>
  <headerFooter alignWithMargins="0">
    <oddFooter>&amp;C&amp;"Times New Roman,標準"&amp;10&amp;P/&amp;N&amp;R&amp;"Times New Roman,標準"&amp;9Copyright(C) 2017-2022 VINX Corporation. All Rights Reserved.</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8BA8-0800-48B4-A800-58B6250EA6AE}">
  <sheetPr>
    <pageSetUpPr fitToPage="1"/>
  </sheetPr>
  <dimension ref="A1:K30"/>
  <sheetViews>
    <sheetView zoomScaleNormal="100" workbookViewId="0"/>
  </sheetViews>
  <sheetFormatPr defaultColWidth="9" defaultRowHeight="13.5"/>
  <cols>
    <col min="1" max="1" width="5.625" style="183" customWidth="1"/>
    <col min="2" max="3" width="28.375" style="183" customWidth="1"/>
    <col min="4" max="4" width="13.625" style="183" customWidth="1"/>
    <col min="5" max="5" width="18.25" style="183" customWidth="1"/>
    <col min="6" max="8" width="9" style="183"/>
    <col min="9" max="9" width="11.625" style="183" customWidth="1"/>
    <col min="10" max="10" width="9.875" style="183" customWidth="1"/>
    <col min="11" max="11" width="32.25" style="183" customWidth="1"/>
    <col min="12" max="16384" width="9" style="183"/>
  </cols>
  <sheetData>
    <row r="1" spans="1:11">
      <c r="A1" s="183" t="s">
        <v>550</v>
      </c>
    </row>
    <row r="2" spans="1:11" ht="14.25" thickBot="1"/>
    <row r="3" spans="1:11" ht="51" customHeight="1" thickBot="1">
      <c r="A3" s="184" t="s">
        <v>99</v>
      </c>
      <c r="B3" s="185" t="s">
        <v>100</v>
      </c>
      <c r="C3" s="185" t="s">
        <v>101</v>
      </c>
      <c r="D3" s="185" t="s">
        <v>102</v>
      </c>
      <c r="E3" s="185" t="s">
        <v>528</v>
      </c>
      <c r="F3" s="185" t="s">
        <v>104</v>
      </c>
      <c r="G3" s="186" t="s">
        <v>105</v>
      </c>
      <c r="H3" s="187" t="s">
        <v>106</v>
      </c>
      <c r="I3" s="315" t="s">
        <v>529</v>
      </c>
      <c r="J3" s="316"/>
      <c r="K3" s="188" t="s">
        <v>107</v>
      </c>
    </row>
    <row r="4" spans="1:11" s="1" customFormat="1" ht="14.25" thickTop="1">
      <c r="A4" s="93">
        <f t="shared" ref="A4:A6" si="0">ROW() - 3</f>
        <v>1</v>
      </c>
      <c r="B4" s="70" t="s">
        <v>108</v>
      </c>
      <c r="C4" s="70" t="s">
        <v>109</v>
      </c>
      <c r="D4" s="70" t="s">
        <v>110</v>
      </c>
      <c r="E4" s="70">
        <v>1</v>
      </c>
      <c r="F4" s="72" t="s">
        <v>111</v>
      </c>
      <c r="G4" s="70"/>
      <c r="H4" s="70"/>
      <c r="I4" s="189"/>
      <c r="J4" s="189"/>
      <c r="K4" s="190" t="s">
        <v>530</v>
      </c>
    </row>
    <row r="5" spans="1:11" s="1" customFormat="1">
      <c r="A5" s="96">
        <f t="shared" si="0"/>
        <v>2</v>
      </c>
      <c r="B5" s="3" t="s">
        <v>113</v>
      </c>
      <c r="C5" s="3" t="s">
        <v>114</v>
      </c>
      <c r="D5" s="3" t="s">
        <v>110</v>
      </c>
      <c r="E5" s="3">
        <v>10</v>
      </c>
      <c r="F5" s="2" t="s">
        <v>111</v>
      </c>
      <c r="G5" s="3"/>
      <c r="H5" s="3">
        <v>1</v>
      </c>
      <c r="I5" s="191"/>
      <c r="J5" s="191"/>
      <c r="K5" s="94" t="s">
        <v>115</v>
      </c>
    </row>
    <row r="6" spans="1:11" s="1" customFormat="1">
      <c r="A6" s="96">
        <f t="shared" si="0"/>
        <v>3</v>
      </c>
      <c r="B6" s="3" t="s">
        <v>116</v>
      </c>
      <c r="C6" s="3" t="s">
        <v>117</v>
      </c>
      <c r="D6" s="3" t="s">
        <v>110</v>
      </c>
      <c r="E6" s="3">
        <v>10</v>
      </c>
      <c r="F6" s="2" t="s">
        <v>111</v>
      </c>
      <c r="G6" s="3"/>
      <c r="H6" s="3">
        <v>2</v>
      </c>
      <c r="I6" s="191"/>
      <c r="J6" s="191"/>
      <c r="K6" s="94" t="s">
        <v>118</v>
      </c>
    </row>
    <row r="7" spans="1:11">
      <c r="A7" s="207">
        <f>ROW() - 3</f>
        <v>4</v>
      </c>
      <c r="B7" s="195" t="s">
        <v>551</v>
      </c>
      <c r="C7" s="195" t="s">
        <v>552</v>
      </c>
      <c r="D7" s="195" t="s">
        <v>110</v>
      </c>
      <c r="E7" s="195">
        <v>2</v>
      </c>
      <c r="F7" s="196" t="s">
        <v>111</v>
      </c>
      <c r="G7" s="195"/>
      <c r="H7" s="201">
        <v>3</v>
      </c>
      <c r="I7" s="195"/>
      <c r="J7" s="195"/>
      <c r="K7" s="208"/>
    </row>
    <row r="8" spans="1:11">
      <c r="A8" s="207">
        <f>ROW() - 3</f>
        <v>5</v>
      </c>
      <c r="B8" s="195" t="s">
        <v>553</v>
      </c>
      <c r="C8" s="195" t="s">
        <v>554</v>
      </c>
      <c r="D8" s="195" t="s">
        <v>124</v>
      </c>
      <c r="E8" s="195"/>
      <c r="F8" s="196" t="s">
        <v>125</v>
      </c>
      <c r="G8" s="195"/>
      <c r="H8" s="201">
        <v>4</v>
      </c>
      <c r="I8" s="195"/>
      <c r="J8" s="195"/>
      <c r="K8" s="208"/>
    </row>
    <row r="9" spans="1:11">
      <c r="A9" s="209">
        <f>ROW() - 3</f>
        <v>6</v>
      </c>
      <c r="B9" s="210" t="s">
        <v>136</v>
      </c>
      <c r="C9" s="210" t="s">
        <v>555</v>
      </c>
      <c r="D9" s="210" t="s">
        <v>110</v>
      </c>
      <c r="E9" s="210">
        <v>50</v>
      </c>
      <c r="F9" s="211" t="s">
        <v>125</v>
      </c>
      <c r="G9" s="210"/>
      <c r="H9" s="210"/>
      <c r="I9" s="210"/>
      <c r="J9" s="210"/>
      <c r="K9" s="212"/>
    </row>
    <row r="10" spans="1:11" ht="14.25" thickBot="1">
      <c r="A10" s="197">
        <f>ROW() - 3</f>
        <v>7</v>
      </c>
      <c r="B10" s="198" t="s">
        <v>546</v>
      </c>
      <c r="C10" s="198" t="s">
        <v>556</v>
      </c>
      <c r="D10" s="198" t="s">
        <v>110</v>
      </c>
      <c r="E10" s="198">
        <v>2</v>
      </c>
      <c r="F10" s="199" t="s">
        <v>125</v>
      </c>
      <c r="G10" s="198"/>
      <c r="H10" s="198"/>
      <c r="I10" s="198"/>
      <c r="J10" s="198"/>
      <c r="K10" s="204"/>
    </row>
    <row r="13" spans="1:11">
      <c r="B13" s="205"/>
      <c r="C13" s="205"/>
      <c r="D13" s="205"/>
      <c r="E13" s="205"/>
    </row>
    <row r="14" spans="1:11" s="205" customFormat="1"/>
    <row r="15" spans="1:11" s="205" customFormat="1"/>
    <row r="16" spans="1:11" s="205" customFormat="1" ht="135">
      <c r="I16" s="206" t="s">
        <v>256</v>
      </c>
    </row>
    <row r="17" s="205" customFormat="1"/>
    <row r="18" s="205" customFormat="1"/>
    <row r="19" s="205" customFormat="1"/>
    <row r="20" s="205" customFormat="1"/>
    <row r="21" s="205" customFormat="1"/>
    <row r="22" s="205" customFormat="1"/>
    <row r="23" s="205" customFormat="1"/>
    <row r="24" s="205" customFormat="1"/>
    <row r="25" s="205" customFormat="1"/>
    <row r="26" s="205" customFormat="1"/>
    <row r="27" s="205" customFormat="1"/>
    <row r="28" s="205" customFormat="1"/>
    <row r="29" s="205" customFormat="1"/>
    <row r="30" s="205" customFormat="1"/>
  </sheetData>
  <mergeCells count="1">
    <mergeCell ref="I3:J3"/>
  </mergeCells>
  <phoneticPr fontId="5"/>
  <printOptions horizontalCentered="1"/>
  <pageMargins left="0.31496062992125984" right="0.31496062992125984" top="0.74803149606299213" bottom="0.74803149606299213" header="0.31496062992125984" footer="0.31496062992125984"/>
  <pageSetup paperSize="9" scale="67" fitToHeight="0" orientation="landscape" r:id="rId1"/>
  <headerFooter alignWithMargins="0">
    <oddFooter>&amp;C&amp;"Times New Roman,標準"&amp;10&amp;P/&amp;N&amp;R&amp;"Times New Roman,標準"&amp;9Copyright(C) 2017-2022 VINX Corporation. All Rights Reserved.</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7CFC3-9B2E-405A-8B34-D7D91F904321}">
  <sheetPr>
    <pageSetUpPr fitToPage="1"/>
  </sheetPr>
  <dimension ref="A1:K21"/>
  <sheetViews>
    <sheetView zoomScaleNormal="100" workbookViewId="0"/>
  </sheetViews>
  <sheetFormatPr defaultColWidth="9" defaultRowHeight="13.5"/>
  <cols>
    <col min="1" max="1" width="5.625" style="183" customWidth="1"/>
    <col min="2" max="3" width="28.375" style="183" customWidth="1"/>
    <col min="4" max="5" width="13.625" style="183" customWidth="1"/>
    <col min="6" max="8" width="9" style="183"/>
    <col min="9" max="10" width="10.375" style="183" customWidth="1"/>
    <col min="11" max="11" width="38.75" style="183" customWidth="1"/>
    <col min="12" max="16384" width="9" style="183"/>
  </cols>
  <sheetData>
    <row r="1" spans="1:11">
      <c r="A1" s="183" t="s">
        <v>557</v>
      </c>
    </row>
    <row r="2" spans="1:11" ht="14.25" thickBot="1"/>
    <row r="3" spans="1:11" ht="51.75" customHeight="1" thickBot="1">
      <c r="A3" s="184" t="s">
        <v>99</v>
      </c>
      <c r="B3" s="185" t="s">
        <v>100</v>
      </c>
      <c r="C3" s="185" t="s">
        <v>101</v>
      </c>
      <c r="D3" s="185" t="s">
        <v>102</v>
      </c>
      <c r="E3" s="185" t="s">
        <v>528</v>
      </c>
      <c r="F3" s="185" t="s">
        <v>104</v>
      </c>
      <c r="G3" s="186" t="s">
        <v>105</v>
      </c>
      <c r="H3" s="187" t="s">
        <v>106</v>
      </c>
      <c r="I3" s="315" t="s">
        <v>529</v>
      </c>
      <c r="J3" s="316"/>
      <c r="K3" s="188" t="s">
        <v>107</v>
      </c>
    </row>
    <row r="4" spans="1:11" s="5" customFormat="1" ht="14.25" thickTop="1">
      <c r="A4" s="93">
        <f t="shared" ref="A4:A6" si="0">ROW() - 3</f>
        <v>1</v>
      </c>
      <c r="B4" s="70" t="s">
        <v>108</v>
      </c>
      <c r="C4" s="70" t="s">
        <v>109</v>
      </c>
      <c r="D4" s="70" t="s">
        <v>110</v>
      </c>
      <c r="E4" s="70">
        <v>1</v>
      </c>
      <c r="F4" s="72" t="s">
        <v>111</v>
      </c>
      <c r="G4" s="70"/>
      <c r="H4" s="70"/>
      <c r="I4" s="189"/>
      <c r="J4" s="189"/>
      <c r="K4" s="190" t="s">
        <v>530</v>
      </c>
    </row>
    <row r="5" spans="1:11" s="5" customFormat="1">
      <c r="A5" s="96">
        <f t="shared" si="0"/>
        <v>2</v>
      </c>
      <c r="B5" s="3" t="s">
        <v>113</v>
      </c>
      <c r="C5" s="3" t="s">
        <v>114</v>
      </c>
      <c r="D5" s="3" t="s">
        <v>110</v>
      </c>
      <c r="E5" s="3">
        <v>10</v>
      </c>
      <c r="F5" s="2" t="s">
        <v>111</v>
      </c>
      <c r="G5" s="3"/>
      <c r="H5" s="3">
        <v>1</v>
      </c>
      <c r="I5" s="191"/>
      <c r="J5" s="191"/>
      <c r="K5" s="94" t="s">
        <v>115</v>
      </c>
    </row>
    <row r="6" spans="1:11" s="5" customFormat="1">
      <c r="A6" s="96">
        <f t="shared" si="0"/>
        <v>3</v>
      </c>
      <c r="B6" s="3" t="s">
        <v>116</v>
      </c>
      <c r="C6" s="3" t="s">
        <v>117</v>
      </c>
      <c r="D6" s="3" t="s">
        <v>110</v>
      </c>
      <c r="E6" s="3">
        <v>10</v>
      </c>
      <c r="F6" s="2" t="s">
        <v>111</v>
      </c>
      <c r="G6" s="3"/>
      <c r="H6" s="3">
        <v>2</v>
      </c>
      <c r="I6" s="191"/>
      <c r="J6" s="191"/>
      <c r="K6" s="94" t="s">
        <v>118</v>
      </c>
    </row>
    <row r="7" spans="1:11">
      <c r="A7" s="192">
        <f>ROW() - 3</f>
        <v>4</v>
      </c>
      <c r="B7" s="193" t="s">
        <v>533</v>
      </c>
      <c r="C7" s="193" t="s">
        <v>558</v>
      </c>
      <c r="D7" s="193" t="s">
        <v>110</v>
      </c>
      <c r="E7" s="193">
        <v>2</v>
      </c>
      <c r="F7" s="194" t="s">
        <v>111</v>
      </c>
      <c r="G7" s="193"/>
      <c r="H7" s="193">
        <v>3</v>
      </c>
      <c r="I7" s="193"/>
      <c r="J7" s="193"/>
      <c r="K7" s="202"/>
    </row>
    <row r="8" spans="1:11" ht="14.25" thickBot="1">
      <c r="A8" s="197">
        <f>ROW() - 3</f>
        <v>5</v>
      </c>
      <c r="B8" s="198" t="s">
        <v>101</v>
      </c>
      <c r="C8" s="198" t="s">
        <v>540</v>
      </c>
      <c r="D8" s="198" t="s">
        <v>487</v>
      </c>
      <c r="E8" s="198">
        <v>50</v>
      </c>
      <c r="F8" s="199"/>
      <c r="G8" s="198"/>
      <c r="H8" s="198"/>
      <c r="I8" s="198"/>
      <c r="J8" s="198"/>
      <c r="K8" s="204"/>
    </row>
    <row r="11" spans="1:11">
      <c r="B11" s="205"/>
      <c r="C11" s="205"/>
    </row>
    <row r="12" spans="1:11" s="205" customFormat="1"/>
    <row r="13" spans="1:11" s="205" customFormat="1"/>
    <row r="14" spans="1:11" s="205" customFormat="1"/>
    <row r="15" spans="1:11" s="205" customFormat="1"/>
    <row r="16" spans="1:11" s="205" customFormat="1" ht="135">
      <c r="I16" s="206" t="s">
        <v>256</v>
      </c>
    </row>
    <row r="17" s="205" customFormat="1"/>
    <row r="18" s="205" customFormat="1"/>
    <row r="19" s="205" customFormat="1"/>
    <row r="20" s="205" customFormat="1"/>
    <row r="21" s="205" customFormat="1"/>
  </sheetData>
  <mergeCells count="1">
    <mergeCell ref="I3:J3"/>
  </mergeCells>
  <phoneticPr fontId="5"/>
  <printOptions horizontalCentered="1"/>
  <pageMargins left="0.31496062992125984" right="0.31496062992125984" top="0.74803149606299213" bottom="0.74803149606299213" header="0.31496062992125984" footer="0.31496062992125984"/>
  <pageSetup paperSize="9" scale="66" fitToHeight="0" orientation="landscape" r:id="rId1"/>
  <headerFooter alignWithMargins="0">
    <oddFooter>&amp;C&amp;"Times New Roman,標準"&amp;10&amp;P/&amp;N&amp;R&amp;"Times New Roman,標準"&amp;9Copyright(C) 2017-2022 VINX Corporation. All Rights Reserved.</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4A043-8C2E-4F2E-933B-8DAD376592CA}">
  <sheetPr>
    <pageSetUpPr fitToPage="1"/>
  </sheetPr>
  <dimension ref="A1:I16"/>
  <sheetViews>
    <sheetView zoomScaleNormal="100" workbookViewId="0"/>
  </sheetViews>
  <sheetFormatPr defaultColWidth="9" defaultRowHeight="13.5"/>
  <cols>
    <col min="1" max="1" width="5.625" style="214" customWidth="1"/>
    <col min="2" max="3" width="28.375" style="214" customWidth="1"/>
    <col min="4" max="5" width="13.625" style="214" customWidth="1"/>
    <col min="6" max="8" width="9" style="214"/>
    <col min="9" max="9" width="50.625" style="214" customWidth="1"/>
    <col min="10" max="16384" width="9" style="214"/>
  </cols>
  <sheetData>
    <row r="1" spans="1:9">
      <c r="A1" s="213" t="s">
        <v>559</v>
      </c>
      <c r="B1" s="213"/>
      <c r="C1" s="213"/>
      <c r="D1" s="213"/>
      <c r="E1" s="213"/>
      <c r="F1" s="213"/>
      <c r="G1" s="213"/>
      <c r="H1" s="213"/>
      <c r="I1" s="213"/>
    </row>
    <row r="2" spans="1:9" ht="14.25" thickBot="1">
      <c r="A2" s="213"/>
      <c r="B2" s="213"/>
      <c r="C2" s="213"/>
      <c r="D2" s="213"/>
      <c r="E2" s="213"/>
      <c r="F2" s="213"/>
      <c r="G2" s="213"/>
      <c r="H2" s="213"/>
      <c r="I2" s="213"/>
    </row>
    <row r="3" spans="1:9" ht="31.5" customHeight="1" thickBot="1">
      <c r="A3" s="215" t="s">
        <v>99</v>
      </c>
      <c r="B3" s="216" t="s">
        <v>100</v>
      </c>
      <c r="C3" s="216" t="s">
        <v>101</v>
      </c>
      <c r="D3" s="216" t="s">
        <v>102</v>
      </c>
      <c r="E3" s="216" t="s">
        <v>528</v>
      </c>
      <c r="F3" s="216" t="s">
        <v>104</v>
      </c>
      <c r="G3" s="217" t="s">
        <v>105</v>
      </c>
      <c r="H3" s="218" t="s">
        <v>106</v>
      </c>
      <c r="I3" s="219" t="s">
        <v>107</v>
      </c>
    </row>
    <row r="4" spans="1:9" s="224" customFormat="1" ht="14.25" thickTop="1">
      <c r="A4" s="220">
        <f t="shared" ref="A4:A6" si="0">ROW() - 3</f>
        <v>1</v>
      </c>
      <c r="B4" s="221" t="s">
        <v>108</v>
      </c>
      <c r="C4" s="221" t="s">
        <v>109</v>
      </c>
      <c r="D4" s="221" t="s">
        <v>110</v>
      </c>
      <c r="E4" s="221">
        <v>1</v>
      </c>
      <c r="F4" s="222" t="s">
        <v>111</v>
      </c>
      <c r="G4" s="221"/>
      <c r="H4" s="221"/>
      <c r="I4" s="223" t="s">
        <v>530</v>
      </c>
    </row>
    <row r="5" spans="1:9" s="224" customFormat="1">
      <c r="A5" s="225">
        <f t="shared" si="0"/>
        <v>2</v>
      </c>
      <c r="B5" s="226" t="s">
        <v>113</v>
      </c>
      <c r="C5" s="226" t="s">
        <v>114</v>
      </c>
      <c r="D5" s="226" t="s">
        <v>110</v>
      </c>
      <c r="E5" s="226">
        <v>10</v>
      </c>
      <c r="F5" s="227" t="s">
        <v>111</v>
      </c>
      <c r="G5" s="226"/>
      <c r="H5" s="226">
        <v>1</v>
      </c>
      <c r="I5" s="228" t="s">
        <v>115</v>
      </c>
    </row>
    <row r="6" spans="1:9" s="224" customFormat="1">
      <c r="A6" s="225">
        <f t="shared" si="0"/>
        <v>3</v>
      </c>
      <c r="B6" s="226" t="s">
        <v>116</v>
      </c>
      <c r="C6" s="226" t="s">
        <v>117</v>
      </c>
      <c r="D6" s="226" t="s">
        <v>110</v>
      </c>
      <c r="E6" s="226">
        <v>10</v>
      </c>
      <c r="F6" s="227" t="s">
        <v>111</v>
      </c>
      <c r="G6" s="226"/>
      <c r="H6" s="226">
        <v>2</v>
      </c>
      <c r="I6" s="228" t="s">
        <v>118</v>
      </c>
    </row>
    <row r="7" spans="1:9">
      <c r="A7" s="229">
        <f>ROW() - 3</f>
        <v>4</v>
      </c>
      <c r="B7" s="230" t="s">
        <v>531</v>
      </c>
      <c r="C7" s="230" t="s">
        <v>532</v>
      </c>
      <c r="D7" s="230" t="s">
        <v>487</v>
      </c>
      <c r="E7" s="230">
        <v>2</v>
      </c>
      <c r="F7" s="231" t="s">
        <v>111</v>
      </c>
      <c r="G7" s="230"/>
      <c r="H7" s="230">
        <v>3</v>
      </c>
      <c r="I7" s="232"/>
    </row>
    <row r="8" spans="1:9">
      <c r="A8" s="229">
        <f>ROW() - 3</f>
        <v>5</v>
      </c>
      <c r="B8" s="230" t="s">
        <v>560</v>
      </c>
      <c r="C8" s="230" t="s">
        <v>561</v>
      </c>
      <c r="D8" s="230" t="s">
        <v>562</v>
      </c>
      <c r="E8" s="230"/>
      <c r="F8" s="231" t="s">
        <v>111</v>
      </c>
      <c r="G8" s="230"/>
      <c r="H8" s="230"/>
      <c r="I8" s="232" t="s">
        <v>563</v>
      </c>
    </row>
    <row r="9" spans="1:9" ht="27.75" thickBot="1">
      <c r="A9" s="233">
        <f>ROW() - 3</f>
        <v>6</v>
      </c>
      <c r="B9" s="234" t="s">
        <v>564</v>
      </c>
      <c r="C9" s="234" t="s">
        <v>565</v>
      </c>
      <c r="D9" s="234" t="s">
        <v>487</v>
      </c>
      <c r="E9" s="234">
        <v>2</v>
      </c>
      <c r="F9" s="235"/>
      <c r="G9" s="234"/>
      <c r="H9" s="234"/>
      <c r="I9" s="236" t="s">
        <v>566</v>
      </c>
    </row>
    <row r="16" spans="1:9" ht="54">
      <c r="I16" s="237" t="s">
        <v>256</v>
      </c>
    </row>
  </sheetData>
  <phoneticPr fontId="5"/>
  <printOptions horizontalCentered="1"/>
  <pageMargins left="0.31496062992125984" right="0.31496062992125984" top="0.74803149606299213" bottom="0.74803149606299213" header="0.31496062992125984" footer="0.31496062992125984"/>
  <pageSetup paperSize="9" scale="84" fitToHeight="0" orientation="landscape" r:id="rId1"/>
  <headerFooter alignWithMargins="0">
    <oddFooter>&amp;C&amp;"Times New Roman,標準"&amp;10&amp;P/&amp;N&amp;R&amp;"Times New Roman,標準"&amp;9Copyright(C) 2017-2022 VINX Corporation. All Rights Reserved.</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B7499-00C4-4F88-A934-8918B62F9845}">
  <dimension ref="A1:K23"/>
  <sheetViews>
    <sheetView workbookViewId="0"/>
  </sheetViews>
  <sheetFormatPr defaultColWidth="9" defaultRowHeight="13.5"/>
  <cols>
    <col min="1" max="1" width="5.625" style="5" customWidth="1"/>
    <col min="2" max="3" width="28.375" style="5" customWidth="1"/>
    <col min="4" max="5" width="13.625" style="5" customWidth="1"/>
    <col min="6" max="8" width="9" style="5"/>
    <col min="9" max="9" width="25.5" style="5" customWidth="1"/>
    <col min="10" max="10" width="25.75" style="5" customWidth="1"/>
    <col min="11" max="11" width="40.125" style="5" bestFit="1" customWidth="1"/>
    <col min="12" max="16384" width="9" style="5"/>
  </cols>
  <sheetData>
    <row r="1" spans="1:11">
      <c r="A1" s="5" t="s">
        <v>567</v>
      </c>
    </row>
    <row r="2" spans="1:11" ht="14.25" thickBot="1"/>
    <row r="3" spans="1:11" ht="31.5" customHeight="1" thickBot="1">
      <c r="A3" s="65" t="s">
        <v>99</v>
      </c>
      <c r="B3" s="66" t="s">
        <v>100</v>
      </c>
      <c r="C3" s="66" t="s">
        <v>101</v>
      </c>
      <c r="D3" s="66" t="s">
        <v>102</v>
      </c>
      <c r="E3" s="66" t="s">
        <v>528</v>
      </c>
      <c r="F3" s="66" t="s">
        <v>104</v>
      </c>
      <c r="G3" s="67" t="s">
        <v>105</v>
      </c>
      <c r="H3" s="68" t="s">
        <v>106</v>
      </c>
      <c r="I3" s="317" t="s">
        <v>529</v>
      </c>
      <c r="J3" s="318"/>
      <c r="K3" s="69" t="s">
        <v>107</v>
      </c>
    </row>
    <row r="4" spans="1:11" s="224" customFormat="1" ht="14.25" thickTop="1">
      <c r="A4" s="220">
        <f t="shared" ref="A4:A6" si="0">ROW() - 3</f>
        <v>1</v>
      </c>
      <c r="B4" s="221" t="s">
        <v>108</v>
      </c>
      <c r="C4" s="221" t="s">
        <v>109</v>
      </c>
      <c r="D4" s="221" t="s">
        <v>110</v>
      </c>
      <c r="E4" s="221">
        <v>1</v>
      </c>
      <c r="F4" s="222" t="s">
        <v>111</v>
      </c>
      <c r="G4" s="221"/>
      <c r="H4" s="221"/>
      <c r="I4" s="3"/>
      <c r="J4" s="3"/>
      <c r="K4" s="223" t="s">
        <v>530</v>
      </c>
    </row>
    <row r="5" spans="1:11" s="224" customFormat="1">
      <c r="A5" s="225">
        <f t="shared" si="0"/>
        <v>2</v>
      </c>
      <c r="B5" s="226" t="s">
        <v>113</v>
      </c>
      <c r="C5" s="226" t="s">
        <v>114</v>
      </c>
      <c r="D5" s="226" t="s">
        <v>110</v>
      </c>
      <c r="E5" s="226">
        <v>10</v>
      </c>
      <c r="F5" s="227" t="s">
        <v>111</v>
      </c>
      <c r="G5" s="226"/>
      <c r="H5" s="226">
        <v>1</v>
      </c>
      <c r="I5" s="3"/>
      <c r="J5" s="3"/>
      <c r="K5" s="228" t="s">
        <v>115</v>
      </c>
    </row>
    <row r="6" spans="1:11" s="224" customFormat="1">
      <c r="A6" s="225">
        <f t="shared" si="0"/>
        <v>3</v>
      </c>
      <c r="B6" s="226" t="s">
        <v>116</v>
      </c>
      <c r="C6" s="226" t="s">
        <v>117</v>
      </c>
      <c r="D6" s="226" t="s">
        <v>110</v>
      </c>
      <c r="E6" s="226">
        <v>10</v>
      </c>
      <c r="F6" s="227" t="s">
        <v>111</v>
      </c>
      <c r="G6" s="226"/>
      <c r="H6" s="226">
        <v>2</v>
      </c>
      <c r="I6" s="3"/>
      <c r="J6" s="3"/>
      <c r="K6" s="228" t="s">
        <v>118</v>
      </c>
    </row>
    <row r="7" spans="1:11" s="224" customFormat="1">
      <c r="A7" s="225">
        <f>ROW() - 3</f>
        <v>4</v>
      </c>
      <c r="B7" s="226" t="s">
        <v>568</v>
      </c>
      <c r="C7" s="226" t="s">
        <v>569</v>
      </c>
      <c r="D7" s="226" t="s">
        <v>110</v>
      </c>
      <c r="E7" s="226">
        <v>2</v>
      </c>
      <c r="F7" s="227" t="s">
        <v>111</v>
      </c>
      <c r="G7" s="226"/>
      <c r="H7" s="226">
        <v>3</v>
      </c>
      <c r="I7" s="3" t="s">
        <v>570</v>
      </c>
      <c r="J7" s="3" t="s">
        <v>568</v>
      </c>
      <c r="K7" s="228"/>
    </row>
    <row r="8" spans="1:11" s="224" customFormat="1" ht="27">
      <c r="A8" s="225">
        <f>ROW() - 3</f>
        <v>5</v>
      </c>
      <c r="B8" s="226" t="s">
        <v>571</v>
      </c>
      <c r="C8" s="226" t="s">
        <v>572</v>
      </c>
      <c r="D8" s="226" t="s">
        <v>110</v>
      </c>
      <c r="E8" s="226">
        <v>26</v>
      </c>
      <c r="F8" s="227" t="s">
        <v>111</v>
      </c>
      <c r="G8" s="226"/>
      <c r="H8" s="226">
        <v>4</v>
      </c>
      <c r="I8" s="3"/>
      <c r="J8" s="3"/>
      <c r="K8" s="228" t="s">
        <v>573</v>
      </c>
    </row>
    <row r="9" spans="1:11" s="224" customFormat="1">
      <c r="A9" s="225">
        <f t="shared" ref="A9:A22" si="1">ROW() - 3</f>
        <v>6</v>
      </c>
      <c r="B9" s="226" t="s">
        <v>314</v>
      </c>
      <c r="C9" s="226" t="s">
        <v>315</v>
      </c>
      <c r="D9" s="226" t="s">
        <v>110</v>
      </c>
      <c r="E9" s="226">
        <v>25</v>
      </c>
      <c r="F9" s="227" t="s">
        <v>125</v>
      </c>
      <c r="G9" s="226"/>
      <c r="H9" s="226"/>
      <c r="I9" s="3"/>
      <c r="J9" s="3"/>
      <c r="K9" s="228"/>
    </row>
    <row r="10" spans="1:11" s="224" customFormat="1" ht="40.5">
      <c r="A10" s="225">
        <f t="shared" si="1"/>
        <v>7</v>
      </c>
      <c r="B10" s="226" t="s">
        <v>574</v>
      </c>
      <c r="C10" s="226" t="s">
        <v>575</v>
      </c>
      <c r="D10" s="226" t="s">
        <v>151</v>
      </c>
      <c r="E10" s="226"/>
      <c r="F10" s="227" t="s">
        <v>111</v>
      </c>
      <c r="G10" s="226"/>
      <c r="H10" s="226"/>
      <c r="I10" s="3"/>
      <c r="J10" s="3"/>
      <c r="K10" s="228" t="s">
        <v>576</v>
      </c>
    </row>
    <row r="11" spans="1:11" s="224" customFormat="1" ht="67.5">
      <c r="A11" s="225">
        <f t="shared" si="1"/>
        <v>8</v>
      </c>
      <c r="B11" s="226" t="s">
        <v>577</v>
      </c>
      <c r="C11" s="226" t="s">
        <v>578</v>
      </c>
      <c r="D11" s="226" t="s">
        <v>178</v>
      </c>
      <c r="E11" s="226"/>
      <c r="F11" s="227" t="s">
        <v>111</v>
      </c>
      <c r="G11" s="226"/>
      <c r="H11" s="226"/>
      <c r="I11" s="3"/>
      <c r="J11" s="3"/>
      <c r="K11" s="228" t="s">
        <v>579</v>
      </c>
    </row>
    <row r="12" spans="1:11" s="224" customFormat="1" ht="27">
      <c r="A12" s="225">
        <f t="shared" si="1"/>
        <v>9</v>
      </c>
      <c r="B12" s="226" t="s">
        <v>580</v>
      </c>
      <c r="C12" s="226" t="s">
        <v>581</v>
      </c>
      <c r="D12" s="226" t="s">
        <v>178</v>
      </c>
      <c r="E12" s="226"/>
      <c r="F12" s="227" t="s">
        <v>111</v>
      </c>
      <c r="G12" s="226"/>
      <c r="H12" s="226"/>
      <c r="I12" s="3"/>
      <c r="J12" s="3"/>
      <c r="K12" s="228" t="s">
        <v>582</v>
      </c>
    </row>
    <row r="13" spans="1:11" s="224" customFormat="1" ht="27">
      <c r="A13" s="225">
        <f>ROW() - 3</f>
        <v>10</v>
      </c>
      <c r="B13" s="226" t="s">
        <v>583</v>
      </c>
      <c r="C13" s="226" t="s">
        <v>584</v>
      </c>
      <c r="D13" s="226" t="s">
        <v>178</v>
      </c>
      <c r="E13" s="226"/>
      <c r="F13" s="227" t="s">
        <v>111</v>
      </c>
      <c r="G13" s="226"/>
      <c r="H13" s="226"/>
      <c r="I13" s="3"/>
      <c r="J13" s="3"/>
      <c r="K13" s="228" t="s">
        <v>585</v>
      </c>
    </row>
    <row r="14" spans="1:11" s="224" customFormat="1" ht="27">
      <c r="A14" s="225">
        <f t="shared" si="1"/>
        <v>11</v>
      </c>
      <c r="B14" s="226" t="s">
        <v>586</v>
      </c>
      <c r="C14" s="226" t="s">
        <v>587</v>
      </c>
      <c r="D14" s="226" t="s">
        <v>178</v>
      </c>
      <c r="E14" s="226"/>
      <c r="F14" s="227" t="s">
        <v>111</v>
      </c>
      <c r="G14" s="226"/>
      <c r="H14" s="226"/>
      <c r="I14" s="3"/>
      <c r="J14" s="3"/>
      <c r="K14" s="228" t="s">
        <v>588</v>
      </c>
    </row>
    <row r="15" spans="1:11" s="224" customFormat="1" ht="81">
      <c r="A15" s="225">
        <f t="shared" si="1"/>
        <v>12</v>
      </c>
      <c r="B15" s="226" t="s">
        <v>589</v>
      </c>
      <c r="C15" s="226" t="s">
        <v>590</v>
      </c>
      <c r="D15" s="226" t="s">
        <v>178</v>
      </c>
      <c r="E15" s="226"/>
      <c r="F15" s="227" t="s">
        <v>111</v>
      </c>
      <c r="G15" s="226"/>
      <c r="H15" s="226"/>
      <c r="I15" s="3"/>
      <c r="J15" s="3"/>
      <c r="K15" s="228" t="s">
        <v>591</v>
      </c>
    </row>
    <row r="16" spans="1:11" s="224" customFormat="1">
      <c r="A16" s="225">
        <f t="shared" si="1"/>
        <v>13</v>
      </c>
      <c r="B16" s="226" t="s">
        <v>592</v>
      </c>
      <c r="C16" s="226" t="s">
        <v>593</v>
      </c>
      <c r="D16" s="226" t="s">
        <v>178</v>
      </c>
      <c r="E16" s="226"/>
      <c r="F16" s="227" t="s">
        <v>111</v>
      </c>
      <c r="G16" s="226"/>
      <c r="H16" s="226"/>
      <c r="I16" s="3"/>
      <c r="J16" s="3"/>
      <c r="K16" s="228" t="s">
        <v>594</v>
      </c>
    </row>
    <row r="17" spans="1:11" s="224" customFormat="1" ht="27">
      <c r="A17" s="225">
        <f t="shared" si="1"/>
        <v>14</v>
      </c>
      <c r="B17" s="226" t="s">
        <v>595</v>
      </c>
      <c r="C17" s="226" t="s">
        <v>596</v>
      </c>
      <c r="D17" s="226" t="s">
        <v>178</v>
      </c>
      <c r="E17" s="226"/>
      <c r="F17" s="227" t="s">
        <v>111</v>
      </c>
      <c r="G17" s="226"/>
      <c r="H17" s="226"/>
      <c r="I17" s="3"/>
      <c r="J17" s="3"/>
      <c r="K17" s="228" t="s">
        <v>597</v>
      </c>
    </row>
    <row r="18" spans="1:11" s="224" customFormat="1" ht="27">
      <c r="A18" s="225">
        <f t="shared" si="1"/>
        <v>15</v>
      </c>
      <c r="B18" s="226" t="s">
        <v>598</v>
      </c>
      <c r="C18" s="226" t="s">
        <v>599</v>
      </c>
      <c r="D18" s="226" t="s">
        <v>178</v>
      </c>
      <c r="E18" s="226"/>
      <c r="F18" s="227" t="s">
        <v>111</v>
      </c>
      <c r="G18" s="226"/>
      <c r="H18" s="226"/>
      <c r="I18" s="3"/>
      <c r="J18" s="3"/>
      <c r="K18" s="228" t="s">
        <v>600</v>
      </c>
    </row>
    <row r="19" spans="1:11" s="224" customFormat="1" ht="40.5">
      <c r="A19" s="225">
        <f t="shared" si="1"/>
        <v>16</v>
      </c>
      <c r="B19" s="226" t="s">
        <v>601</v>
      </c>
      <c r="C19" s="226" t="s">
        <v>602</v>
      </c>
      <c r="D19" s="226" t="s">
        <v>178</v>
      </c>
      <c r="E19" s="226"/>
      <c r="F19" s="227" t="s">
        <v>111</v>
      </c>
      <c r="G19" s="226"/>
      <c r="H19" s="226"/>
      <c r="I19" s="3"/>
      <c r="J19" s="3"/>
      <c r="K19" s="228" t="s">
        <v>603</v>
      </c>
    </row>
    <row r="20" spans="1:11" s="224" customFormat="1">
      <c r="A20" s="225">
        <f t="shared" si="1"/>
        <v>17</v>
      </c>
      <c r="B20" s="226" t="s">
        <v>195</v>
      </c>
      <c r="C20" s="226" t="s">
        <v>196</v>
      </c>
      <c r="D20" s="226" t="s">
        <v>178</v>
      </c>
      <c r="E20" s="226"/>
      <c r="F20" s="227" t="s">
        <v>111</v>
      </c>
      <c r="G20" s="226"/>
      <c r="H20" s="226"/>
      <c r="I20" s="3"/>
      <c r="J20" s="3"/>
      <c r="K20" s="228" t="s">
        <v>604</v>
      </c>
    </row>
    <row r="21" spans="1:11" s="224" customFormat="1">
      <c r="A21" s="225">
        <f t="shared" si="1"/>
        <v>18</v>
      </c>
      <c r="B21" s="226" t="s">
        <v>605</v>
      </c>
      <c r="C21" s="226" t="s">
        <v>606</v>
      </c>
      <c r="D21" s="226" t="s">
        <v>178</v>
      </c>
      <c r="E21" s="226"/>
      <c r="F21" s="227" t="s">
        <v>111</v>
      </c>
      <c r="G21" s="226"/>
      <c r="H21" s="226"/>
      <c r="I21" s="3"/>
      <c r="J21" s="3"/>
      <c r="K21" s="228"/>
    </row>
    <row r="22" spans="1:11" s="224" customFormat="1">
      <c r="A22" s="225">
        <f t="shared" si="1"/>
        <v>19</v>
      </c>
      <c r="B22" s="226" t="s">
        <v>607</v>
      </c>
      <c r="C22" s="226" t="s">
        <v>608</v>
      </c>
      <c r="D22" s="226" t="s">
        <v>110</v>
      </c>
      <c r="E22" s="226">
        <v>2</v>
      </c>
      <c r="F22" s="227" t="s">
        <v>111</v>
      </c>
      <c r="G22" s="226"/>
      <c r="H22" s="226"/>
      <c r="I22" s="3" t="s">
        <v>609</v>
      </c>
      <c r="J22" s="3" t="s">
        <v>610</v>
      </c>
      <c r="K22" s="228"/>
    </row>
    <row r="23" spans="1:11" s="224" customFormat="1" ht="14.25" thickBot="1">
      <c r="A23" s="255">
        <f>ROW() - 3</f>
        <v>20</v>
      </c>
      <c r="B23" s="256" t="s">
        <v>611</v>
      </c>
      <c r="C23" s="256" t="s">
        <v>612</v>
      </c>
      <c r="D23" s="256" t="s">
        <v>110</v>
      </c>
      <c r="E23" s="256">
        <v>2</v>
      </c>
      <c r="F23" s="257" t="s">
        <v>111</v>
      </c>
      <c r="G23" s="256"/>
      <c r="H23" s="256"/>
      <c r="I23" s="74"/>
      <c r="J23" s="74"/>
      <c r="K23" s="258" t="s">
        <v>613</v>
      </c>
    </row>
  </sheetData>
  <mergeCells count="1">
    <mergeCell ref="I3:J3"/>
  </mergeCells>
  <phoneticPr fontId="6"/>
  <pageMargins left="0.31496062992125984" right="0.31496062992125984" top="0.74803149606299213" bottom="0.74803149606299213" header="0.31496062992125984" footer="0.31496062992125984"/>
  <pageSetup paperSize="9" scale="98" orientation="landscape" r:id="rId1"/>
  <headerFooter>
    <oddFooter>&amp;C&amp;"Times New Roman,標準"&amp;10&amp;P/&amp;N&amp;R&amp;"Times New Roman,標準"&amp;9Copyright(C) 2017-2019 VINX Corporation. All Rights Reserved.</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DBCEB-DCCF-4FF1-B85C-C3314CFFCCC4}">
  <dimension ref="A1:K20"/>
  <sheetViews>
    <sheetView workbookViewId="0"/>
  </sheetViews>
  <sheetFormatPr defaultColWidth="9" defaultRowHeight="13.5"/>
  <cols>
    <col min="1" max="1" width="5.625" style="5" customWidth="1"/>
    <col min="2" max="3" width="28.375" style="5" customWidth="1"/>
    <col min="4" max="5" width="13.625" style="5" customWidth="1"/>
    <col min="6" max="8" width="9" style="5"/>
    <col min="9" max="9" width="25.5" style="5" customWidth="1"/>
    <col min="10" max="10" width="25.75" style="5" customWidth="1"/>
    <col min="11" max="11" width="63.625" style="5" bestFit="1" customWidth="1"/>
    <col min="12" max="16384" width="9" style="5"/>
  </cols>
  <sheetData>
    <row r="1" spans="1:11">
      <c r="A1" s="5" t="str">
        <f ca="1">MID(CELL("filename",$A$1),FIND("]",CELL("filename",$A$1))+1,31)</f>
        <v>釣銭機回収設定マスタ</v>
      </c>
    </row>
    <row r="2" spans="1:11" ht="14.25" thickBot="1"/>
    <row r="3" spans="1:11" ht="31.5" customHeight="1" thickBot="1">
      <c r="A3" s="65" t="s">
        <v>99</v>
      </c>
      <c r="B3" s="66" t="s">
        <v>100</v>
      </c>
      <c r="C3" s="66" t="s">
        <v>101</v>
      </c>
      <c r="D3" s="66" t="s">
        <v>102</v>
      </c>
      <c r="E3" s="66" t="s">
        <v>528</v>
      </c>
      <c r="F3" s="66" t="s">
        <v>104</v>
      </c>
      <c r="G3" s="67" t="s">
        <v>105</v>
      </c>
      <c r="H3" s="68" t="s">
        <v>106</v>
      </c>
      <c r="I3" s="317" t="s">
        <v>529</v>
      </c>
      <c r="J3" s="318"/>
      <c r="K3" s="69" t="s">
        <v>107</v>
      </c>
    </row>
    <row r="4" spans="1:11" s="224" customFormat="1" ht="14.25" thickTop="1">
      <c r="A4" s="220">
        <f t="shared" ref="A4:A6" si="0">ROW() - 3</f>
        <v>1</v>
      </c>
      <c r="B4" s="221" t="s">
        <v>108</v>
      </c>
      <c r="C4" s="221" t="s">
        <v>109</v>
      </c>
      <c r="D4" s="221" t="s">
        <v>110</v>
      </c>
      <c r="E4" s="221">
        <v>1</v>
      </c>
      <c r="F4" s="222" t="s">
        <v>111</v>
      </c>
      <c r="G4" s="221"/>
      <c r="H4" s="221"/>
      <c r="I4" s="3"/>
      <c r="J4" s="3"/>
      <c r="K4" s="223" t="s">
        <v>530</v>
      </c>
    </row>
    <row r="5" spans="1:11" s="224" customFormat="1">
      <c r="A5" s="225">
        <f t="shared" si="0"/>
        <v>2</v>
      </c>
      <c r="B5" s="226" t="s">
        <v>113</v>
      </c>
      <c r="C5" s="226" t="s">
        <v>114</v>
      </c>
      <c r="D5" s="226" t="s">
        <v>110</v>
      </c>
      <c r="E5" s="226">
        <v>10</v>
      </c>
      <c r="F5" s="227" t="s">
        <v>111</v>
      </c>
      <c r="G5" s="226"/>
      <c r="H5" s="226">
        <v>1</v>
      </c>
      <c r="I5" s="3"/>
      <c r="J5" s="3"/>
      <c r="K5" s="228" t="s">
        <v>115</v>
      </c>
    </row>
    <row r="6" spans="1:11" s="224" customFormat="1">
      <c r="A6" s="225">
        <f t="shared" si="0"/>
        <v>3</v>
      </c>
      <c r="B6" s="226" t="s">
        <v>116</v>
      </c>
      <c r="C6" s="226" t="s">
        <v>117</v>
      </c>
      <c r="D6" s="226" t="s">
        <v>110</v>
      </c>
      <c r="E6" s="226">
        <v>10</v>
      </c>
      <c r="F6" s="227" t="s">
        <v>111</v>
      </c>
      <c r="G6" s="226"/>
      <c r="H6" s="226">
        <v>2</v>
      </c>
      <c r="I6" s="3"/>
      <c r="J6" s="3"/>
      <c r="K6" s="228" t="s">
        <v>118</v>
      </c>
    </row>
    <row r="7" spans="1:11" ht="27">
      <c r="A7" s="93">
        <f>ROW() - 3</f>
        <v>4</v>
      </c>
      <c r="B7" s="3" t="s">
        <v>614</v>
      </c>
      <c r="C7" s="3" t="s">
        <v>615</v>
      </c>
      <c r="D7" s="3" t="s">
        <v>168</v>
      </c>
      <c r="E7" s="3"/>
      <c r="F7" s="2" t="s">
        <v>111</v>
      </c>
      <c r="G7" s="3"/>
      <c r="H7" s="226">
        <v>3</v>
      </c>
      <c r="I7" s="3"/>
      <c r="J7" s="3"/>
      <c r="K7" s="94" t="s">
        <v>616</v>
      </c>
    </row>
    <row r="8" spans="1:11" ht="40.5">
      <c r="A8" s="93">
        <f>ROW() - 3</f>
        <v>5</v>
      </c>
      <c r="B8" s="70" t="s">
        <v>617</v>
      </c>
      <c r="C8" s="102" t="s">
        <v>618</v>
      </c>
      <c r="D8" s="70" t="s">
        <v>168</v>
      </c>
      <c r="E8" s="70"/>
      <c r="F8" s="72" t="s">
        <v>111</v>
      </c>
      <c r="G8" s="70"/>
      <c r="H8" s="226">
        <v>4</v>
      </c>
      <c r="I8" s="70"/>
      <c r="J8" s="70"/>
      <c r="K8" s="71" t="s">
        <v>619</v>
      </c>
    </row>
    <row r="9" spans="1:11">
      <c r="A9" s="93">
        <f>ROW() - 3</f>
        <v>6</v>
      </c>
      <c r="B9" s="70" t="s">
        <v>620</v>
      </c>
      <c r="C9" s="70" t="s">
        <v>621</v>
      </c>
      <c r="D9" s="70" t="s">
        <v>151</v>
      </c>
      <c r="E9" s="70"/>
      <c r="F9" s="72" t="s">
        <v>111</v>
      </c>
      <c r="G9" s="70"/>
      <c r="H9" s="226">
        <v>5</v>
      </c>
      <c r="I9" s="70"/>
      <c r="J9" s="70"/>
      <c r="K9" s="71" t="s">
        <v>622</v>
      </c>
    </row>
    <row r="10" spans="1:11">
      <c r="A10" s="93">
        <f t="shared" ref="A10:A20" si="1">ROW() - 3</f>
        <v>7</v>
      </c>
      <c r="B10" s="70" t="s">
        <v>623</v>
      </c>
      <c r="C10" s="70" t="s">
        <v>624</v>
      </c>
      <c r="D10" s="3" t="s">
        <v>168</v>
      </c>
      <c r="E10" s="3"/>
      <c r="F10" s="72" t="s">
        <v>111</v>
      </c>
      <c r="G10" s="3"/>
      <c r="H10" s="3"/>
      <c r="I10" s="3"/>
      <c r="J10" s="3"/>
      <c r="K10" s="73" t="s">
        <v>625</v>
      </c>
    </row>
    <row r="11" spans="1:11">
      <c r="A11" s="93">
        <f t="shared" si="1"/>
        <v>8</v>
      </c>
      <c r="B11" s="70" t="s">
        <v>626</v>
      </c>
      <c r="C11" s="70" t="s">
        <v>627</v>
      </c>
      <c r="D11" s="3" t="s">
        <v>168</v>
      </c>
      <c r="E11" s="3"/>
      <c r="F11" s="72" t="s">
        <v>111</v>
      </c>
      <c r="G11" s="3"/>
      <c r="H11" s="3"/>
      <c r="I11" s="3"/>
      <c r="J11" s="3"/>
      <c r="K11" s="73" t="s">
        <v>628</v>
      </c>
    </row>
    <row r="12" spans="1:11">
      <c r="A12" s="93">
        <f>ROW() - 3</f>
        <v>9</v>
      </c>
      <c r="B12" s="70" t="s">
        <v>629</v>
      </c>
      <c r="C12" s="70" t="s">
        <v>630</v>
      </c>
      <c r="D12" s="70" t="s">
        <v>226</v>
      </c>
      <c r="E12" s="70">
        <v>7</v>
      </c>
      <c r="F12" s="72" t="s">
        <v>111</v>
      </c>
      <c r="G12" s="70"/>
      <c r="H12" s="70"/>
      <c r="I12" s="70"/>
      <c r="J12" s="70"/>
      <c r="K12" s="71" t="s">
        <v>631</v>
      </c>
    </row>
    <row r="13" spans="1:11" ht="54">
      <c r="A13" s="93">
        <f t="shared" si="1"/>
        <v>10</v>
      </c>
      <c r="B13" s="3" t="s">
        <v>632</v>
      </c>
      <c r="C13" s="4" t="s">
        <v>633</v>
      </c>
      <c r="D13" s="3" t="s">
        <v>210</v>
      </c>
      <c r="E13" s="3"/>
      <c r="F13" s="2" t="s">
        <v>125</v>
      </c>
      <c r="G13" s="3"/>
      <c r="H13" s="3"/>
      <c r="I13" s="3"/>
      <c r="J13" s="3"/>
      <c r="K13" s="94" t="s">
        <v>634</v>
      </c>
    </row>
    <row r="14" spans="1:11" ht="27">
      <c r="A14" s="93">
        <f t="shared" si="1"/>
        <v>11</v>
      </c>
      <c r="B14" s="98" t="s">
        <v>326</v>
      </c>
      <c r="C14" s="103" t="s">
        <v>635</v>
      </c>
      <c r="D14" s="98" t="s">
        <v>178</v>
      </c>
      <c r="E14" s="98"/>
      <c r="F14" s="2" t="s">
        <v>111</v>
      </c>
      <c r="G14" s="3"/>
      <c r="H14" s="3"/>
      <c r="I14" s="3"/>
      <c r="J14" s="3"/>
      <c r="K14" s="73" t="s">
        <v>636</v>
      </c>
    </row>
    <row r="15" spans="1:11" ht="27">
      <c r="A15" s="93">
        <f t="shared" si="1"/>
        <v>12</v>
      </c>
      <c r="B15" s="98" t="s">
        <v>329</v>
      </c>
      <c r="C15" s="103" t="s">
        <v>637</v>
      </c>
      <c r="D15" s="98" t="s">
        <v>178</v>
      </c>
      <c r="E15" s="98"/>
      <c r="F15" s="2" t="s">
        <v>111</v>
      </c>
      <c r="G15" s="3"/>
      <c r="H15" s="3"/>
      <c r="I15" s="3"/>
      <c r="J15" s="3"/>
      <c r="K15" s="73" t="s">
        <v>638</v>
      </c>
    </row>
    <row r="16" spans="1:11" ht="27">
      <c r="A16" s="93">
        <f t="shared" si="1"/>
        <v>13</v>
      </c>
      <c r="B16" s="98" t="s">
        <v>332</v>
      </c>
      <c r="C16" s="103" t="s">
        <v>639</v>
      </c>
      <c r="D16" s="98" t="s">
        <v>178</v>
      </c>
      <c r="E16" s="98"/>
      <c r="F16" s="2" t="s">
        <v>111</v>
      </c>
      <c r="G16" s="3"/>
      <c r="H16" s="3"/>
      <c r="I16" s="3"/>
      <c r="J16" s="3"/>
      <c r="K16" s="73" t="s">
        <v>640</v>
      </c>
    </row>
    <row r="17" spans="1:11" ht="27">
      <c r="A17" s="93">
        <f t="shared" si="1"/>
        <v>14</v>
      </c>
      <c r="B17" s="98" t="s">
        <v>335</v>
      </c>
      <c r="C17" s="103" t="s">
        <v>641</v>
      </c>
      <c r="D17" s="98" t="s">
        <v>178</v>
      </c>
      <c r="E17" s="98"/>
      <c r="F17" s="2" t="s">
        <v>111</v>
      </c>
      <c r="G17" s="3"/>
      <c r="H17" s="3"/>
      <c r="I17" s="3"/>
      <c r="J17" s="3"/>
      <c r="K17" s="73" t="s">
        <v>642</v>
      </c>
    </row>
    <row r="18" spans="1:11" ht="27">
      <c r="A18" s="93">
        <f t="shared" si="1"/>
        <v>15</v>
      </c>
      <c r="B18" s="98" t="s">
        <v>338</v>
      </c>
      <c r="C18" s="103" t="s">
        <v>643</v>
      </c>
      <c r="D18" s="98" t="s">
        <v>178</v>
      </c>
      <c r="E18" s="98"/>
      <c r="F18" s="2" t="s">
        <v>111</v>
      </c>
      <c r="G18" s="3"/>
      <c r="H18" s="3"/>
      <c r="I18" s="3"/>
      <c r="J18" s="3"/>
      <c r="K18" s="73" t="s">
        <v>644</v>
      </c>
    </row>
    <row r="19" spans="1:11" ht="27">
      <c r="A19" s="93">
        <f t="shared" si="1"/>
        <v>16</v>
      </c>
      <c r="B19" s="98" t="s">
        <v>341</v>
      </c>
      <c r="C19" s="103" t="s">
        <v>645</v>
      </c>
      <c r="D19" s="98" t="s">
        <v>178</v>
      </c>
      <c r="E19" s="98"/>
      <c r="F19" s="2" t="s">
        <v>111</v>
      </c>
      <c r="G19" s="3"/>
      <c r="H19" s="3"/>
      <c r="I19" s="3"/>
      <c r="J19" s="3"/>
      <c r="K19" s="73" t="s">
        <v>646</v>
      </c>
    </row>
    <row r="20" spans="1:11" ht="27.75" thickBot="1">
      <c r="A20" s="95">
        <f t="shared" si="1"/>
        <v>17</v>
      </c>
      <c r="B20" s="74" t="s">
        <v>344</v>
      </c>
      <c r="C20" s="104" t="s">
        <v>647</v>
      </c>
      <c r="D20" s="74" t="s">
        <v>178</v>
      </c>
      <c r="E20" s="74"/>
      <c r="F20" s="75" t="s">
        <v>111</v>
      </c>
      <c r="G20" s="74"/>
      <c r="H20" s="74"/>
      <c r="I20" s="74"/>
      <c r="J20" s="74"/>
      <c r="K20" s="76" t="s">
        <v>648</v>
      </c>
    </row>
  </sheetData>
  <mergeCells count="1">
    <mergeCell ref="I3:J3"/>
  </mergeCells>
  <phoneticPr fontId="5"/>
  <pageMargins left="0.31496062992125984" right="0.31496062992125984" top="0.74803149606299213" bottom="0.74803149606299213" header="0.31496062992125984" footer="0.31496062992125984"/>
  <pageSetup paperSize="89" scale="98" orientation="landscape" r:id="rId1"/>
  <headerFooter>
    <oddFooter>&amp;C&amp;"Times New Roman,標準"&amp;10&amp;P/&amp;N&amp;R&amp;"Times New Roman,標準"&amp;9Copyright(C) 2017-2019 VINX Corporation. All Rights Reserved.</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88C1D-DC56-43FA-B2BF-24E8F231E7AB}">
  <dimension ref="A1:K20"/>
  <sheetViews>
    <sheetView zoomScaleNormal="100" workbookViewId="0"/>
  </sheetViews>
  <sheetFormatPr defaultColWidth="9" defaultRowHeight="13.5"/>
  <cols>
    <col min="1" max="1" width="5.625" style="5" customWidth="1"/>
    <col min="2" max="3" width="28.375" style="5" customWidth="1"/>
    <col min="4" max="5" width="13.625" style="5" customWidth="1"/>
    <col min="6" max="8" width="9" style="5"/>
    <col min="9" max="9" width="25.5" style="5" customWidth="1"/>
    <col min="10" max="10" width="25.75" style="5" customWidth="1"/>
    <col min="11" max="11" width="46.125" style="5" bestFit="1" customWidth="1"/>
    <col min="12" max="16384" width="9" style="5"/>
  </cols>
  <sheetData>
    <row r="1" spans="1:11">
      <c r="A1" s="5" t="s">
        <v>96</v>
      </c>
    </row>
    <row r="2" spans="1:11" ht="14.25" thickBot="1"/>
    <row r="3" spans="1:11" ht="31.5" customHeight="1" thickBot="1">
      <c r="A3" s="65" t="s">
        <v>99</v>
      </c>
      <c r="B3" s="66" t="s">
        <v>100</v>
      </c>
      <c r="C3" s="66" t="s">
        <v>101</v>
      </c>
      <c r="D3" s="66" t="s">
        <v>102</v>
      </c>
      <c r="E3" s="66" t="s">
        <v>528</v>
      </c>
      <c r="F3" s="66" t="s">
        <v>104</v>
      </c>
      <c r="G3" s="67" t="s">
        <v>105</v>
      </c>
      <c r="H3" s="68" t="s">
        <v>106</v>
      </c>
      <c r="I3" s="317" t="s">
        <v>529</v>
      </c>
      <c r="J3" s="318"/>
      <c r="K3" s="69" t="s">
        <v>107</v>
      </c>
    </row>
    <row r="4" spans="1:11" s="224" customFormat="1" ht="14.25" thickTop="1">
      <c r="A4" s="220">
        <f t="shared" ref="A4:A6" si="0">ROW() - 3</f>
        <v>1</v>
      </c>
      <c r="B4" s="221" t="s">
        <v>108</v>
      </c>
      <c r="C4" s="221" t="s">
        <v>109</v>
      </c>
      <c r="D4" s="221" t="s">
        <v>110</v>
      </c>
      <c r="E4" s="221">
        <v>1</v>
      </c>
      <c r="F4" s="222" t="s">
        <v>111</v>
      </c>
      <c r="G4" s="221"/>
      <c r="H4" s="221"/>
      <c r="I4" s="3"/>
      <c r="J4" s="3"/>
      <c r="K4" s="223" t="s">
        <v>530</v>
      </c>
    </row>
    <row r="5" spans="1:11" s="224" customFormat="1">
      <c r="A5" s="225">
        <f t="shared" si="0"/>
        <v>2</v>
      </c>
      <c r="B5" s="226" t="s">
        <v>113</v>
      </c>
      <c r="C5" s="226" t="s">
        <v>114</v>
      </c>
      <c r="D5" s="226" t="s">
        <v>110</v>
      </c>
      <c r="E5" s="226">
        <v>10</v>
      </c>
      <c r="F5" s="227" t="s">
        <v>111</v>
      </c>
      <c r="G5" s="226"/>
      <c r="H5" s="226">
        <v>1</v>
      </c>
      <c r="I5" s="3"/>
      <c r="J5" s="3"/>
      <c r="K5" s="228" t="s">
        <v>115</v>
      </c>
    </row>
    <row r="6" spans="1:11" s="224" customFormat="1">
      <c r="A6" s="225">
        <f t="shared" si="0"/>
        <v>3</v>
      </c>
      <c r="B6" s="226" t="s">
        <v>116</v>
      </c>
      <c r="C6" s="226" t="s">
        <v>117</v>
      </c>
      <c r="D6" s="226" t="s">
        <v>110</v>
      </c>
      <c r="E6" s="226">
        <v>10</v>
      </c>
      <c r="F6" s="227" t="s">
        <v>111</v>
      </c>
      <c r="G6" s="226"/>
      <c r="H6" s="226">
        <v>2</v>
      </c>
      <c r="I6" s="3"/>
      <c r="J6" s="3"/>
      <c r="K6" s="228" t="s">
        <v>118</v>
      </c>
    </row>
    <row r="7" spans="1:11" ht="40.5">
      <c r="A7" s="96">
        <f t="shared" ref="A7:A20" si="1">ROW() - 3</f>
        <v>4</v>
      </c>
      <c r="B7" s="70" t="s">
        <v>649</v>
      </c>
      <c r="C7" s="70" t="s">
        <v>650</v>
      </c>
      <c r="D7" s="70" t="s">
        <v>487</v>
      </c>
      <c r="E7" s="70">
        <v>26</v>
      </c>
      <c r="F7" s="72" t="s">
        <v>477</v>
      </c>
      <c r="G7" s="70"/>
      <c r="H7" s="226">
        <v>3</v>
      </c>
      <c r="I7" s="70"/>
      <c r="J7" s="70"/>
      <c r="K7" s="242" t="s">
        <v>651</v>
      </c>
    </row>
    <row r="8" spans="1:11">
      <c r="A8" s="96">
        <f t="shared" si="1"/>
        <v>5</v>
      </c>
      <c r="B8" s="70" t="s">
        <v>652</v>
      </c>
      <c r="C8" s="70" t="s">
        <v>653</v>
      </c>
      <c r="D8" s="70" t="s">
        <v>654</v>
      </c>
      <c r="E8" s="70">
        <v>7</v>
      </c>
      <c r="F8" s="72" t="s">
        <v>477</v>
      </c>
      <c r="G8" s="70"/>
      <c r="H8" s="226">
        <v>4</v>
      </c>
      <c r="I8" s="70"/>
      <c r="J8" s="70"/>
      <c r="K8" s="71"/>
    </row>
    <row r="9" spans="1:11">
      <c r="A9" s="96">
        <f t="shared" si="1"/>
        <v>6</v>
      </c>
      <c r="B9" s="70" t="s">
        <v>655</v>
      </c>
      <c r="C9" s="70" t="s">
        <v>656</v>
      </c>
      <c r="D9" s="70" t="s">
        <v>654</v>
      </c>
      <c r="E9" s="70">
        <v>7</v>
      </c>
      <c r="F9" s="72" t="s">
        <v>477</v>
      </c>
      <c r="G9" s="70"/>
      <c r="H9" s="70"/>
      <c r="I9" s="70"/>
      <c r="J9" s="70"/>
      <c r="K9" s="71"/>
    </row>
    <row r="10" spans="1:11">
      <c r="A10" s="96">
        <f t="shared" si="1"/>
        <v>7</v>
      </c>
      <c r="B10" s="70" t="s">
        <v>657</v>
      </c>
      <c r="C10" s="70" t="s">
        <v>658</v>
      </c>
      <c r="D10" s="70" t="s">
        <v>654</v>
      </c>
      <c r="E10" s="70">
        <v>7</v>
      </c>
      <c r="F10" s="72" t="s">
        <v>477</v>
      </c>
      <c r="G10" s="70"/>
      <c r="H10" s="70"/>
      <c r="I10" s="70"/>
      <c r="J10" s="70"/>
      <c r="K10" s="71"/>
    </row>
    <row r="11" spans="1:11">
      <c r="A11" s="96">
        <f t="shared" si="1"/>
        <v>8</v>
      </c>
      <c r="B11" s="70" t="s">
        <v>659</v>
      </c>
      <c r="C11" s="70" t="s">
        <v>660</v>
      </c>
      <c r="D11" s="70" t="s">
        <v>654</v>
      </c>
      <c r="E11" s="70">
        <v>7</v>
      </c>
      <c r="F11" s="72" t="s">
        <v>477</v>
      </c>
      <c r="G11" s="70"/>
      <c r="H11" s="70"/>
      <c r="I11" s="70"/>
      <c r="J11" s="70"/>
      <c r="K11" s="71"/>
    </row>
    <row r="12" spans="1:11">
      <c r="A12" s="96">
        <f t="shared" si="1"/>
        <v>9</v>
      </c>
      <c r="B12" s="70" t="s">
        <v>661</v>
      </c>
      <c r="C12" s="70" t="s">
        <v>662</v>
      </c>
      <c r="D12" s="70" t="s">
        <v>423</v>
      </c>
      <c r="E12" s="70"/>
      <c r="F12" s="72" t="s">
        <v>477</v>
      </c>
      <c r="G12" s="70"/>
      <c r="H12" s="70"/>
      <c r="I12" s="70"/>
      <c r="J12" s="70"/>
      <c r="K12" s="71"/>
    </row>
    <row r="13" spans="1:11">
      <c r="A13" s="96">
        <f t="shared" si="1"/>
        <v>10</v>
      </c>
      <c r="B13" s="70" t="s">
        <v>663</v>
      </c>
      <c r="C13" s="70" t="s">
        <v>664</v>
      </c>
      <c r="D13" s="70" t="s">
        <v>487</v>
      </c>
      <c r="E13" s="70">
        <v>2</v>
      </c>
      <c r="F13" s="72" t="s">
        <v>477</v>
      </c>
      <c r="G13" s="70"/>
      <c r="H13" s="70"/>
      <c r="I13" s="70"/>
      <c r="J13" s="70"/>
      <c r="K13" s="71" t="s">
        <v>665</v>
      </c>
    </row>
    <row r="14" spans="1:11">
      <c r="A14" s="96">
        <f t="shared" si="1"/>
        <v>11</v>
      </c>
      <c r="B14" s="70" t="s">
        <v>666</v>
      </c>
      <c r="C14" s="70" t="s">
        <v>667</v>
      </c>
      <c r="D14" s="70" t="s">
        <v>487</v>
      </c>
      <c r="E14" s="70">
        <v>1</v>
      </c>
      <c r="F14" s="72" t="s">
        <v>477</v>
      </c>
      <c r="G14" s="70"/>
      <c r="H14" s="70"/>
      <c r="I14" s="70"/>
      <c r="J14" s="70"/>
      <c r="K14" s="71" t="s">
        <v>668</v>
      </c>
    </row>
    <row r="15" spans="1:11">
      <c r="A15" s="96">
        <f t="shared" si="1"/>
        <v>12</v>
      </c>
      <c r="B15" s="70" t="s">
        <v>669</v>
      </c>
      <c r="C15" s="70" t="s">
        <v>670</v>
      </c>
      <c r="D15" s="70" t="s">
        <v>487</v>
      </c>
      <c r="E15" s="70">
        <v>10</v>
      </c>
      <c r="F15" s="72" t="s">
        <v>477</v>
      </c>
      <c r="G15" s="70"/>
      <c r="H15" s="70"/>
      <c r="I15" s="70"/>
      <c r="J15" s="70"/>
      <c r="K15" s="71" t="s">
        <v>671</v>
      </c>
    </row>
    <row r="16" spans="1:11">
      <c r="A16" s="96">
        <f t="shared" si="1"/>
        <v>13</v>
      </c>
      <c r="B16" s="70" t="s">
        <v>672</v>
      </c>
      <c r="C16" s="70" t="s">
        <v>673</v>
      </c>
      <c r="D16" s="70" t="s">
        <v>674</v>
      </c>
      <c r="E16" s="70">
        <v>500</v>
      </c>
      <c r="F16" s="72" t="s">
        <v>477</v>
      </c>
      <c r="G16" s="70"/>
      <c r="H16" s="70"/>
      <c r="I16" s="70"/>
      <c r="J16" s="70"/>
      <c r="K16" s="71"/>
    </row>
    <row r="17" spans="1:11">
      <c r="A17" s="96">
        <f t="shared" si="1"/>
        <v>14</v>
      </c>
      <c r="B17" s="98" t="s">
        <v>675</v>
      </c>
      <c r="C17" s="98" t="s">
        <v>676</v>
      </c>
      <c r="D17" s="98" t="s">
        <v>677</v>
      </c>
      <c r="E17" s="98"/>
      <c r="F17" s="2" t="s">
        <v>477</v>
      </c>
      <c r="G17" s="98"/>
      <c r="H17" s="98">
        <v>5</v>
      </c>
      <c r="I17" s="98"/>
      <c r="J17" s="98"/>
      <c r="K17" s="101" t="s">
        <v>678</v>
      </c>
    </row>
    <row r="18" spans="1:11">
      <c r="A18" s="96">
        <f t="shared" si="1"/>
        <v>15</v>
      </c>
      <c r="B18" s="3" t="s">
        <v>679</v>
      </c>
      <c r="C18" s="3" t="s">
        <v>680</v>
      </c>
      <c r="D18" s="3" t="s">
        <v>168</v>
      </c>
      <c r="E18" s="3"/>
      <c r="F18" s="2" t="s">
        <v>477</v>
      </c>
      <c r="G18" s="3"/>
      <c r="H18" s="3">
        <v>6</v>
      </c>
      <c r="I18" s="3"/>
      <c r="J18" s="3"/>
      <c r="K18" s="73"/>
    </row>
    <row r="19" spans="1:11">
      <c r="A19" s="100">
        <f t="shared" si="1"/>
        <v>16</v>
      </c>
      <c r="B19" s="98" t="s">
        <v>681</v>
      </c>
      <c r="C19" s="98" t="s">
        <v>682</v>
      </c>
      <c r="D19" s="98" t="s">
        <v>487</v>
      </c>
      <c r="E19" s="98">
        <v>1000</v>
      </c>
      <c r="F19" s="99"/>
      <c r="G19" s="98"/>
      <c r="H19" s="98"/>
      <c r="I19" s="98"/>
      <c r="J19" s="98"/>
      <c r="K19" s="101"/>
    </row>
    <row r="20" spans="1:11" ht="54.75" thickBot="1">
      <c r="A20" s="95">
        <f t="shared" si="1"/>
        <v>17</v>
      </c>
      <c r="B20" s="74" t="s">
        <v>683</v>
      </c>
      <c r="C20" s="74" t="s">
        <v>684</v>
      </c>
      <c r="D20" s="74" t="s">
        <v>168</v>
      </c>
      <c r="E20" s="74"/>
      <c r="F20" s="75"/>
      <c r="G20" s="74"/>
      <c r="H20" s="74"/>
      <c r="I20" s="74"/>
      <c r="J20" s="74"/>
      <c r="K20" s="259" t="s">
        <v>685</v>
      </c>
    </row>
  </sheetData>
  <mergeCells count="1">
    <mergeCell ref="I3:J3"/>
  </mergeCells>
  <phoneticPr fontId="5"/>
  <pageMargins left="0.31496062992125984" right="0.31496062992125984" top="0.74803149606299213" bottom="0.74803149606299213" header="0.31496062992125984" footer="0.31496062992125984"/>
  <pageSetup paperSize="9" scale="98" orientation="landscape" r:id="rId1"/>
  <headerFooter>
    <oddFooter>&amp;C&amp;"Times New Roman,標準"&amp;10&amp;P/&amp;N&amp;R&amp;"Times New Roman,標準"&amp;9Copyright(C) 2017-2019 VINX Corporation. All Rights Reserved.</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FA169-F6BE-40A8-AD38-F46A669021A6}">
  <sheetPr>
    <tabColor theme="1" tint="0.499984740745262"/>
  </sheetPr>
  <dimension ref="A1:K17"/>
  <sheetViews>
    <sheetView workbookViewId="0"/>
  </sheetViews>
  <sheetFormatPr defaultColWidth="9" defaultRowHeight="13.5"/>
  <cols>
    <col min="1" max="1" width="5.625" style="5" customWidth="1"/>
    <col min="2" max="2" width="28.375" style="5" customWidth="1"/>
    <col min="3" max="3" width="32.375" style="5" bestFit="1" customWidth="1"/>
    <col min="4" max="5" width="13.625" style="5" customWidth="1"/>
    <col min="6" max="8" width="9" style="5"/>
    <col min="9" max="9" width="25.5" style="5" customWidth="1"/>
    <col min="10" max="10" width="25.75" style="5" customWidth="1"/>
    <col min="11" max="11" width="39.25" style="5" bestFit="1" customWidth="1"/>
    <col min="12" max="16384" width="9" style="5"/>
  </cols>
  <sheetData>
    <row r="1" spans="1:11">
      <c r="A1" s="5" t="s">
        <v>686</v>
      </c>
    </row>
    <row r="2" spans="1:11" ht="14.25" thickBot="1"/>
    <row r="3" spans="1:11" ht="31.5" customHeight="1" thickBot="1">
      <c r="A3" s="65" t="s">
        <v>99</v>
      </c>
      <c r="B3" s="66" t="s">
        <v>100</v>
      </c>
      <c r="C3" s="66" t="s">
        <v>101</v>
      </c>
      <c r="D3" s="66" t="s">
        <v>102</v>
      </c>
      <c r="E3" s="66" t="s">
        <v>528</v>
      </c>
      <c r="F3" s="66" t="s">
        <v>104</v>
      </c>
      <c r="G3" s="67" t="s">
        <v>105</v>
      </c>
      <c r="H3" s="68" t="s">
        <v>106</v>
      </c>
      <c r="I3" s="317" t="s">
        <v>529</v>
      </c>
      <c r="J3" s="318"/>
      <c r="K3" s="69" t="s">
        <v>107</v>
      </c>
    </row>
    <row r="4" spans="1:11" s="224" customFormat="1" ht="14.25" thickTop="1">
      <c r="A4" s="220">
        <f t="shared" ref="A4:A6" si="0">ROW() - 3</f>
        <v>1</v>
      </c>
      <c r="B4" s="221" t="s">
        <v>108</v>
      </c>
      <c r="C4" s="221" t="s">
        <v>109</v>
      </c>
      <c r="D4" s="221" t="s">
        <v>110</v>
      </c>
      <c r="E4" s="221">
        <v>1</v>
      </c>
      <c r="F4" s="222" t="s">
        <v>111</v>
      </c>
      <c r="G4" s="221"/>
      <c r="H4" s="221"/>
      <c r="I4" s="3"/>
      <c r="J4" s="3"/>
      <c r="K4" s="223" t="s">
        <v>530</v>
      </c>
    </row>
    <row r="5" spans="1:11">
      <c r="A5" s="96">
        <f t="shared" si="0"/>
        <v>2</v>
      </c>
      <c r="B5" s="3" t="s">
        <v>113</v>
      </c>
      <c r="C5" s="3" t="s">
        <v>114</v>
      </c>
      <c r="D5" s="3" t="s">
        <v>110</v>
      </c>
      <c r="E5" s="3">
        <v>10</v>
      </c>
      <c r="F5" s="2" t="s">
        <v>111</v>
      </c>
      <c r="G5" s="3"/>
      <c r="H5" s="3">
        <v>1</v>
      </c>
      <c r="I5" s="3"/>
      <c r="J5" s="3"/>
      <c r="K5" s="263" t="s">
        <v>115</v>
      </c>
    </row>
    <row r="6" spans="1:11">
      <c r="A6" s="96">
        <f t="shared" si="0"/>
        <v>3</v>
      </c>
      <c r="B6" s="3" t="s">
        <v>116</v>
      </c>
      <c r="C6" s="3" t="s">
        <v>117</v>
      </c>
      <c r="D6" s="3" t="s">
        <v>110</v>
      </c>
      <c r="E6" s="3">
        <v>10</v>
      </c>
      <c r="F6" s="2" t="s">
        <v>111</v>
      </c>
      <c r="G6" s="3"/>
      <c r="H6" s="3">
        <v>2</v>
      </c>
      <c r="I6" s="3"/>
      <c r="J6" s="3"/>
      <c r="K6" s="263" t="s">
        <v>118</v>
      </c>
    </row>
    <row r="7" spans="1:11">
      <c r="A7" s="96">
        <f>ROW() - 3</f>
        <v>4</v>
      </c>
      <c r="B7" s="3" t="s">
        <v>614</v>
      </c>
      <c r="C7" s="3" t="s">
        <v>615</v>
      </c>
      <c r="D7" s="3" t="s">
        <v>168</v>
      </c>
      <c r="E7" s="3"/>
      <c r="F7" s="2" t="s">
        <v>111</v>
      </c>
      <c r="G7" s="3"/>
      <c r="H7" s="3">
        <v>1</v>
      </c>
      <c r="I7" s="3"/>
      <c r="J7" s="3"/>
      <c r="K7" s="263"/>
    </row>
    <row r="8" spans="1:11">
      <c r="A8" s="96">
        <f>ROW() - 3</f>
        <v>5</v>
      </c>
      <c r="B8" s="3" t="s">
        <v>687</v>
      </c>
      <c r="C8" s="3" t="s">
        <v>688</v>
      </c>
      <c r="D8" s="3" t="s">
        <v>110</v>
      </c>
      <c r="E8" s="3">
        <v>2</v>
      </c>
      <c r="F8" s="2" t="s">
        <v>111</v>
      </c>
      <c r="G8" s="3"/>
      <c r="H8" s="3"/>
      <c r="I8" s="3"/>
      <c r="J8" s="3"/>
      <c r="K8" s="263"/>
    </row>
    <row r="9" spans="1:11">
      <c r="A9" s="96">
        <f t="shared" ref="A9:A15" si="1">ROW() - 3</f>
        <v>6</v>
      </c>
      <c r="B9" s="3" t="s">
        <v>101</v>
      </c>
      <c r="C9" s="3" t="s">
        <v>540</v>
      </c>
      <c r="D9" s="3" t="s">
        <v>110</v>
      </c>
      <c r="E9" s="3">
        <v>100</v>
      </c>
      <c r="F9" s="2"/>
      <c r="G9" s="3"/>
      <c r="H9" s="3"/>
      <c r="I9" s="3"/>
      <c r="J9" s="3"/>
      <c r="K9" s="263"/>
    </row>
    <row r="10" spans="1:11">
      <c r="A10" s="96">
        <f t="shared" si="1"/>
        <v>7</v>
      </c>
      <c r="B10" s="3" t="s">
        <v>689</v>
      </c>
      <c r="C10" s="3" t="s">
        <v>690</v>
      </c>
      <c r="D10" s="3" t="s">
        <v>110</v>
      </c>
      <c r="E10" s="3">
        <v>10</v>
      </c>
      <c r="F10" s="2"/>
      <c r="G10" s="3"/>
      <c r="H10" s="3"/>
      <c r="I10" s="3"/>
      <c r="J10" s="3"/>
      <c r="K10" s="263"/>
    </row>
    <row r="11" spans="1:11">
      <c r="A11" s="96">
        <f t="shared" si="1"/>
        <v>8</v>
      </c>
      <c r="B11" s="3" t="s">
        <v>691</v>
      </c>
      <c r="C11" s="3" t="s">
        <v>692</v>
      </c>
      <c r="D11" s="3" t="s">
        <v>110</v>
      </c>
      <c r="E11" s="3">
        <v>10</v>
      </c>
      <c r="F11" s="2"/>
      <c r="G11" s="3"/>
      <c r="H11" s="3"/>
      <c r="I11" s="3"/>
      <c r="J11" s="3"/>
      <c r="K11" s="263"/>
    </row>
    <row r="12" spans="1:11">
      <c r="A12" s="96">
        <f t="shared" si="1"/>
        <v>9</v>
      </c>
      <c r="B12" s="3" t="s">
        <v>693</v>
      </c>
      <c r="C12" s="3" t="s">
        <v>694</v>
      </c>
      <c r="D12" s="3" t="s">
        <v>110</v>
      </c>
      <c r="E12" s="3">
        <v>10</v>
      </c>
      <c r="F12" s="2"/>
      <c r="G12" s="3"/>
      <c r="H12" s="3"/>
      <c r="I12" s="3"/>
      <c r="J12" s="3"/>
      <c r="K12" s="263"/>
    </row>
    <row r="13" spans="1:11">
      <c r="A13" s="96">
        <f t="shared" si="1"/>
        <v>10</v>
      </c>
      <c r="B13" s="3" t="s">
        <v>695</v>
      </c>
      <c r="C13" s="3" t="s">
        <v>696</v>
      </c>
      <c r="D13" s="3" t="s">
        <v>110</v>
      </c>
      <c r="E13" s="3">
        <v>10</v>
      </c>
      <c r="F13" s="2"/>
      <c r="G13" s="3"/>
      <c r="H13" s="3"/>
      <c r="I13" s="3"/>
      <c r="J13" s="3"/>
      <c r="K13" s="263"/>
    </row>
    <row r="14" spans="1:11">
      <c r="A14" s="96">
        <f t="shared" si="1"/>
        <v>11</v>
      </c>
      <c r="B14" s="3" t="s">
        <v>697</v>
      </c>
      <c r="C14" s="3" t="s">
        <v>698</v>
      </c>
      <c r="D14" s="3" t="s">
        <v>110</v>
      </c>
      <c r="E14" s="3">
        <v>10</v>
      </c>
      <c r="F14" s="2"/>
      <c r="G14" s="3"/>
      <c r="H14" s="3"/>
      <c r="I14" s="3"/>
      <c r="J14" s="3"/>
      <c r="K14" s="263"/>
    </row>
    <row r="15" spans="1:11">
      <c r="A15" s="96">
        <f t="shared" si="1"/>
        <v>12</v>
      </c>
      <c r="B15" s="3" t="s">
        <v>699</v>
      </c>
      <c r="C15" s="3" t="s">
        <v>700</v>
      </c>
      <c r="D15" s="3" t="s">
        <v>110</v>
      </c>
      <c r="E15" s="3">
        <v>15</v>
      </c>
      <c r="F15" s="2"/>
      <c r="G15" s="3"/>
      <c r="H15" s="3"/>
      <c r="I15" s="3"/>
      <c r="J15" s="3"/>
      <c r="K15" s="263"/>
    </row>
    <row r="16" spans="1:11">
      <c r="A16" s="96">
        <f>ROW() - 3</f>
        <v>13</v>
      </c>
      <c r="B16" s="3" t="s">
        <v>701</v>
      </c>
      <c r="C16" s="3" t="s">
        <v>702</v>
      </c>
      <c r="D16" s="3" t="s">
        <v>110</v>
      </c>
      <c r="E16" s="3">
        <v>12</v>
      </c>
      <c r="F16" s="2"/>
      <c r="G16" s="3"/>
      <c r="H16" s="3"/>
      <c r="I16" s="3"/>
      <c r="J16" s="3"/>
      <c r="K16" s="263"/>
    </row>
    <row r="17" spans="1:11" ht="14.25" thickBot="1">
      <c r="A17" s="95">
        <f>ROW() - 3</f>
        <v>14</v>
      </c>
      <c r="B17" s="74" t="s">
        <v>703</v>
      </c>
      <c r="C17" s="74" t="s">
        <v>704</v>
      </c>
      <c r="D17" s="74" t="s">
        <v>226</v>
      </c>
      <c r="E17" s="74">
        <v>7</v>
      </c>
      <c r="F17" s="75" t="s">
        <v>111</v>
      </c>
      <c r="G17" s="74"/>
      <c r="H17" s="74"/>
      <c r="I17" s="74"/>
      <c r="J17" s="74"/>
      <c r="K17" s="264"/>
    </row>
  </sheetData>
  <mergeCells count="1">
    <mergeCell ref="I3:J3"/>
  </mergeCells>
  <phoneticPr fontId="6"/>
  <pageMargins left="0.31496062992125984" right="0.31496062992125984" top="0.74803149606299213" bottom="0.74803149606299213" header="0.31496062992125984" footer="0.31496062992125984"/>
  <pageSetup paperSize="9" scale="98" orientation="landscape" r:id="rId1"/>
  <headerFooter>
    <oddFooter>&amp;C&amp;"Times New Roman,標準"&amp;10&amp;P/&amp;N&amp;R&amp;"Times New Roman,標準"&amp;9Copyright(C) 2017-2019 VINX Corporation. All Rights Reserved.</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33AEC-0F67-4412-B387-BBF9017B57BF}">
  <dimension ref="A1:BD112"/>
  <sheetViews>
    <sheetView zoomScaleNormal="100" workbookViewId="0">
      <selection sqref="A1:BD2"/>
    </sheetView>
  </sheetViews>
  <sheetFormatPr defaultColWidth="5" defaultRowHeight="13.5" customHeight="1"/>
  <cols>
    <col min="1" max="56" width="2.5" style="107" customWidth="1"/>
    <col min="57" max="16384" width="5" style="107"/>
  </cols>
  <sheetData>
    <row r="1" spans="1:56" s="105" customFormat="1" ht="13.5" customHeight="1">
      <c r="A1" s="319" t="s">
        <v>705</v>
      </c>
      <c r="B1" s="320"/>
      <c r="C1" s="320"/>
      <c r="D1" s="320"/>
      <c r="E1" s="320"/>
      <c r="F1" s="320"/>
      <c r="G1" s="320"/>
      <c r="H1" s="320"/>
      <c r="I1" s="320"/>
      <c r="J1" s="320"/>
      <c r="K1" s="320"/>
      <c r="L1" s="320"/>
      <c r="M1" s="320"/>
      <c r="N1" s="320"/>
      <c r="O1" s="320"/>
      <c r="P1" s="320"/>
      <c r="Q1" s="320"/>
      <c r="R1" s="320"/>
      <c r="S1" s="320"/>
      <c r="T1" s="320"/>
      <c r="U1" s="320"/>
      <c r="V1" s="320"/>
      <c r="W1" s="320"/>
      <c r="X1" s="320"/>
      <c r="Y1" s="320"/>
      <c r="Z1" s="320"/>
      <c r="AA1" s="320"/>
      <c r="AB1" s="320"/>
      <c r="AC1" s="320"/>
      <c r="AD1" s="320"/>
      <c r="AE1" s="320"/>
      <c r="AF1" s="320"/>
      <c r="AG1" s="320"/>
      <c r="AH1" s="320"/>
      <c r="AI1" s="320"/>
      <c r="AJ1" s="320"/>
      <c r="AK1" s="320"/>
      <c r="AL1" s="320"/>
      <c r="AM1" s="320"/>
      <c r="AN1" s="320"/>
      <c r="AO1" s="320"/>
      <c r="AP1" s="320"/>
      <c r="AQ1" s="320"/>
      <c r="AR1" s="320"/>
      <c r="AS1" s="320"/>
      <c r="AT1" s="320"/>
      <c r="AU1" s="320"/>
      <c r="AV1" s="320"/>
      <c r="AW1" s="320"/>
      <c r="AX1" s="320"/>
      <c r="AY1" s="320"/>
      <c r="AZ1" s="320"/>
      <c r="BA1" s="320"/>
      <c r="BB1" s="320"/>
      <c r="BC1" s="320"/>
      <c r="BD1" s="321"/>
    </row>
    <row r="2" spans="1:56" s="105" customFormat="1" ht="13.5" customHeight="1">
      <c r="A2" s="322"/>
      <c r="B2" s="323"/>
      <c r="C2" s="323"/>
      <c r="D2" s="323"/>
      <c r="E2" s="323"/>
      <c r="F2" s="323"/>
      <c r="G2" s="323"/>
      <c r="H2" s="323"/>
      <c r="I2" s="323"/>
      <c r="J2" s="323"/>
      <c r="K2" s="323"/>
      <c r="L2" s="323"/>
      <c r="M2" s="323"/>
      <c r="N2" s="323"/>
      <c r="O2" s="323"/>
      <c r="P2" s="323"/>
      <c r="Q2" s="323"/>
      <c r="R2" s="323"/>
      <c r="S2" s="323"/>
      <c r="T2" s="323"/>
      <c r="U2" s="323"/>
      <c r="V2" s="323"/>
      <c r="W2" s="323"/>
      <c r="X2" s="323"/>
      <c r="Y2" s="323"/>
      <c r="Z2" s="323"/>
      <c r="AA2" s="323"/>
      <c r="AB2" s="323"/>
      <c r="AC2" s="323"/>
      <c r="AD2" s="323"/>
      <c r="AE2" s="323"/>
      <c r="AF2" s="323"/>
      <c r="AG2" s="323"/>
      <c r="AH2" s="323"/>
      <c r="AI2" s="323"/>
      <c r="AJ2" s="323"/>
      <c r="AK2" s="323"/>
      <c r="AL2" s="323"/>
      <c r="AM2" s="323"/>
      <c r="AN2" s="323"/>
      <c r="AO2" s="323"/>
      <c r="AP2" s="323"/>
      <c r="AQ2" s="323"/>
      <c r="AR2" s="323"/>
      <c r="AS2" s="323"/>
      <c r="AT2" s="323"/>
      <c r="AU2" s="323"/>
      <c r="AV2" s="323"/>
      <c r="AW2" s="323"/>
      <c r="AX2" s="323"/>
      <c r="AY2" s="323"/>
      <c r="AZ2" s="323"/>
      <c r="BA2" s="323"/>
      <c r="BB2" s="323"/>
      <c r="BC2" s="323"/>
      <c r="BD2" s="324"/>
    </row>
    <row r="3" spans="1:56" s="105" customFormat="1" ht="6" customHeight="1">
      <c r="A3" s="106"/>
      <c r="B3" s="106"/>
      <c r="C3" s="106"/>
      <c r="D3" s="106"/>
      <c r="E3" s="106"/>
      <c r="F3" s="106"/>
      <c r="G3" s="106"/>
      <c r="H3" s="106"/>
      <c r="I3" s="106"/>
      <c r="J3" s="106"/>
      <c r="K3" s="106"/>
      <c r="L3" s="106"/>
      <c r="M3" s="106"/>
      <c r="N3" s="106"/>
      <c r="O3" s="106"/>
      <c r="P3" s="106"/>
      <c r="Q3" s="106"/>
      <c r="R3" s="106"/>
      <c r="S3" s="106"/>
      <c r="T3" s="106"/>
      <c r="U3" s="106"/>
      <c r="V3" s="106"/>
      <c r="W3" s="106"/>
      <c r="X3" s="106"/>
      <c r="Y3" s="106"/>
      <c r="Z3" s="106"/>
      <c r="AA3" s="106"/>
      <c r="AB3" s="106"/>
      <c r="AC3" s="106"/>
      <c r="AD3" s="106"/>
      <c r="AE3" s="106"/>
      <c r="AF3" s="106"/>
      <c r="AG3" s="106"/>
      <c r="AH3" s="106"/>
      <c r="AI3" s="106"/>
      <c r="AJ3" s="106"/>
      <c r="AK3" s="106"/>
      <c r="AL3" s="106"/>
      <c r="AM3" s="106"/>
      <c r="AN3" s="106"/>
      <c r="AO3" s="106"/>
      <c r="AP3" s="106"/>
      <c r="AQ3" s="106"/>
      <c r="AR3" s="106"/>
      <c r="AS3" s="106"/>
      <c r="AT3" s="106"/>
      <c r="AU3" s="106"/>
      <c r="AV3" s="106"/>
      <c r="AW3" s="106"/>
      <c r="AX3" s="106"/>
      <c r="AY3" s="106"/>
      <c r="AZ3" s="106"/>
      <c r="BA3" s="106"/>
      <c r="BB3" s="106"/>
      <c r="BC3" s="106"/>
      <c r="BD3" s="106"/>
    </row>
    <row r="4" spans="1:56" ht="13.5" customHeight="1">
      <c r="A4" s="325"/>
      <c r="B4" s="326"/>
      <c r="C4" s="326"/>
      <c r="D4" s="326"/>
      <c r="E4" s="326"/>
      <c r="F4" s="326"/>
      <c r="G4" s="326"/>
      <c r="H4" s="326"/>
      <c r="I4" s="326"/>
      <c r="J4" s="326"/>
      <c r="K4" s="326"/>
      <c r="L4" s="326"/>
      <c r="M4" s="326"/>
      <c r="N4" s="326"/>
      <c r="O4" s="326"/>
      <c r="P4" s="326"/>
      <c r="Q4" s="326"/>
      <c r="R4" s="326"/>
      <c r="S4" s="326"/>
      <c r="T4" s="326"/>
      <c r="U4" s="326"/>
      <c r="V4" s="326"/>
      <c r="W4" s="326"/>
      <c r="X4" s="326"/>
      <c r="Y4" s="326"/>
      <c r="Z4" s="326"/>
      <c r="AA4" s="326"/>
      <c r="AB4" s="326"/>
      <c r="AC4" s="326"/>
      <c r="AD4" s="326"/>
      <c r="AE4" s="326"/>
      <c r="AF4" s="326"/>
      <c r="AG4" s="326"/>
      <c r="AH4" s="326"/>
      <c r="AI4" s="326"/>
      <c r="AJ4" s="326"/>
      <c r="AK4" s="326"/>
      <c r="AL4" s="326"/>
      <c r="AM4" s="326"/>
      <c r="AN4" s="326"/>
      <c r="AO4" s="326"/>
      <c r="AP4" s="326"/>
      <c r="AQ4" s="326"/>
      <c r="AR4" s="326"/>
      <c r="AS4" s="326"/>
      <c r="AT4" s="326"/>
      <c r="AU4" s="326"/>
      <c r="AV4" s="326"/>
      <c r="AW4" s="326"/>
      <c r="AX4" s="326"/>
      <c r="AY4" s="326"/>
      <c r="AZ4" s="326"/>
      <c r="BA4" s="326"/>
      <c r="BB4" s="326"/>
      <c r="BC4" s="326"/>
      <c r="BD4" s="327"/>
    </row>
    <row r="5" spans="1:56" ht="13.5" customHeight="1">
      <c r="A5" s="108"/>
      <c r="B5" s="109"/>
      <c r="C5" s="109"/>
      <c r="D5" s="109"/>
      <c r="E5" s="109"/>
      <c r="F5" s="109"/>
      <c r="G5" s="109"/>
      <c r="H5" s="109"/>
      <c r="I5" s="109"/>
      <c r="J5" s="109"/>
      <c r="K5" s="109"/>
      <c r="L5" s="109"/>
      <c r="M5" s="109"/>
      <c r="N5" s="109"/>
      <c r="O5" s="109"/>
      <c r="P5" s="109"/>
      <c r="Q5" s="109"/>
      <c r="R5" s="109"/>
      <c r="S5" s="109"/>
      <c r="T5" s="109"/>
      <c r="U5" s="109"/>
      <c r="V5" s="109"/>
      <c r="W5" s="109"/>
      <c r="X5" s="109"/>
      <c r="Y5" s="109"/>
      <c r="Z5" s="109"/>
      <c r="AA5" s="109"/>
      <c r="AB5" s="109"/>
      <c r="AC5" s="109"/>
      <c r="AD5" s="109"/>
      <c r="AE5" s="109"/>
      <c r="AF5" s="109"/>
      <c r="AG5" s="109"/>
      <c r="AH5" s="109"/>
      <c r="AI5" s="109"/>
      <c r="AJ5" s="109"/>
      <c r="AK5" s="109"/>
      <c r="AL5" s="109"/>
      <c r="AM5" s="109"/>
      <c r="AN5" s="109"/>
      <c r="AO5" s="109"/>
      <c r="AP5" s="109"/>
      <c r="AQ5" s="109"/>
      <c r="AR5" s="109"/>
      <c r="AS5" s="109"/>
      <c r="AT5" s="109"/>
      <c r="AU5" s="109"/>
      <c r="AV5" s="109"/>
      <c r="AW5" s="109"/>
      <c r="AX5" s="109"/>
      <c r="AY5" s="109"/>
      <c r="AZ5" s="109"/>
      <c r="BA5" s="109"/>
      <c r="BB5" s="109"/>
      <c r="BC5" s="109"/>
      <c r="BD5" s="110"/>
    </row>
    <row r="6" spans="1:56" ht="13.5" customHeight="1">
      <c r="A6" s="111"/>
      <c r="B6" s="112" t="s">
        <v>706</v>
      </c>
      <c r="BD6" s="113"/>
    </row>
    <row r="7" spans="1:56" ht="13.5" customHeight="1">
      <c r="A7" s="111"/>
      <c r="B7" s="107" t="s">
        <v>707</v>
      </c>
      <c r="C7" s="107" t="s">
        <v>708</v>
      </c>
      <c r="J7" s="114"/>
      <c r="K7" s="114"/>
      <c r="L7" s="114"/>
      <c r="M7" s="114"/>
      <c r="N7" s="114"/>
      <c r="O7" s="114"/>
      <c r="P7" s="114"/>
      <c r="Q7" s="114"/>
      <c r="T7" s="114"/>
      <c r="U7" s="114"/>
      <c r="V7" s="114"/>
      <c r="W7" s="114"/>
      <c r="X7" s="114"/>
      <c r="Y7" s="114"/>
      <c r="Z7" s="114"/>
      <c r="AA7" s="114"/>
      <c r="AB7" s="114"/>
      <c r="AC7" s="114"/>
      <c r="AD7" s="114"/>
      <c r="AE7" s="114"/>
      <c r="AF7" s="114"/>
      <c r="AG7" s="114"/>
      <c r="AH7" s="114"/>
      <c r="AI7" s="114"/>
      <c r="AJ7" s="114"/>
      <c r="AK7" s="114"/>
      <c r="AL7" s="114"/>
      <c r="AM7" s="114"/>
      <c r="AN7" s="114"/>
      <c r="AO7" s="114"/>
      <c r="AP7" s="114"/>
      <c r="AQ7" s="114"/>
      <c r="AR7" s="114"/>
      <c r="AS7" s="114"/>
      <c r="AT7" s="114"/>
      <c r="AU7" s="114"/>
      <c r="AV7" s="114"/>
      <c r="AW7" s="114"/>
      <c r="AX7" s="114"/>
      <c r="AY7" s="114"/>
      <c r="AZ7" s="114"/>
      <c r="BA7" s="114"/>
      <c r="BD7" s="113"/>
    </row>
    <row r="8" spans="1:56" ht="13.5" customHeight="1">
      <c r="A8" s="111"/>
      <c r="C8" s="107" t="s">
        <v>709</v>
      </c>
      <c r="L8" s="114"/>
      <c r="M8" s="114"/>
      <c r="N8" s="107" t="s">
        <v>710</v>
      </c>
      <c r="O8" s="114"/>
      <c r="P8" s="114"/>
      <c r="Q8" s="114"/>
      <c r="R8" s="114"/>
      <c r="S8" s="114"/>
      <c r="T8" s="114"/>
      <c r="U8" s="114"/>
      <c r="V8" s="114"/>
      <c r="W8" s="114"/>
      <c r="X8" s="114"/>
      <c r="Y8" s="114"/>
      <c r="Z8" s="114"/>
      <c r="AA8" s="114"/>
      <c r="AB8" s="114"/>
      <c r="AC8" s="114"/>
      <c r="AD8" s="114"/>
      <c r="AE8" s="114"/>
      <c r="AF8" s="114"/>
      <c r="AG8" s="114"/>
      <c r="AH8" s="114"/>
      <c r="AI8" s="114"/>
      <c r="AJ8" s="114"/>
      <c r="AK8" s="114"/>
      <c r="AL8" s="114"/>
      <c r="AM8" s="114"/>
      <c r="AN8" s="114"/>
      <c r="AO8" s="114"/>
      <c r="AP8" s="114"/>
      <c r="AQ8" s="114"/>
      <c r="AR8" s="114"/>
      <c r="AS8" s="114"/>
      <c r="AT8" s="114"/>
      <c r="AU8" s="114"/>
      <c r="AV8" s="114"/>
      <c r="AW8" s="114"/>
      <c r="AX8" s="114"/>
      <c r="AY8" s="114"/>
      <c r="AZ8" s="114"/>
      <c r="BA8" s="114"/>
      <c r="BD8" s="113"/>
    </row>
    <row r="9" spans="1:56" ht="13.5" customHeight="1">
      <c r="A9" s="111"/>
      <c r="C9" s="107" t="s">
        <v>711</v>
      </c>
      <c r="L9" s="114"/>
      <c r="M9" s="114"/>
      <c r="N9" s="107" t="s">
        <v>55</v>
      </c>
      <c r="O9" s="114"/>
      <c r="P9" s="114"/>
      <c r="Q9" s="114"/>
      <c r="R9" s="114"/>
      <c r="S9" s="114"/>
      <c r="T9" s="114"/>
      <c r="U9" s="114"/>
      <c r="V9" s="114"/>
      <c r="W9" s="114"/>
      <c r="X9" s="114"/>
      <c r="Y9" s="114"/>
      <c r="Z9" s="114"/>
      <c r="AA9" s="114"/>
      <c r="AB9" s="114"/>
      <c r="AC9" s="114"/>
      <c r="AD9" s="114"/>
      <c r="AE9" s="114"/>
      <c r="AF9" s="114"/>
      <c r="AG9" s="114"/>
      <c r="AH9" s="114"/>
      <c r="AI9" s="114"/>
      <c r="AJ9" s="114"/>
      <c r="AK9" s="114"/>
      <c r="AL9" s="114"/>
      <c r="AM9" s="114"/>
      <c r="AN9" s="114"/>
      <c r="AO9" s="114"/>
      <c r="AP9" s="114"/>
      <c r="AQ9" s="114"/>
      <c r="AR9" s="114"/>
      <c r="AS9" s="114"/>
      <c r="AT9" s="114"/>
      <c r="AU9" s="114"/>
      <c r="AV9" s="114"/>
      <c r="AW9" s="114"/>
      <c r="AX9" s="114"/>
      <c r="AY9" s="114"/>
      <c r="AZ9" s="114"/>
      <c r="BA9" s="114"/>
      <c r="BD9" s="113"/>
    </row>
    <row r="10" spans="1:56" ht="13.5" customHeight="1">
      <c r="A10" s="111"/>
      <c r="C10" s="107" t="s">
        <v>712</v>
      </c>
      <c r="L10" s="114"/>
      <c r="M10" s="114"/>
      <c r="N10" s="114"/>
      <c r="O10" s="114"/>
      <c r="P10" s="114"/>
      <c r="Q10" s="114"/>
      <c r="R10" s="114"/>
      <c r="S10" s="114"/>
      <c r="T10" s="114"/>
      <c r="U10" s="114"/>
      <c r="V10" s="114"/>
      <c r="W10" s="114"/>
      <c r="X10" s="114"/>
      <c r="Y10" s="114"/>
      <c r="Z10" s="114"/>
      <c r="AA10" s="114"/>
      <c r="AB10" s="114"/>
      <c r="AC10" s="114"/>
      <c r="AD10" s="114"/>
      <c r="AE10" s="114"/>
      <c r="AF10" s="114"/>
      <c r="AG10" s="114"/>
      <c r="AH10" s="114"/>
      <c r="AI10" s="114"/>
      <c r="AJ10" s="114"/>
      <c r="AK10" s="114"/>
      <c r="AL10" s="114"/>
      <c r="AM10" s="114"/>
      <c r="AN10" s="114"/>
      <c r="AO10" s="114"/>
      <c r="AP10" s="114"/>
      <c r="AQ10" s="114"/>
      <c r="AR10" s="114"/>
      <c r="AS10" s="114"/>
      <c r="AT10" s="114"/>
      <c r="AU10" s="114"/>
      <c r="AV10" s="114"/>
      <c r="AW10" s="114"/>
      <c r="AX10" s="114"/>
      <c r="AY10" s="114"/>
      <c r="AZ10" s="114"/>
      <c r="BA10" s="114"/>
      <c r="BD10" s="113"/>
    </row>
    <row r="11" spans="1:56" ht="13.5" customHeight="1">
      <c r="A11" s="111"/>
      <c r="C11" s="107" t="s">
        <v>557</v>
      </c>
      <c r="L11" s="114"/>
      <c r="M11" s="114"/>
      <c r="N11" s="114"/>
      <c r="O11" s="114"/>
      <c r="P11" s="114"/>
      <c r="Q11" s="114"/>
      <c r="R11" s="114"/>
      <c r="S11" s="114"/>
      <c r="T11" s="114"/>
      <c r="U11" s="114"/>
      <c r="V11" s="114"/>
      <c r="W11" s="114"/>
      <c r="X11" s="114"/>
      <c r="Y11" s="114"/>
      <c r="Z11" s="114"/>
      <c r="AA11" s="114"/>
      <c r="AB11" s="114"/>
      <c r="AC11" s="114"/>
      <c r="AD11" s="114"/>
      <c r="AE11" s="114"/>
      <c r="AF11" s="114"/>
      <c r="AG11" s="114"/>
      <c r="AH11" s="114"/>
      <c r="AI11" s="114"/>
      <c r="AJ11" s="114"/>
      <c r="AK11" s="114"/>
      <c r="AL11" s="114"/>
      <c r="AM11" s="114"/>
      <c r="AN11" s="114"/>
      <c r="AO11" s="114"/>
      <c r="AP11" s="114"/>
      <c r="AQ11" s="114"/>
      <c r="AR11" s="114"/>
      <c r="AS11" s="114"/>
      <c r="AT11" s="114"/>
      <c r="AU11" s="114"/>
      <c r="AV11" s="114"/>
      <c r="AW11" s="114"/>
      <c r="AX11" s="114"/>
      <c r="AY11" s="114"/>
      <c r="AZ11" s="114"/>
      <c r="BA11" s="114"/>
      <c r="BD11" s="113"/>
    </row>
    <row r="12" spans="1:56" s="117" customFormat="1" ht="13.5" customHeight="1">
      <c r="A12" s="115"/>
      <c r="B12" s="107"/>
      <c r="C12" s="107"/>
      <c r="D12" s="107"/>
      <c r="E12" s="107"/>
      <c r="F12" s="107"/>
      <c r="G12" s="107"/>
      <c r="H12" s="107"/>
      <c r="I12" s="107"/>
      <c r="J12" s="107"/>
      <c r="K12" s="107"/>
      <c r="L12" s="114"/>
      <c r="M12" s="114"/>
      <c r="N12" s="114"/>
      <c r="O12" s="114"/>
      <c r="P12" s="114"/>
      <c r="Q12" s="114"/>
      <c r="R12" s="114"/>
      <c r="S12" s="114"/>
      <c r="T12" s="114"/>
      <c r="U12" s="114"/>
      <c r="V12" s="114"/>
      <c r="W12" s="114"/>
      <c r="X12" s="114"/>
      <c r="Y12" s="114"/>
      <c r="Z12" s="114"/>
      <c r="AA12" s="114"/>
      <c r="AB12" s="114"/>
      <c r="AC12" s="114"/>
      <c r="AD12" s="114"/>
      <c r="AE12" s="114"/>
      <c r="AF12" s="114"/>
      <c r="AG12" s="114"/>
      <c r="AH12" s="114"/>
      <c r="AI12" s="114"/>
      <c r="AJ12" s="114"/>
      <c r="AK12" s="114"/>
      <c r="AL12" s="114"/>
      <c r="AM12" s="114"/>
      <c r="AN12" s="114"/>
      <c r="AO12" s="114"/>
      <c r="AP12" s="114"/>
      <c r="AQ12" s="114"/>
      <c r="AR12" s="114"/>
      <c r="AS12" s="114"/>
      <c r="AT12" s="114"/>
      <c r="AU12" s="114"/>
      <c r="AV12" s="114"/>
      <c r="AW12" s="114"/>
      <c r="AX12" s="114"/>
      <c r="AY12" s="114"/>
      <c r="AZ12" s="114"/>
      <c r="BA12" s="114"/>
      <c r="BB12" s="107"/>
      <c r="BC12" s="107"/>
      <c r="BD12" s="116"/>
    </row>
    <row r="13" spans="1:56" s="117" customFormat="1" ht="13.5" customHeight="1">
      <c r="A13" s="115"/>
      <c r="B13" s="107"/>
      <c r="D13" s="107"/>
      <c r="E13" s="107"/>
      <c r="F13" s="118"/>
      <c r="G13" s="114" t="s">
        <v>713</v>
      </c>
      <c r="H13" s="107"/>
      <c r="I13" s="107"/>
      <c r="J13" s="107"/>
      <c r="K13" s="107"/>
      <c r="L13" s="114" t="s">
        <v>714</v>
      </c>
      <c r="M13" s="107"/>
      <c r="N13" s="107"/>
      <c r="O13" s="107"/>
      <c r="P13" s="107"/>
      <c r="Q13" s="114"/>
      <c r="R13" s="114"/>
      <c r="S13" s="114"/>
      <c r="T13" s="114"/>
      <c r="U13" s="114"/>
      <c r="V13" s="114"/>
      <c r="W13" s="114"/>
      <c r="X13" s="114"/>
      <c r="Y13" s="114"/>
      <c r="Z13" s="114"/>
      <c r="AA13" s="114"/>
      <c r="AB13" s="114"/>
      <c r="AC13" s="114"/>
      <c r="AD13" s="114"/>
      <c r="AE13" s="114"/>
      <c r="AF13" s="114"/>
      <c r="AG13" s="114"/>
      <c r="AH13" s="114"/>
      <c r="AI13" s="114"/>
      <c r="AJ13" s="114"/>
      <c r="AK13" s="114"/>
      <c r="AL13" s="114"/>
      <c r="AM13" s="114"/>
      <c r="AN13" s="114"/>
      <c r="AO13" s="114"/>
      <c r="AP13" s="114"/>
      <c r="AQ13" s="114"/>
      <c r="AR13" s="114"/>
      <c r="AS13" s="114"/>
      <c r="AT13" s="114"/>
      <c r="AU13" s="114"/>
      <c r="AV13" s="114"/>
      <c r="AW13" s="114"/>
      <c r="AX13" s="114"/>
      <c r="AY13" s="114"/>
      <c r="AZ13" s="114"/>
      <c r="BA13" s="114"/>
      <c r="BB13" s="107"/>
      <c r="BC13" s="107"/>
      <c r="BD13" s="116"/>
    </row>
    <row r="14" spans="1:56" s="117" customFormat="1" ht="13.5" customHeight="1">
      <c r="A14" s="115"/>
      <c r="B14" s="107"/>
      <c r="D14" s="107"/>
      <c r="E14" s="107"/>
      <c r="F14" s="107"/>
      <c r="G14" s="107"/>
      <c r="H14" s="107"/>
      <c r="I14" s="107"/>
      <c r="J14" s="107"/>
      <c r="K14" s="107"/>
      <c r="L14" s="114"/>
      <c r="M14" s="114"/>
      <c r="N14" s="114"/>
      <c r="O14" s="114"/>
      <c r="P14" s="114"/>
      <c r="Q14" s="114"/>
      <c r="R14" s="114"/>
      <c r="S14" s="114"/>
      <c r="T14" s="114"/>
      <c r="U14" s="114"/>
      <c r="V14" s="114"/>
      <c r="W14" s="114"/>
      <c r="X14" s="114"/>
      <c r="Y14" s="114"/>
      <c r="Z14" s="114"/>
      <c r="AA14" s="114"/>
      <c r="AB14" s="114"/>
      <c r="AC14" s="114"/>
      <c r="AD14" s="114"/>
      <c r="AE14" s="114"/>
      <c r="AF14" s="114"/>
      <c r="AG14" s="114"/>
      <c r="AH14" s="114"/>
      <c r="AI14" s="114"/>
      <c r="AJ14" s="114"/>
      <c r="AK14" s="114"/>
      <c r="AL14" s="114"/>
      <c r="AM14" s="114"/>
      <c r="AN14" s="114"/>
      <c r="AO14" s="114"/>
      <c r="AP14" s="114"/>
      <c r="AQ14" s="114"/>
      <c r="AR14" s="114"/>
      <c r="AS14" s="114"/>
      <c r="AT14" s="114"/>
      <c r="AU14" s="114"/>
      <c r="AV14" s="114"/>
      <c r="AW14" s="114"/>
      <c r="AX14" s="114"/>
      <c r="AY14" s="114"/>
      <c r="AZ14" s="114"/>
      <c r="BA14" s="114"/>
      <c r="BB14" s="107"/>
      <c r="BC14" s="107"/>
      <c r="BD14" s="116"/>
    </row>
    <row r="15" spans="1:56" ht="13.5" customHeight="1">
      <c r="A15" s="111"/>
      <c r="D15" s="107" t="s">
        <v>550</v>
      </c>
      <c r="E15" s="114"/>
      <c r="F15" s="114"/>
      <c r="G15" s="114"/>
      <c r="H15" s="114"/>
      <c r="I15" s="114"/>
      <c r="J15" s="114"/>
      <c r="K15" s="114"/>
      <c r="L15" s="114"/>
      <c r="M15" s="114"/>
      <c r="N15" s="114"/>
      <c r="O15" s="114"/>
      <c r="P15" s="114"/>
      <c r="Q15" s="114"/>
      <c r="R15" s="114"/>
      <c r="S15" s="114"/>
      <c r="T15" s="107" t="s">
        <v>715</v>
      </c>
      <c r="U15" s="114"/>
      <c r="V15" s="114"/>
      <c r="W15" s="114"/>
      <c r="X15" s="114"/>
      <c r="Y15" s="114"/>
      <c r="Z15" s="114"/>
      <c r="AA15" s="114"/>
      <c r="AB15" s="114"/>
      <c r="AC15" s="114"/>
      <c r="AD15" s="114"/>
      <c r="AE15" s="114"/>
      <c r="AF15" s="114"/>
      <c r="AG15" s="114"/>
      <c r="AJ15" s="107" t="s">
        <v>716</v>
      </c>
      <c r="AK15" s="114"/>
      <c r="AL15" s="114"/>
      <c r="AM15" s="114"/>
      <c r="AN15" s="114"/>
      <c r="AO15" s="114"/>
      <c r="AP15" s="114"/>
      <c r="AQ15" s="114"/>
      <c r="AR15" s="114"/>
      <c r="AU15" s="107" t="s">
        <v>557</v>
      </c>
      <c r="AV15" s="114"/>
      <c r="AW15" s="114"/>
      <c r="AX15" s="114"/>
      <c r="AY15" s="114"/>
      <c r="AZ15" s="114"/>
      <c r="BA15" s="114"/>
      <c r="BB15" s="114"/>
      <c r="BC15" s="114"/>
      <c r="BD15" s="113"/>
    </row>
    <row r="16" spans="1:56" s="117" customFormat="1" ht="13.5" customHeight="1">
      <c r="A16" s="115"/>
      <c r="B16" s="107"/>
      <c r="C16" s="107"/>
      <c r="D16" s="119" t="s">
        <v>717</v>
      </c>
      <c r="E16" s="120"/>
      <c r="F16" s="120"/>
      <c r="G16" s="120"/>
      <c r="H16" s="120"/>
      <c r="I16" s="121"/>
      <c r="J16" s="122"/>
      <c r="K16" s="123" t="s">
        <v>718</v>
      </c>
      <c r="L16" s="124"/>
      <c r="M16" s="124"/>
      <c r="N16" s="124"/>
      <c r="O16" s="124"/>
      <c r="P16" s="124"/>
      <c r="Q16" s="125"/>
      <c r="R16" s="114"/>
      <c r="S16" s="114"/>
      <c r="T16" s="119" t="s">
        <v>717</v>
      </c>
      <c r="U16" s="120"/>
      <c r="V16" s="120"/>
      <c r="W16" s="120"/>
      <c r="X16" s="120"/>
      <c r="Y16" s="120"/>
      <c r="Z16" s="122"/>
      <c r="AA16" s="123" t="s">
        <v>718</v>
      </c>
      <c r="AB16" s="124"/>
      <c r="AC16" s="124"/>
      <c r="AD16" s="124"/>
      <c r="AE16" s="124"/>
      <c r="AF16" s="124"/>
      <c r="AG16" s="125"/>
      <c r="AJ16" s="119" t="s">
        <v>719</v>
      </c>
      <c r="AK16" s="120"/>
      <c r="AL16" s="120"/>
      <c r="AM16" s="120"/>
      <c r="AN16" s="122"/>
      <c r="AO16" s="123" t="s">
        <v>720</v>
      </c>
      <c r="AP16" s="124"/>
      <c r="AQ16" s="124"/>
      <c r="AR16" s="125"/>
      <c r="AU16" s="119" t="s">
        <v>719</v>
      </c>
      <c r="AV16" s="120"/>
      <c r="AW16" s="120"/>
      <c r="AX16" s="120"/>
      <c r="AY16" s="122"/>
      <c r="AZ16" s="123" t="s">
        <v>720</v>
      </c>
      <c r="BA16" s="124"/>
      <c r="BB16" s="124"/>
      <c r="BC16" s="125"/>
      <c r="BD16" s="116"/>
    </row>
    <row r="17" spans="1:56" ht="13.5" customHeight="1">
      <c r="A17" s="111"/>
      <c r="D17" s="119" t="s">
        <v>721</v>
      </c>
      <c r="E17" s="120"/>
      <c r="F17" s="120"/>
      <c r="G17" s="120"/>
      <c r="H17" s="120"/>
      <c r="I17" s="120"/>
      <c r="J17" s="122"/>
      <c r="K17" s="123" t="s">
        <v>722</v>
      </c>
      <c r="L17" s="124"/>
      <c r="M17" s="124"/>
      <c r="N17" s="124"/>
      <c r="O17" s="124"/>
      <c r="P17" s="124"/>
      <c r="Q17" s="125"/>
      <c r="R17" s="114"/>
      <c r="S17" s="114"/>
      <c r="T17" s="119" t="s">
        <v>721</v>
      </c>
      <c r="U17" s="120"/>
      <c r="V17" s="120"/>
      <c r="W17" s="120"/>
      <c r="X17" s="120"/>
      <c r="Y17" s="120"/>
      <c r="Z17" s="122"/>
      <c r="AA17" s="123" t="s">
        <v>722</v>
      </c>
      <c r="AB17" s="124"/>
      <c r="AC17" s="124"/>
      <c r="AD17" s="124"/>
      <c r="AE17" s="124"/>
      <c r="AF17" s="124"/>
      <c r="AG17" s="125"/>
      <c r="AJ17" s="119" t="s">
        <v>723</v>
      </c>
      <c r="AK17" s="120"/>
      <c r="AL17" s="120"/>
      <c r="AM17" s="120"/>
      <c r="AN17" s="122"/>
      <c r="AO17" s="123" t="s">
        <v>722</v>
      </c>
      <c r="AP17" s="124"/>
      <c r="AQ17" s="124"/>
      <c r="AR17" s="125"/>
      <c r="AU17" s="119" t="s">
        <v>723</v>
      </c>
      <c r="AV17" s="120"/>
      <c r="AW17" s="120"/>
      <c r="AX17" s="120"/>
      <c r="AY17" s="122"/>
      <c r="AZ17" s="123" t="s">
        <v>722</v>
      </c>
      <c r="BA17" s="124"/>
      <c r="BB17" s="124"/>
      <c r="BC17" s="125"/>
      <c r="BD17" s="113"/>
    </row>
    <row r="18" spans="1:56" s="117" customFormat="1" ht="13.5" customHeight="1">
      <c r="A18" s="115"/>
      <c r="B18" s="107"/>
      <c r="C18" s="107"/>
      <c r="D18" s="119" t="s">
        <v>551</v>
      </c>
      <c r="E18" s="120"/>
      <c r="F18" s="120"/>
      <c r="G18" s="120"/>
      <c r="H18" s="120"/>
      <c r="I18" s="120"/>
      <c r="J18" s="122"/>
      <c r="K18" s="126" t="s">
        <v>552</v>
      </c>
      <c r="L18" s="127"/>
      <c r="M18" s="127"/>
      <c r="N18" s="127"/>
      <c r="O18" s="127"/>
      <c r="P18" s="127"/>
      <c r="Q18" s="128"/>
      <c r="R18" s="114"/>
      <c r="S18" s="114"/>
      <c r="T18" s="119" t="s">
        <v>724</v>
      </c>
      <c r="U18" s="120"/>
      <c r="V18" s="120"/>
      <c r="W18" s="120"/>
      <c r="X18" s="120"/>
      <c r="Y18" s="120"/>
      <c r="Z18" s="122"/>
      <c r="AA18" s="123" t="s">
        <v>725</v>
      </c>
      <c r="AB18" s="124"/>
      <c r="AC18" s="124"/>
      <c r="AD18" s="124"/>
      <c r="AE18" s="124"/>
      <c r="AF18" s="124"/>
      <c r="AG18" s="125"/>
      <c r="AJ18" s="119" t="s">
        <v>531</v>
      </c>
      <c r="AK18" s="120"/>
      <c r="AL18" s="120"/>
      <c r="AM18" s="120"/>
      <c r="AN18" s="122"/>
      <c r="AO18" s="123" t="s">
        <v>532</v>
      </c>
      <c r="AP18" s="124"/>
      <c r="AQ18" s="124"/>
      <c r="AR18" s="125"/>
      <c r="AU18" s="119" t="s">
        <v>726</v>
      </c>
      <c r="AV18" s="120"/>
      <c r="AW18" s="120"/>
      <c r="AX18" s="120"/>
      <c r="AY18" s="122"/>
      <c r="AZ18" s="123" t="s">
        <v>727</v>
      </c>
      <c r="BA18" s="124"/>
      <c r="BB18" s="124"/>
      <c r="BC18" s="125"/>
      <c r="BD18" s="116"/>
    </row>
    <row r="19" spans="1:56" ht="13.5" customHeight="1">
      <c r="A19" s="111"/>
      <c r="D19" s="119" t="s">
        <v>728</v>
      </c>
      <c r="E19" s="120"/>
      <c r="F19" s="120"/>
      <c r="G19" s="120"/>
      <c r="H19" s="120"/>
      <c r="I19" s="120"/>
      <c r="J19" s="122"/>
      <c r="K19" s="123" t="s">
        <v>729</v>
      </c>
      <c r="L19" s="124"/>
      <c r="M19" s="124"/>
      <c r="N19" s="124"/>
      <c r="O19" s="124"/>
      <c r="P19" s="124"/>
      <c r="Q19" s="125"/>
      <c r="R19" s="114"/>
      <c r="S19" s="114"/>
      <c r="T19" s="119" t="s">
        <v>730</v>
      </c>
      <c r="U19" s="120"/>
      <c r="V19" s="120"/>
      <c r="W19" s="120"/>
      <c r="X19" s="120"/>
      <c r="Y19" s="120"/>
      <c r="Z19" s="122"/>
      <c r="AA19" s="123" t="s">
        <v>532</v>
      </c>
      <c r="AB19" s="124"/>
      <c r="AC19" s="124"/>
      <c r="AD19" s="124"/>
      <c r="AE19" s="124"/>
      <c r="AF19" s="124"/>
      <c r="AG19" s="125"/>
      <c r="AJ19" s="123" t="s">
        <v>726</v>
      </c>
      <c r="AK19" s="124"/>
      <c r="AL19" s="124"/>
      <c r="AM19" s="124"/>
      <c r="AN19" s="125"/>
      <c r="AO19" s="123" t="s">
        <v>534</v>
      </c>
      <c r="AP19" s="124"/>
      <c r="AQ19" s="124"/>
      <c r="AR19" s="125"/>
      <c r="AU19" s="123" t="s">
        <v>101</v>
      </c>
      <c r="AV19" s="124"/>
      <c r="AW19" s="124"/>
      <c r="AX19" s="124"/>
      <c r="AY19" s="125"/>
      <c r="AZ19" s="123" t="s">
        <v>540</v>
      </c>
      <c r="BA19" s="124"/>
      <c r="BB19" s="124"/>
      <c r="BC19" s="125"/>
      <c r="BD19" s="113"/>
    </row>
    <row r="20" spans="1:56" ht="13.5" customHeight="1">
      <c r="A20" s="111"/>
      <c r="D20" s="123" t="s">
        <v>101</v>
      </c>
      <c r="E20" s="124"/>
      <c r="F20" s="124"/>
      <c r="G20" s="124"/>
      <c r="H20" s="124"/>
      <c r="I20" s="124"/>
      <c r="J20" s="125"/>
      <c r="K20" s="123" t="s">
        <v>540</v>
      </c>
      <c r="L20" s="124"/>
      <c r="M20" s="124"/>
      <c r="N20" s="124"/>
      <c r="O20" s="124"/>
      <c r="P20" s="124"/>
      <c r="Q20" s="125"/>
      <c r="R20" s="114"/>
      <c r="S20" s="114"/>
      <c r="T20" s="114"/>
      <c r="U20" s="114"/>
      <c r="V20" s="114"/>
      <c r="W20" s="114"/>
      <c r="X20" s="114"/>
      <c r="Y20" s="114"/>
      <c r="Z20" s="114"/>
      <c r="AA20" s="114"/>
      <c r="AB20" s="114"/>
      <c r="AC20" s="114"/>
      <c r="AD20" s="114"/>
      <c r="AE20" s="114"/>
      <c r="AF20" s="114"/>
      <c r="AG20" s="114"/>
      <c r="AH20" s="114"/>
      <c r="AI20" s="114"/>
      <c r="AJ20" s="123" t="s">
        <v>731</v>
      </c>
      <c r="AK20" s="124"/>
      <c r="AL20" s="124"/>
      <c r="AM20" s="124"/>
      <c r="AN20" s="125"/>
      <c r="AO20" s="123" t="s">
        <v>537</v>
      </c>
      <c r="AP20" s="124"/>
      <c r="AQ20" s="124"/>
      <c r="AR20" s="125"/>
      <c r="AU20" s="114"/>
      <c r="AV20" s="114"/>
      <c r="AW20" s="114"/>
      <c r="AX20" s="114"/>
      <c r="AY20" s="114"/>
      <c r="AZ20" s="114"/>
      <c r="BA20" s="114"/>
      <c r="BB20" s="114"/>
      <c r="BC20" s="114"/>
      <c r="BD20" s="113"/>
    </row>
    <row r="21" spans="1:56" ht="13.5" customHeight="1">
      <c r="A21" s="111"/>
      <c r="C21" s="114"/>
      <c r="D21" s="123" t="s">
        <v>732</v>
      </c>
      <c r="E21" s="124"/>
      <c r="F21" s="124"/>
      <c r="G21" s="124"/>
      <c r="H21" s="124"/>
      <c r="I21" s="124"/>
      <c r="J21" s="125"/>
      <c r="K21" s="123" t="s">
        <v>733</v>
      </c>
      <c r="L21" s="124"/>
      <c r="M21" s="124"/>
      <c r="N21" s="124"/>
      <c r="O21" s="124"/>
      <c r="P21" s="124"/>
      <c r="Q21" s="125"/>
      <c r="R21" s="114"/>
      <c r="S21" s="114"/>
      <c r="T21" s="114"/>
      <c r="U21" s="114"/>
      <c r="V21" s="114"/>
      <c r="W21" s="114"/>
      <c r="X21" s="114"/>
      <c r="Y21" s="114"/>
      <c r="Z21" s="114"/>
      <c r="AA21" s="114"/>
      <c r="AB21" s="114"/>
      <c r="AC21" s="114"/>
      <c r="AD21" s="114"/>
      <c r="AE21" s="114"/>
      <c r="AF21" s="114"/>
      <c r="AG21" s="114"/>
      <c r="AH21" s="114"/>
      <c r="AI21" s="114"/>
      <c r="AJ21" s="123" t="s">
        <v>101</v>
      </c>
      <c r="AK21" s="124"/>
      <c r="AL21" s="124"/>
      <c r="AM21" s="124"/>
      <c r="AN21" s="125"/>
      <c r="AO21" s="123" t="s">
        <v>540</v>
      </c>
      <c r="AP21" s="124"/>
      <c r="AQ21" s="124"/>
      <c r="AR21" s="125"/>
      <c r="AY21" s="114"/>
      <c r="AZ21" s="114"/>
      <c r="BD21" s="113"/>
    </row>
    <row r="22" spans="1:56" ht="13.5" customHeight="1">
      <c r="A22" s="111"/>
      <c r="C22" s="114"/>
      <c r="D22" s="114"/>
      <c r="E22" s="114"/>
      <c r="F22" s="114"/>
      <c r="G22" s="114"/>
      <c r="H22" s="114"/>
      <c r="I22" s="114"/>
      <c r="J22" s="114"/>
      <c r="K22" s="114"/>
      <c r="L22" s="114"/>
      <c r="M22" s="114"/>
      <c r="N22" s="114"/>
      <c r="O22" s="114"/>
      <c r="P22" s="114"/>
      <c r="Q22" s="114"/>
      <c r="R22" s="114"/>
      <c r="S22" s="114"/>
      <c r="T22" s="114"/>
      <c r="U22" s="114"/>
      <c r="V22" s="114"/>
      <c r="W22" s="114"/>
      <c r="X22" s="114"/>
      <c r="Y22" s="114"/>
      <c r="Z22" s="114"/>
      <c r="AA22" s="114"/>
      <c r="AB22" s="114"/>
      <c r="AC22" s="114"/>
      <c r="AD22" s="114"/>
      <c r="AE22" s="114"/>
      <c r="AF22" s="114"/>
      <c r="AG22" s="114"/>
      <c r="AH22" s="114"/>
      <c r="AI22" s="114"/>
      <c r="AJ22" s="123" t="s">
        <v>734</v>
      </c>
      <c r="AK22" s="124"/>
      <c r="AL22" s="124"/>
      <c r="AM22" s="124"/>
      <c r="AN22" s="125"/>
      <c r="AO22" s="123" t="s">
        <v>542</v>
      </c>
      <c r="AP22" s="124"/>
      <c r="AQ22" s="124"/>
      <c r="AR22" s="125"/>
      <c r="BD22" s="113"/>
    </row>
    <row r="23" spans="1:56" ht="13.5" customHeight="1">
      <c r="A23" s="111"/>
      <c r="C23" s="114"/>
      <c r="D23" s="114"/>
      <c r="E23" s="114"/>
      <c r="F23" s="114"/>
      <c r="G23" s="114"/>
      <c r="H23" s="114"/>
      <c r="I23" s="114"/>
      <c r="J23" s="114"/>
      <c r="K23" s="114"/>
      <c r="L23" s="114"/>
      <c r="M23" s="114"/>
      <c r="N23" s="114"/>
      <c r="O23" s="114"/>
      <c r="P23" s="114"/>
      <c r="Q23" s="114"/>
      <c r="R23" s="114"/>
      <c r="S23" s="114"/>
      <c r="T23" s="114"/>
      <c r="U23" s="114"/>
      <c r="V23" s="114"/>
      <c r="W23" s="114"/>
      <c r="X23" s="114"/>
      <c r="Y23" s="114"/>
      <c r="Z23" s="114"/>
      <c r="AA23" s="114"/>
      <c r="AB23" s="114"/>
      <c r="AC23" s="114"/>
      <c r="AD23" s="114"/>
      <c r="AE23" s="114"/>
      <c r="AF23" s="114"/>
      <c r="AG23" s="114"/>
      <c r="AH23" s="114"/>
      <c r="AI23" s="114"/>
      <c r="AJ23" s="123" t="s">
        <v>735</v>
      </c>
      <c r="AK23" s="124"/>
      <c r="AL23" s="124"/>
      <c r="AM23" s="124"/>
      <c r="AN23" s="125"/>
      <c r="AO23" s="123" t="s">
        <v>544</v>
      </c>
      <c r="AP23" s="124"/>
      <c r="AQ23" s="124"/>
      <c r="AR23" s="125"/>
      <c r="BD23" s="113"/>
    </row>
    <row r="24" spans="1:56" s="117" customFormat="1" ht="13.5" customHeight="1">
      <c r="A24" s="115"/>
      <c r="D24" s="107" t="s">
        <v>46</v>
      </c>
      <c r="E24" s="114"/>
      <c r="F24" s="114"/>
      <c r="G24" s="114"/>
      <c r="H24" s="114"/>
      <c r="I24" s="114"/>
      <c r="J24" s="114"/>
      <c r="K24" s="114"/>
      <c r="L24" s="114"/>
      <c r="M24" s="114"/>
      <c r="N24" s="114"/>
      <c r="O24" s="114"/>
      <c r="P24" s="114"/>
      <c r="R24" s="107" t="s">
        <v>736</v>
      </c>
      <c r="S24" s="114"/>
      <c r="T24" s="114"/>
      <c r="U24" s="114"/>
      <c r="V24" s="114"/>
      <c r="W24" s="114"/>
      <c r="X24" s="114"/>
      <c r="Y24" s="114"/>
      <c r="Z24" s="114"/>
      <c r="AA24" s="114"/>
      <c r="AB24" s="114"/>
      <c r="AC24" s="114"/>
      <c r="AD24" s="114"/>
      <c r="AE24" s="114"/>
      <c r="AF24" s="114"/>
      <c r="AG24" s="114"/>
      <c r="AH24" s="114"/>
      <c r="AI24" s="114"/>
      <c r="AJ24" s="114"/>
      <c r="AK24" s="114"/>
      <c r="AL24" s="114"/>
      <c r="AM24" s="114"/>
      <c r="AN24" s="114"/>
      <c r="AO24" s="114"/>
      <c r="AP24" s="114"/>
      <c r="AQ24" s="114"/>
      <c r="AR24" s="114"/>
      <c r="AS24" s="114"/>
      <c r="AT24" s="114"/>
      <c r="AU24" s="114"/>
      <c r="AY24" s="107"/>
      <c r="AZ24" s="107"/>
      <c r="BA24" s="107"/>
      <c r="BB24" s="107"/>
      <c r="BC24" s="107"/>
      <c r="BD24" s="116"/>
    </row>
    <row r="25" spans="1:56" s="130" customFormat="1" ht="13.5" customHeight="1">
      <c r="A25" s="129"/>
      <c r="D25" s="119" t="s">
        <v>719</v>
      </c>
      <c r="E25" s="120"/>
      <c r="F25" s="120"/>
      <c r="G25" s="120"/>
      <c r="H25" s="122"/>
      <c r="I25" s="123" t="s">
        <v>720</v>
      </c>
      <c r="J25" s="124"/>
      <c r="K25" s="124"/>
      <c r="L25" s="124"/>
      <c r="M25" s="124"/>
      <c r="N25" s="124"/>
      <c r="O25" s="125"/>
      <c r="P25" s="114"/>
      <c r="R25" s="119" t="s">
        <v>719</v>
      </c>
      <c r="S25" s="120"/>
      <c r="T25" s="120"/>
      <c r="U25" s="120"/>
      <c r="V25" s="120"/>
      <c r="W25" s="120"/>
      <c r="X25" s="122"/>
      <c r="Y25" s="123" t="s">
        <v>720</v>
      </c>
      <c r="Z25" s="124"/>
      <c r="AA25" s="124"/>
      <c r="AB25" s="124"/>
      <c r="AC25" s="124"/>
      <c r="AD25" s="124"/>
      <c r="AE25" s="125"/>
      <c r="AF25" s="114"/>
      <c r="AG25" s="114"/>
      <c r="AH25" s="114"/>
      <c r="AI25" s="114"/>
      <c r="AJ25" s="114"/>
      <c r="AK25" s="114"/>
      <c r="AL25" s="114"/>
      <c r="AM25" s="114"/>
      <c r="AN25" s="114"/>
      <c r="AO25" s="114"/>
      <c r="AP25" s="114"/>
      <c r="AQ25" s="114"/>
      <c r="AR25" s="114"/>
      <c r="AS25" s="114"/>
      <c r="AT25" s="114"/>
      <c r="AU25" s="114"/>
      <c r="AV25" s="107"/>
      <c r="AW25" s="107"/>
      <c r="AX25" s="107"/>
      <c r="AY25" s="107"/>
      <c r="AZ25" s="107"/>
      <c r="BA25" s="107"/>
      <c r="BB25" s="107"/>
      <c r="BC25" s="107"/>
      <c r="BD25" s="131"/>
    </row>
    <row r="26" spans="1:56" s="117" customFormat="1" ht="13.5" customHeight="1">
      <c r="A26" s="115"/>
      <c r="D26" s="119" t="s">
        <v>723</v>
      </c>
      <c r="E26" s="120"/>
      <c r="F26" s="120"/>
      <c r="G26" s="120"/>
      <c r="H26" s="122"/>
      <c r="I26" s="123" t="s">
        <v>722</v>
      </c>
      <c r="J26" s="124"/>
      <c r="K26" s="124"/>
      <c r="L26" s="124"/>
      <c r="M26" s="124"/>
      <c r="N26" s="124"/>
      <c r="O26" s="125"/>
      <c r="P26" s="114"/>
      <c r="R26" s="119" t="s">
        <v>723</v>
      </c>
      <c r="S26" s="120"/>
      <c r="T26" s="120"/>
      <c r="U26" s="120"/>
      <c r="V26" s="120"/>
      <c r="W26" s="120"/>
      <c r="X26" s="122"/>
      <c r="Y26" s="123" t="s">
        <v>722</v>
      </c>
      <c r="Z26" s="124"/>
      <c r="AA26" s="124"/>
      <c r="AB26" s="124"/>
      <c r="AC26" s="124"/>
      <c r="AD26" s="124"/>
      <c r="AE26" s="125"/>
      <c r="AF26" s="114"/>
      <c r="AG26" s="114"/>
      <c r="AH26" s="114"/>
      <c r="AI26" s="114"/>
      <c r="AJ26" s="114"/>
      <c r="AK26" s="114"/>
      <c r="AL26" s="114"/>
      <c r="AM26" s="114"/>
      <c r="AN26" s="114"/>
      <c r="AO26" s="114"/>
      <c r="AP26" s="114"/>
      <c r="AQ26" s="114"/>
      <c r="AR26" s="114"/>
      <c r="AS26" s="114"/>
      <c r="AT26" s="114"/>
      <c r="AU26" s="114"/>
      <c r="AV26" s="107"/>
      <c r="AW26" s="107"/>
      <c r="AX26" s="107"/>
      <c r="AY26" s="107"/>
      <c r="AZ26" s="107"/>
      <c r="BA26" s="107"/>
      <c r="BB26" s="107"/>
      <c r="BC26" s="107"/>
      <c r="BD26" s="116"/>
    </row>
    <row r="27" spans="1:56" s="117" customFormat="1" ht="13.5" customHeight="1">
      <c r="A27" s="115"/>
      <c r="D27" s="119" t="s">
        <v>737</v>
      </c>
      <c r="E27" s="120"/>
      <c r="F27" s="120"/>
      <c r="G27" s="120"/>
      <c r="H27" s="122"/>
      <c r="I27" s="123" t="s">
        <v>738</v>
      </c>
      <c r="J27" s="124"/>
      <c r="K27" s="124"/>
      <c r="L27" s="124"/>
      <c r="M27" s="124"/>
      <c r="N27" s="124"/>
      <c r="O27" s="125"/>
      <c r="P27" s="114"/>
      <c r="R27" s="119" t="s">
        <v>739</v>
      </c>
      <c r="S27" s="120"/>
      <c r="T27" s="120"/>
      <c r="U27" s="120"/>
      <c r="V27" s="120"/>
      <c r="W27" s="120"/>
      <c r="X27" s="122"/>
      <c r="Y27" s="123" t="s">
        <v>740</v>
      </c>
      <c r="Z27" s="124"/>
      <c r="AA27" s="124"/>
      <c r="AB27" s="124"/>
      <c r="AC27" s="124"/>
      <c r="AD27" s="124"/>
      <c r="AE27" s="125"/>
      <c r="AF27" s="114"/>
      <c r="AG27" s="114"/>
      <c r="AH27" s="114"/>
      <c r="AI27" s="114"/>
      <c r="AJ27" s="114"/>
      <c r="AK27" s="114"/>
      <c r="AL27" s="114"/>
      <c r="AM27" s="114"/>
      <c r="AN27" s="114"/>
      <c r="AO27" s="114"/>
      <c r="AP27" s="114"/>
      <c r="AQ27" s="114"/>
      <c r="AR27" s="114"/>
      <c r="AS27" s="114"/>
      <c r="AT27" s="114"/>
      <c r="AU27" s="114"/>
      <c r="AV27" s="107"/>
      <c r="AW27" s="107"/>
      <c r="AX27" s="107"/>
      <c r="AY27" s="107"/>
      <c r="AZ27" s="107"/>
      <c r="BA27" s="107"/>
      <c r="BB27" s="107"/>
      <c r="BC27" s="107"/>
      <c r="BD27" s="116"/>
    </row>
    <row r="28" spans="1:56" s="117" customFormat="1" ht="13.5" customHeight="1">
      <c r="A28" s="115"/>
      <c r="D28" s="123"/>
      <c r="E28" s="124" t="s">
        <v>741</v>
      </c>
      <c r="F28" s="124"/>
      <c r="G28" s="124"/>
      <c r="H28" s="125"/>
      <c r="I28" s="123"/>
      <c r="J28" s="124"/>
      <c r="K28" s="124"/>
      <c r="L28" s="124"/>
      <c r="M28" s="124"/>
      <c r="N28" s="124"/>
      <c r="O28" s="125"/>
      <c r="P28" s="114"/>
      <c r="R28" s="119" t="s">
        <v>742</v>
      </c>
      <c r="S28" s="120"/>
      <c r="T28" s="120"/>
      <c r="U28" s="120"/>
      <c r="V28" s="120"/>
      <c r="W28" s="120"/>
      <c r="X28" s="122"/>
      <c r="Y28" s="123" t="s">
        <v>743</v>
      </c>
      <c r="Z28" s="124"/>
      <c r="AA28" s="124"/>
      <c r="AB28" s="124"/>
      <c r="AC28" s="124"/>
      <c r="AD28" s="124"/>
      <c r="AE28" s="125"/>
      <c r="AF28" s="114"/>
      <c r="AG28" s="114"/>
      <c r="AH28" s="114"/>
      <c r="AI28" s="114"/>
      <c r="AJ28" s="114"/>
      <c r="AK28" s="114"/>
      <c r="AL28" s="114"/>
      <c r="AM28" s="114"/>
      <c r="AN28" s="114"/>
      <c r="AO28" s="114"/>
      <c r="AP28" s="114"/>
      <c r="AQ28" s="114"/>
      <c r="AR28" s="114"/>
      <c r="AS28" s="114"/>
      <c r="AT28" s="114"/>
      <c r="AU28" s="114"/>
      <c r="AV28" s="107"/>
      <c r="AW28" s="107"/>
      <c r="AX28" s="107"/>
      <c r="AY28" s="107"/>
      <c r="AZ28" s="107"/>
      <c r="BA28" s="107"/>
      <c r="BB28" s="107"/>
      <c r="BC28" s="107"/>
      <c r="BD28" s="116"/>
    </row>
    <row r="29" spans="1:56" s="117" customFormat="1" ht="13.5" customHeight="1">
      <c r="A29" s="115"/>
      <c r="D29" s="123" t="s">
        <v>744</v>
      </c>
      <c r="E29" s="124"/>
      <c r="F29" s="124"/>
      <c r="G29" s="124"/>
      <c r="H29" s="125"/>
      <c r="I29" s="126" t="s">
        <v>552</v>
      </c>
      <c r="J29" s="127"/>
      <c r="K29" s="127"/>
      <c r="L29" s="127"/>
      <c r="M29" s="127"/>
      <c r="N29" s="127"/>
      <c r="O29" s="128"/>
      <c r="P29" s="114"/>
      <c r="R29" s="123"/>
      <c r="S29" s="124" t="s">
        <v>741</v>
      </c>
      <c r="T29" s="124"/>
      <c r="U29" s="124"/>
      <c r="V29" s="124"/>
      <c r="W29" s="124"/>
      <c r="X29" s="125"/>
      <c r="Y29" s="123"/>
      <c r="Z29" s="124"/>
      <c r="AA29" s="124"/>
      <c r="AB29" s="124"/>
      <c r="AC29" s="124"/>
      <c r="AD29" s="124"/>
      <c r="AE29" s="125"/>
      <c r="AF29" s="114"/>
      <c r="AG29" s="114"/>
      <c r="AH29" s="114"/>
      <c r="AI29" s="114"/>
      <c r="AJ29" s="114"/>
      <c r="AK29" s="114"/>
      <c r="AL29" s="114"/>
      <c r="AM29" s="114"/>
      <c r="AN29" s="114"/>
      <c r="AO29" s="114"/>
      <c r="AP29" s="114"/>
      <c r="AQ29" s="114"/>
      <c r="AR29" s="114"/>
      <c r="AS29" s="114"/>
      <c r="AT29" s="114"/>
      <c r="AU29" s="114"/>
      <c r="AV29" s="107"/>
      <c r="AW29" s="107"/>
      <c r="AX29" s="107"/>
      <c r="AY29" s="107"/>
      <c r="AZ29" s="107"/>
      <c r="BA29" s="107"/>
      <c r="BB29" s="107"/>
      <c r="BC29" s="107"/>
      <c r="BD29" s="116"/>
    </row>
    <row r="30" spans="1:56" s="117" customFormat="1" ht="13.5" customHeight="1">
      <c r="A30" s="115"/>
      <c r="D30" s="123"/>
      <c r="E30" s="124" t="s">
        <v>741</v>
      </c>
      <c r="F30" s="124"/>
      <c r="G30" s="124"/>
      <c r="H30" s="125"/>
      <c r="I30" s="123"/>
      <c r="J30" s="124"/>
      <c r="K30" s="124"/>
      <c r="L30" s="124"/>
      <c r="M30" s="124"/>
      <c r="N30" s="124"/>
      <c r="O30" s="125"/>
      <c r="R30" s="123" t="s">
        <v>551</v>
      </c>
      <c r="S30" s="124"/>
      <c r="T30" s="124"/>
      <c r="U30" s="124"/>
      <c r="V30" s="124"/>
      <c r="W30" s="124"/>
      <c r="X30" s="125"/>
      <c r="Y30" s="126" t="s">
        <v>552</v>
      </c>
      <c r="Z30" s="127"/>
      <c r="AA30" s="127"/>
      <c r="AB30" s="127"/>
      <c r="AC30" s="127"/>
      <c r="AD30" s="127"/>
      <c r="AE30" s="128"/>
      <c r="AF30" s="114"/>
      <c r="AG30" s="114"/>
      <c r="AH30" s="114"/>
      <c r="AI30" s="114"/>
      <c r="AJ30" s="114"/>
      <c r="AK30" s="114"/>
      <c r="AL30" s="114"/>
      <c r="AM30" s="114"/>
      <c r="AN30" s="114"/>
      <c r="AO30" s="114"/>
      <c r="AP30" s="114"/>
      <c r="AQ30" s="114"/>
      <c r="AR30" s="114"/>
      <c r="AS30" s="114"/>
      <c r="AT30" s="114"/>
      <c r="AU30" s="114"/>
      <c r="AV30" s="107"/>
      <c r="AW30" s="107"/>
      <c r="AX30" s="107"/>
      <c r="AY30" s="107"/>
      <c r="AZ30" s="107"/>
      <c r="BA30" s="107"/>
      <c r="BB30" s="107"/>
      <c r="BC30" s="107"/>
      <c r="BD30" s="116"/>
    </row>
    <row r="31" spans="1:56" s="117" customFormat="1" ht="13.5" customHeight="1">
      <c r="A31" s="115"/>
      <c r="R31" s="123"/>
      <c r="S31" s="124" t="s">
        <v>741</v>
      </c>
      <c r="T31" s="124"/>
      <c r="U31" s="124"/>
      <c r="V31" s="124"/>
      <c r="W31" s="124"/>
      <c r="X31" s="125"/>
      <c r="Y31" s="123"/>
      <c r="Z31" s="124"/>
      <c r="AA31" s="124"/>
      <c r="AB31" s="124"/>
      <c r="AC31" s="124"/>
      <c r="AD31" s="124"/>
      <c r="AE31" s="125"/>
      <c r="AF31" s="114"/>
      <c r="AG31" s="114"/>
      <c r="AH31" s="114"/>
      <c r="AI31" s="114"/>
      <c r="AJ31" s="114"/>
      <c r="AK31" s="114"/>
      <c r="AL31" s="114"/>
      <c r="AM31" s="114"/>
      <c r="AN31" s="114"/>
      <c r="AO31" s="114"/>
      <c r="AP31" s="114"/>
      <c r="AQ31" s="114"/>
      <c r="AR31" s="114"/>
      <c r="AS31" s="114"/>
      <c r="AT31" s="114"/>
      <c r="AU31" s="114"/>
      <c r="AV31" s="107"/>
      <c r="AW31" s="107"/>
      <c r="AX31" s="107"/>
      <c r="AY31" s="107"/>
      <c r="AZ31" s="107"/>
      <c r="BA31" s="107"/>
      <c r="BB31" s="107"/>
      <c r="BC31" s="107"/>
      <c r="BD31" s="116"/>
    </row>
    <row r="32" spans="1:56" s="117" customFormat="1" ht="13.5" customHeight="1">
      <c r="A32" s="115"/>
      <c r="AE32" s="114"/>
      <c r="AF32" s="114"/>
      <c r="AG32" s="114"/>
      <c r="AH32" s="114"/>
      <c r="AI32" s="114"/>
      <c r="AJ32" s="114"/>
      <c r="AK32" s="114"/>
      <c r="AL32" s="114"/>
      <c r="AM32" s="114"/>
      <c r="AN32" s="114"/>
      <c r="AO32" s="114"/>
      <c r="AP32" s="114"/>
      <c r="AQ32" s="114"/>
      <c r="AR32" s="114"/>
      <c r="AS32" s="114"/>
      <c r="AT32" s="114"/>
      <c r="AU32" s="114"/>
      <c r="AV32" s="107"/>
      <c r="AW32" s="107"/>
      <c r="AX32" s="107"/>
      <c r="AY32" s="107"/>
      <c r="AZ32" s="107"/>
      <c r="BA32" s="107"/>
      <c r="BB32" s="107"/>
      <c r="BC32" s="107"/>
      <c r="BD32" s="116"/>
    </row>
    <row r="33" spans="1:56" s="130" customFormat="1" ht="13.5" customHeight="1">
      <c r="A33" s="129"/>
      <c r="AE33" s="114"/>
      <c r="AF33" s="114"/>
      <c r="AG33" s="114"/>
      <c r="AH33" s="114"/>
      <c r="AI33" s="114"/>
      <c r="AJ33" s="114"/>
      <c r="AK33" s="114"/>
      <c r="AL33" s="114"/>
      <c r="AM33" s="114"/>
      <c r="AN33" s="114"/>
      <c r="AO33" s="114"/>
      <c r="AP33" s="114"/>
      <c r="AQ33" s="114"/>
      <c r="AR33" s="114"/>
      <c r="AS33" s="114"/>
      <c r="AT33" s="114"/>
      <c r="AU33" s="114"/>
      <c r="AV33" s="107"/>
      <c r="AW33" s="107"/>
      <c r="AX33" s="107"/>
      <c r="AY33" s="107"/>
      <c r="AZ33" s="107"/>
      <c r="BA33" s="107"/>
      <c r="BB33" s="107"/>
      <c r="BC33" s="107"/>
      <c r="BD33" s="131"/>
    </row>
    <row r="34" spans="1:56" s="130" customFormat="1" ht="13.5" customHeight="1">
      <c r="A34" s="129"/>
      <c r="AE34" s="114"/>
      <c r="AF34" s="114"/>
      <c r="AG34" s="114"/>
      <c r="AH34" s="114"/>
      <c r="AI34" s="114"/>
      <c r="AJ34" s="114"/>
      <c r="AK34" s="114"/>
      <c r="AL34" s="114"/>
      <c r="AM34" s="114"/>
      <c r="AN34" s="114"/>
      <c r="AO34" s="114"/>
      <c r="AP34" s="114"/>
      <c r="AQ34" s="114"/>
      <c r="AR34" s="114"/>
      <c r="AS34" s="114"/>
      <c r="AT34" s="114"/>
      <c r="AU34" s="114"/>
      <c r="AV34" s="107"/>
      <c r="AW34" s="107"/>
      <c r="AX34" s="107"/>
      <c r="AY34" s="107"/>
      <c r="AZ34" s="107"/>
      <c r="BA34" s="107"/>
      <c r="BB34" s="107"/>
      <c r="BC34" s="107"/>
      <c r="BD34" s="131"/>
    </row>
    <row r="35" spans="1:56" s="130" customFormat="1" ht="13.5" customHeight="1">
      <c r="A35" s="129"/>
      <c r="AE35" s="114"/>
      <c r="AF35" s="114"/>
      <c r="AG35" s="114"/>
      <c r="AH35" s="114"/>
      <c r="AI35" s="114"/>
      <c r="AJ35" s="114"/>
      <c r="AK35" s="114"/>
      <c r="AL35" s="114"/>
      <c r="AM35" s="114"/>
      <c r="AN35" s="114"/>
      <c r="AO35" s="114"/>
      <c r="AP35" s="114"/>
      <c r="AQ35" s="114"/>
      <c r="AR35" s="114"/>
      <c r="AS35" s="114"/>
      <c r="AT35" s="114"/>
      <c r="AU35" s="114"/>
      <c r="AV35" s="107"/>
      <c r="AW35" s="107"/>
      <c r="AX35" s="107"/>
      <c r="AY35" s="107"/>
      <c r="AZ35" s="107"/>
      <c r="BA35" s="107"/>
      <c r="BB35" s="107"/>
      <c r="BC35" s="107"/>
      <c r="BD35" s="131"/>
    </row>
    <row r="36" spans="1:56" s="130" customFormat="1" ht="13.5" customHeight="1">
      <c r="A36" s="129"/>
      <c r="AE36" s="114"/>
      <c r="AF36" s="114"/>
      <c r="AG36" s="114"/>
      <c r="AH36" s="114"/>
      <c r="AI36" s="114"/>
      <c r="AJ36" s="114"/>
      <c r="AK36" s="114"/>
      <c r="AL36" s="114"/>
      <c r="AM36" s="114"/>
      <c r="AN36" s="114"/>
      <c r="AO36" s="114"/>
      <c r="AP36" s="114"/>
      <c r="AQ36" s="114"/>
      <c r="AR36" s="114"/>
      <c r="AS36" s="114"/>
      <c r="AT36" s="114"/>
      <c r="AU36" s="114"/>
      <c r="AV36" s="107"/>
      <c r="AW36" s="107"/>
      <c r="AX36" s="107"/>
      <c r="AY36" s="107"/>
      <c r="AZ36" s="107"/>
      <c r="BA36" s="107"/>
      <c r="BB36" s="107"/>
      <c r="BC36" s="107"/>
      <c r="BD36" s="131"/>
    </row>
    <row r="37" spans="1:56" s="130" customFormat="1" ht="13.5" customHeight="1">
      <c r="A37" s="129"/>
      <c r="AE37" s="114"/>
      <c r="AF37" s="114"/>
      <c r="AG37" s="114"/>
      <c r="AH37" s="114"/>
      <c r="AI37" s="114"/>
      <c r="AJ37" s="114"/>
      <c r="AK37" s="114"/>
      <c r="AL37" s="114"/>
      <c r="AM37" s="114"/>
      <c r="AN37" s="114"/>
      <c r="AO37" s="114"/>
      <c r="AP37" s="114"/>
      <c r="AQ37" s="114"/>
      <c r="AR37" s="114"/>
      <c r="AS37" s="114"/>
      <c r="AT37" s="114"/>
      <c r="AU37" s="114"/>
      <c r="AV37" s="107"/>
      <c r="AW37" s="107"/>
      <c r="AX37" s="107"/>
      <c r="AY37" s="107"/>
      <c r="AZ37" s="107"/>
      <c r="BA37" s="107"/>
      <c r="BB37" s="107"/>
      <c r="BC37" s="107"/>
      <c r="BD37" s="131"/>
    </row>
    <row r="38" spans="1:56" s="130" customFormat="1" ht="13.5" customHeight="1">
      <c r="A38" s="129"/>
      <c r="AE38" s="114"/>
      <c r="AF38" s="114"/>
      <c r="AG38" s="114"/>
      <c r="AH38" s="114"/>
      <c r="AI38" s="114"/>
      <c r="AJ38" s="114"/>
      <c r="AK38" s="114"/>
      <c r="AL38" s="114"/>
      <c r="AM38" s="114"/>
      <c r="AN38" s="114"/>
      <c r="AO38" s="114"/>
      <c r="AP38" s="114"/>
      <c r="AQ38" s="114"/>
      <c r="AR38" s="114"/>
      <c r="AS38" s="114"/>
      <c r="AT38" s="114"/>
      <c r="AU38" s="114"/>
      <c r="AV38" s="107"/>
      <c r="AW38" s="107"/>
      <c r="AX38" s="107"/>
      <c r="AY38" s="107"/>
      <c r="AZ38" s="107"/>
      <c r="BA38" s="107"/>
      <c r="BB38" s="107"/>
      <c r="BC38" s="107"/>
      <c r="BD38" s="131"/>
    </row>
    <row r="39" spans="1:56" s="130" customFormat="1" ht="13.5" customHeight="1">
      <c r="A39" s="129"/>
      <c r="C39" s="107"/>
      <c r="D39" s="107"/>
      <c r="E39" s="107"/>
      <c r="F39" s="107"/>
      <c r="G39" s="107"/>
      <c r="H39" s="107"/>
      <c r="I39" s="107"/>
      <c r="J39" s="107"/>
      <c r="K39" s="107"/>
      <c r="L39" s="117"/>
      <c r="M39" s="107"/>
      <c r="N39" s="107"/>
      <c r="O39" s="107"/>
      <c r="P39" s="107"/>
      <c r="Q39" s="107"/>
      <c r="R39" s="107"/>
      <c r="S39" s="107"/>
      <c r="T39" s="107"/>
      <c r="U39" s="107"/>
      <c r="V39" s="107"/>
      <c r="W39" s="107"/>
      <c r="X39" s="107"/>
      <c r="Y39" s="107"/>
      <c r="Z39" s="107"/>
      <c r="AA39" s="107"/>
      <c r="AB39" s="117"/>
      <c r="AC39" s="117"/>
      <c r="AD39" s="117"/>
      <c r="AE39" s="117"/>
      <c r="AF39" s="117"/>
      <c r="AG39" s="117"/>
      <c r="AH39" s="117"/>
      <c r="AI39" s="117"/>
      <c r="AJ39" s="117"/>
      <c r="AK39" s="117"/>
      <c r="AL39" s="117"/>
      <c r="AM39" s="117"/>
      <c r="AN39" s="117"/>
      <c r="AO39" s="117"/>
      <c r="BD39" s="131"/>
    </row>
    <row r="40" spans="1:56" s="130" customFormat="1" ht="13.5" customHeight="1">
      <c r="A40" s="132"/>
      <c r="B40" s="133"/>
      <c r="C40" s="134"/>
      <c r="D40" s="134"/>
      <c r="E40" s="134"/>
      <c r="F40" s="134"/>
      <c r="G40" s="134"/>
      <c r="H40" s="134"/>
      <c r="I40" s="134"/>
      <c r="J40" s="134"/>
      <c r="K40" s="134"/>
      <c r="L40" s="134"/>
      <c r="M40" s="134"/>
      <c r="N40" s="134"/>
      <c r="O40" s="134"/>
      <c r="P40" s="134"/>
      <c r="Q40" s="134"/>
      <c r="R40" s="134"/>
      <c r="S40" s="134"/>
      <c r="T40" s="134"/>
      <c r="U40" s="134"/>
      <c r="V40" s="134"/>
      <c r="W40" s="134"/>
      <c r="X40" s="134"/>
      <c r="Y40" s="134"/>
      <c r="Z40" s="134"/>
      <c r="AA40" s="134"/>
      <c r="AB40" s="135"/>
      <c r="AC40" s="135"/>
      <c r="AD40" s="135"/>
      <c r="AE40" s="135"/>
      <c r="AF40" s="135"/>
      <c r="AG40" s="135"/>
      <c r="AH40" s="135"/>
      <c r="AI40" s="135"/>
      <c r="AJ40" s="135"/>
      <c r="AK40" s="135"/>
      <c r="AL40" s="135"/>
      <c r="AM40" s="135"/>
      <c r="AN40" s="135"/>
      <c r="AO40" s="135"/>
      <c r="AP40" s="133"/>
      <c r="AQ40" s="133"/>
      <c r="AR40" s="133"/>
      <c r="AS40" s="133"/>
      <c r="AT40" s="133"/>
      <c r="AU40" s="133"/>
      <c r="AV40" s="133"/>
      <c r="AW40" s="133"/>
      <c r="AX40" s="133"/>
      <c r="AY40" s="133"/>
      <c r="AZ40" s="133"/>
      <c r="BA40" s="133"/>
      <c r="BB40" s="133"/>
      <c r="BC40" s="133"/>
      <c r="BD40" s="136"/>
    </row>
    <row r="41" spans="1:56" ht="13.5" customHeight="1">
      <c r="A41" s="111"/>
      <c r="BD41" s="113"/>
    </row>
    <row r="42" spans="1:56" s="130" customFormat="1" ht="13.5" customHeight="1">
      <c r="A42" s="129"/>
      <c r="B42" s="114" t="s">
        <v>745</v>
      </c>
      <c r="C42" s="114" t="s">
        <v>746</v>
      </c>
      <c r="D42" s="114"/>
      <c r="E42" s="114"/>
      <c r="F42" s="114"/>
      <c r="G42" s="114"/>
      <c r="H42" s="114"/>
      <c r="I42" s="114"/>
      <c r="J42" s="114"/>
      <c r="K42" s="114"/>
      <c r="L42" s="114"/>
      <c r="M42" s="114"/>
      <c r="N42" s="114"/>
      <c r="O42" s="114"/>
      <c r="P42" s="114"/>
      <c r="Q42" s="114"/>
      <c r="R42" s="114"/>
      <c r="S42" s="114"/>
      <c r="T42" s="114"/>
      <c r="U42" s="114"/>
      <c r="V42" s="114"/>
      <c r="W42" s="114"/>
      <c r="X42" s="114"/>
      <c r="Y42" s="114"/>
      <c r="Z42" s="114"/>
      <c r="AA42" s="114"/>
      <c r="AB42" s="114"/>
      <c r="AC42" s="114"/>
      <c r="AD42" s="114"/>
      <c r="AE42" s="117"/>
      <c r="AF42" s="117"/>
      <c r="AG42" s="117"/>
      <c r="AH42" s="117"/>
      <c r="AI42" s="117"/>
      <c r="AJ42" s="117"/>
      <c r="AK42" s="117"/>
      <c r="AL42" s="117"/>
      <c r="AM42" s="117"/>
      <c r="AN42" s="117"/>
      <c r="AO42" s="117"/>
      <c r="AP42" s="117"/>
      <c r="AQ42" s="117"/>
      <c r="AR42" s="117"/>
      <c r="AS42" s="117"/>
      <c r="AT42" s="117"/>
      <c r="AU42" s="117"/>
      <c r="BD42" s="131"/>
    </row>
    <row r="43" spans="1:56" s="130" customFormat="1" ht="13.5" customHeight="1">
      <c r="A43" s="129"/>
      <c r="B43" s="114"/>
      <c r="C43" s="114" t="s">
        <v>747</v>
      </c>
      <c r="D43" s="114"/>
      <c r="E43" s="114"/>
      <c r="F43" s="114"/>
      <c r="G43" s="114"/>
      <c r="H43" s="114"/>
      <c r="I43" s="114"/>
      <c r="J43" s="114"/>
      <c r="K43" s="114"/>
      <c r="L43" s="114"/>
      <c r="M43" s="114"/>
      <c r="N43" s="114"/>
      <c r="O43" s="114"/>
      <c r="P43" s="114"/>
      <c r="Q43" s="114"/>
      <c r="R43" s="114"/>
      <c r="S43" s="114"/>
      <c r="T43" s="114"/>
      <c r="U43" s="114"/>
      <c r="V43" s="114"/>
      <c r="W43" s="114"/>
      <c r="X43" s="114"/>
      <c r="Y43" s="114"/>
      <c r="Z43" s="114"/>
      <c r="AA43" s="114"/>
      <c r="AB43" s="114"/>
      <c r="AC43" s="114"/>
      <c r="AD43" s="114"/>
      <c r="AE43" s="117"/>
      <c r="AF43" s="117"/>
      <c r="AG43" s="117"/>
      <c r="AH43" s="117"/>
      <c r="AI43" s="117"/>
      <c r="AJ43" s="117"/>
      <c r="AK43" s="117"/>
      <c r="AL43" s="117"/>
      <c r="AM43" s="117"/>
      <c r="AN43" s="117"/>
      <c r="AO43" s="117"/>
      <c r="AP43" s="117"/>
      <c r="AQ43" s="117"/>
      <c r="AR43" s="117"/>
      <c r="AS43" s="117"/>
      <c r="AT43" s="117"/>
      <c r="AU43" s="117"/>
      <c r="BD43" s="131"/>
    </row>
    <row r="44" spans="1:56" s="130" customFormat="1" ht="13.5" customHeight="1">
      <c r="A44" s="129"/>
      <c r="B44" s="114"/>
      <c r="C44" s="114"/>
      <c r="D44" s="114" t="s">
        <v>748</v>
      </c>
      <c r="E44" s="114"/>
      <c r="F44" s="114"/>
      <c r="G44" s="114"/>
      <c r="H44" s="114"/>
      <c r="I44" s="114"/>
      <c r="J44" s="114"/>
      <c r="K44" s="114"/>
      <c r="L44" s="114"/>
      <c r="M44" s="114"/>
      <c r="N44" s="114"/>
      <c r="O44" s="114"/>
      <c r="P44" s="114"/>
      <c r="Q44" s="114"/>
      <c r="R44" s="114"/>
      <c r="S44" s="114"/>
      <c r="T44" s="114"/>
      <c r="U44" s="114"/>
      <c r="V44" s="114"/>
      <c r="W44" s="114"/>
      <c r="X44" s="114"/>
      <c r="Y44" s="114"/>
      <c r="Z44" s="114"/>
      <c r="AA44" s="114"/>
      <c r="AB44" s="114"/>
      <c r="AC44" s="114"/>
      <c r="AD44" s="114"/>
      <c r="AE44" s="117"/>
      <c r="AF44" s="117"/>
      <c r="AG44" s="117"/>
      <c r="AH44" s="117"/>
      <c r="AI44" s="117"/>
      <c r="AJ44" s="117"/>
      <c r="AK44" s="117"/>
      <c r="AL44" s="117"/>
      <c r="AM44" s="117"/>
      <c r="AN44" s="117"/>
      <c r="AO44" s="117"/>
      <c r="AP44" s="117"/>
      <c r="AQ44" s="117"/>
      <c r="AR44" s="117"/>
      <c r="AS44" s="117"/>
      <c r="AT44" s="117"/>
      <c r="AU44" s="117"/>
      <c r="BD44" s="131"/>
    </row>
    <row r="45" spans="1:56" s="117" customFormat="1" ht="14.1" customHeight="1">
      <c r="A45" s="115"/>
      <c r="B45" s="114"/>
      <c r="C45" s="114"/>
      <c r="D45" s="114"/>
      <c r="E45" s="114" t="s">
        <v>749</v>
      </c>
      <c r="F45" s="114" t="s">
        <v>750</v>
      </c>
      <c r="G45" s="114"/>
      <c r="H45" s="114"/>
      <c r="I45" s="114"/>
      <c r="J45" s="114"/>
      <c r="K45" s="114"/>
      <c r="L45" s="114"/>
      <c r="M45" s="114"/>
      <c r="N45" s="114"/>
      <c r="O45" s="114"/>
      <c r="P45" s="114"/>
      <c r="Q45" s="114"/>
      <c r="R45" s="114"/>
      <c r="S45" s="114"/>
      <c r="T45" s="114"/>
      <c r="U45" s="114"/>
      <c r="V45" s="114"/>
      <c r="W45" s="114"/>
      <c r="X45" s="114"/>
      <c r="Y45" s="114"/>
      <c r="Z45" s="114"/>
      <c r="AA45" s="114"/>
      <c r="AB45" s="114"/>
      <c r="AC45" s="114"/>
      <c r="AD45" s="114"/>
      <c r="AR45" s="137" t="s">
        <v>751</v>
      </c>
      <c r="AS45" s="138"/>
      <c r="AT45" s="138"/>
      <c r="AU45" s="138"/>
      <c r="AV45" s="138"/>
      <c r="AW45" s="138"/>
      <c r="AX45" s="138"/>
      <c r="AY45" s="139"/>
      <c r="BD45" s="116"/>
    </row>
    <row r="46" spans="1:56" s="130" customFormat="1" ht="13.5" customHeight="1">
      <c r="A46" s="129"/>
      <c r="B46" s="114"/>
      <c r="C46" s="114"/>
      <c r="D46" s="114"/>
      <c r="E46" s="114"/>
      <c r="F46" s="114" t="s">
        <v>752</v>
      </c>
      <c r="G46" s="114"/>
      <c r="H46" s="114"/>
      <c r="I46" s="114"/>
      <c r="J46" s="114"/>
      <c r="K46" s="114"/>
      <c r="L46" s="114"/>
      <c r="M46" s="114"/>
      <c r="N46" s="114"/>
      <c r="O46" s="114"/>
      <c r="P46" s="114"/>
      <c r="Q46" s="114"/>
      <c r="R46" s="114"/>
      <c r="S46" s="114"/>
      <c r="T46" s="114"/>
      <c r="U46" s="114"/>
      <c r="V46" s="114"/>
      <c r="W46" s="114"/>
      <c r="X46" s="114"/>
      <c r="Y46" s="114"/>
      <c r="Z46" s="114"/>
      <c r="AA46" s="114"/>
      <c r="AB46" s="114"/>
      <c r="AC46" s="114"/>
      <c r="AD46" s="114"/>
      <c r="AE46" s="117"/>
      <c r="AF46" s="117"/>
      <c r="AG46" s="117"/>
      <c r="AH46" s="117"/>
      <c r="AI46" s="117"/>
      <c r="AJ46" s="117"/>
      <c r="AK46" s="117"/>
      <c r="AL46" s="117"/>
      <c r="AM46" s="117"/>
      <c r="AN46" s="117"/>
      <c r="AO46" s="117"/>
      <c r="AP46" s="117"/>
      <c r="AQ46" s="117"/>
      <c r="AR46" s="140"/>
      <c r="AS46" s="114" t="s">
        <v>753</v>
      </c>
      <c r="AT46" s="114"/>
      <c r="AU46" s="114"/>
      <c r="AV46" s="114"/>
      <c r="AW46" s="114"/>
      <c r="AX46" s="114"/>
      <c r="AY46" s="141"/>
      <c r="BD46" s="131"/>
    </row>
    <row r="47" spans="1:56" s="130" customFormat="1" ht="13.5" customHeight="1">
      <c r="A47" s="129"/>
      <c r="B47" s="114"/>
      <c r="C47" s="114"/>
      <c r="D47" s="114"/>
      <c r="E47" s="114" t="s">
        <v>754</v>
      </c>
      <c r="F47" s="114" t="s">
        <v>755</v>
      </c>
      <c r="G47" s="114"/>
      <c r="H47" s="114"/>
      <c r="I47" s="114"/>
      <c r="J47" s="114"/>
      <c r="K47" s="114"/>
      <c r="L47" s="114"/>
      <c r="M47" s="114"/>
      <c r="N47" s="114"/>
      <c r="O47" s="114"/>
      <c r="P47" s="114"/>
      <c r="Q47" s="114"/>
      <c r="R47" s="114"/>
      <c r="S47" s="114"/>
      <c r="T47" s="114"/>
      <c r="U47" s="114"/>
      <c r="V47" s="114"/>
      <c r="W47" s="114"/>
      <c r="X47" s="114"/>
      <c r="Y47" s="114"/>
      <c r="Z47" s="114"/>
      <c r="AA47" s="114"/>
      <c r="AB47" s="114"/>
      <c r="AC47" s="114"/>
      <c r="AD47" s="114"/>
      <c r="AE47" s="117"/>
      <c r="AF47" s="117"/>
      <c r="AG47" s="117"/>
      <c r="AH47" s="117"/>
      <c r="AI47" s="117"/>
      <c r="AJ47" s="117"/>
      <c r="AK47" s="117"/>
      <c r="AL47" s="117"/>
      <c r="AM47" s="117"/>
      <c r="AN47" s="117"/>
      <c r="AO47" s="117"/>
      <c r="AP47" s="117"/>
      <c r="AQ47" s="117"/>
      <c r="AR47" s="140"/>
      <c r="AS47" s="114" t="s">
        <v>756</v>
      </c>
      <c r="AT47" s="114"/>
      <c r="AU47" s="114"/>
      <c r="AV47" s="114"/>
      <c r="AW47" s="114"/>
      <c r="AX47" s="114"/>
      <c r="AY47" s="141"/>
      <c r="BD47" s="131"/>
    </row>
    <row r="48" spans="1:56" s="130" customFormat="1" ht="13.5" customHeight="1">
      <c r="A48" s="129"/>
      <c r="B48" s="114"/>
      <c r="C48" s="114"/>
      <c r="D48" s="114"/>
      <c r="E48" s="114" t="s">
        <v>757</v>
      </c>
      <c r="F48" s="114" t="s">
        <v>758</v>
      </c>
      <c r="G48" s="114"/>
      <c r="H48" s="114"/>
      <c r="I48" s="114"/>
      <c r="J48" s="114"/>
      <c r="K48" s="114"/>
      <c r="L48" s="114"/>
      <c r="M48" s="114"/>
      <c r="N48" s="114"/>
      <c r="O48" s="114"/>
      <c r="P48" s="114"/>
      <c r="Q48" s="114"/>
      <c r="R48" s="114"/>
      <c r="S48" s="114"/>
      <c r="T48" s="114"/>
      <c r="U48" s="114"/>
      <c r="V48" s="114"/>
      <c r="W48" s="114"/>
      <c r="X48" s="114"/>
      <c r="Y48" s="114"/>
      <c r="Z48" s="114"/>
      <c r="AA48" s="114"/>
      <c r="AB48" s="114"/>
      <c r="AC48" s="114"/>
      <c r="AD48" s="114"/>
      <c r="AE48" s="117"/>
      <c r="AF48" s="117"/>
      <c r="AG48" s="117"/>
      <c r="AH48" s="117"/>
      <c r="AI48" s="117"/>
      <c r="AJ48" s="117"/>
      <c r="AK48" s="117"/>
      <c r="AL48" s="117"/>
      <c r="AM48" s="117"/>
      <c r="AN48" s="117"/>
      <c r="AO48" s="117"/>
      <c r="AP48" s="117"/>
      <c r="AQ48" s="117"/>
      <c r="AR48" s="140"/>
      <c r="AS48" s="114" t="s">
        <v>759</v>
      </c>
      <c r="AT48" s="114"/>
      <c r="AU48" s="114"/>
      <c r="AV48" s="114"/>
      <c r="AW48" s="114"/>
      <c r="AX48" s="114"/>
      <c r="AY48" s="141"/>
      <c r="BD48" s="131"/>
    </row>
    <row r="49" spans="1:56" s="117" customFormat="1" ht="14.1" customHeight="1">
      <c r="A49" s="115"/>
      <c r="B49" s="114"/>
      <c r="C49" s="114"/>
      <c r="D49" s="114"/>
      <c r="E49" s="114" t="s">
        <v>760</v>
      </c>
      <c r="F49" s="114" t="s">
        <v>761</v>
      </c>
      <c r="G49" s="114"/>
      <c r="H49" s="114"/>
      <c r="I49" s="114"/>
      <c r="J49" s="114"/>
      <c r="K49" s="114"/>
      <c r="L49" s="114"/>
      <c r="M49" s="114"/>
      <c r="N49" s="114"/>
      <c r="O49" s="114"/>
      <c r="P49" s="114"/>
      <c r="Q49" s="114"/>
      <c r="R49" s="114"/>
      <c r="S49" s="114"/>
      <c r="T49" s="114"/>
      <c r="U49" s="114"/>
      <c r="V49" s="114"/>
      <c r="W49" s="114"/>
      <c r="X49" s="114"/>
      <c r="Y49" s="114"/>
      <c r="Z49" s="114"/>
      <c r="AA49" s="114"/>
      <c r="AB49" s="114"/>
      <c r="AC49" s="114"/>
      <c r="AD49" s="114"/>
      <c r="AR49" s="142"/>
      <c r="AS49" s="143" t="s">
        <v>762</v>
      </c>
      <c r="AT49" s="143"/>
      <c r="AU49" s="143"/>
      <c r="AV49" s="143"/>
      <c r="AW49" s="143"/>
      <c r="AX49" s="143"/>
      <c r="AY49" s="144"/>
      <c r="BD49" s="116"/>
    </row>
    <row r="50" spans="1:56" s="130" customFormat="1" ht="13.5" customHeight="1">
      <c r="A50" s="129"/>
      <c r="B50" s="114"/>
      <c r="C50" s="114"/>
      <c r="D50" s="114"/>
      <c r="E50" s="114"/>
      <c r="F50" s="114" t="s">
        <v>763</v>
      </c>
      <c r="G50" s="114"/>
      <c r="H50" s="114"/>
      <c r="I50" s="114"/>
      <c r="J50" s="114"/>
      <c r="K50" s="114"/>
      <c r="L50" s="114"/>
      <c r="M50" s="114"/>
      <c r="N50" s="114"/>
      <c r="O50" s="114"/>
      <c r="P50" s="114"/>
      <c r="Q50" s="114"/>
      <c r="R50" s="114"/>
      <c r="S50" s="114"/>
      <c r="T50" s="114"/>
      <c r="U50" s="114"/>
      <c r="V50" s="114"/>
      <c r="W50" s="114"/>
      <c r="X50" s="114"/>
      <c r="Y50" s="114"/>
      <c r="Z50" s="114"/>
      <c r="AA50" s="114"/>
      <c r="AB50" s="114"/>
      <c r="AC50" s="114"/>
      <c r="AD50" s="114"/>
      <c r="AE50" s="117"/>
      <c r="AF50" s="117"/>
      <c r="AG50" s="117"/>
      <c r="AH50" s="117"/>
      <c r="AI50" s="117"/>
      <c r="AJ50" s="117"/>
      <c r="AK50" s="117"/>
      <c r="AL50" s="117"/>
      <c r="AM50" s="117"/>
      <c r="AN50" s="117"/>
      <c r="AO50" s="117"/>
      <c r="AP50" s="117"/>
      <c r="AQ50" s="117"/>
      <c r="AR50" s="117"/>
      <c r="AS50" s="117"/>
      <c r="AT50" s="117"/>
      <c r="AU50" s="117"/>
      <c r="BD50" s="131"/>
    </row>
    <row r="51" spans="1:56" s="130" customFormat="1" ht="13.5" customHeight="1">
      <c r="A51" s="129"/>
      <c r="B51" s="114"/>
      <c r="C51" s="114"/>
      <c r="D51" s="114"/>
      <c r="E51" s="114"/>
      <c r="F51" s="114"/>
      <c r="G51" s="114" t="s">
        <v>764</v>
      </c>
      <c r="H51" s="114"/>
      <c r="I51" s="114"/>
      <c r="J51" s="114"/>
      <c r="K51" s="114"/>
      <c r="L51" s="114"/>
      <c r="M51" s="114"/>
      <c r="N51" s="114"/>
      <c r="O51" s="114"/>
      <c r="P51" s="114"/>
      <c r="Q51" s="114"/>
      <c r="R51" s="114"/>
      <c r="S51" s="114"/>
      <c r="T51" s="114"/>
      <c r="U51" s="114"/>
      <c r="V51" s="114"/>
      <c r="W51" s="114"/>
      <c r="X51" s="114"/>
      <c r="Y51" s="114"/>
      <c r="Z51" s="114"/>
      <c r="AA51" s="114"/>
      <c r="AB51" s="114"/>
      <c r="AC51" s="114"/>
      <c r="AD51" s="114"/>
      <c r="AE51" s="117"/>
      <c r="AF51" s="117"/>
      <c r="AG51" s="117"/>
      <c r="AH51" s="117"/>
      <c r="AI51" s="117"/>
      <c r="AJ51" s="117"/>
      <c r="AK51" s="117"/>
      <c r="AL51" s="117"/>
      <c r="AM51" s="117"/>
      <c r="AN51" s="117"/>
      <c r="AO51" s="117"/>
      <c r="AP51" s="117"/>
      <c r="AQ51" s="117"/>
      <c r="AR51" s="117"/>
      <c r="AS51" s="117"/>
      <c r="AT51" s="117"/>
      <c r="AU51" s="117"/>
      <c r="BD51" s="131"/>
    </row>
    <row r="52" spans="1:56" s="130" customFormat="1" ht="13.5" customHeight="1">
      <c r="A52" s="129"/>
      <c r="B52" s="114"/>
      <c r="C52" s="114"/>
      <c r="D52" s="114"/>
      <c r="E52" s="114"/>
      <c r="F52" s="114"/>
      <c r="G52" s="114"/>
      <c r="H52" s="114"/>
      <c r="I52" s="114"/>
      <c r="J52" s="114"/>
      <c r="K52" s="114"/>
      <c r="L52" s="114"/>
      <c r="M52" s="114"/>
      <c r="N52" s="114"/>
      <c r="O52" s="114"/>
      <c r="P52" s="114"/>
      <c r="Q52" s="114"/>
      <c r="R52" s="114"/>
      <c r="S52" s="114"/>
      <c r="T52" s="114"/>
      <c r="U52" s="114"/>
      <c r="V52" s="114"/>
      <c r="W52" s="114"/>
      <c r="X52" s="114"/>
      <c r="Y52" s="114"/>
      <c r="Z52" s="114"/>
      <c r="AA52" s="114"/>
      <c r="AB52" s="114"/>
      <c r="AC52" s="114"/>
      <c r="AD52" s="114"/>
      <c r="AE52" s="117"/>
      <c r="AF52" s="117"/>
      <c r="AG52" s="117"/>
      <c r="AH52" s="117"/>
      <c r="AI52" s="117"/>
      <c r="AJ52" s="117"/>
      <c r="AK52" s="117"/>
      <c r="AL52" s="117"/>
      <c r="AM52" s="117"/>
      <c r="AN52" s="117"/>
      <c r="AO52" s="117"/>
      <c r="AP52" s="117"/>
      <c r="AQ52" s="117"/>
      <c r="AR52" s="117"/>
      <c r="AS52" s="117"/>
      <c r="AT52" s="117"/>
      <c r="AU52" s="117"/>
      <c r="BD52" s="131"/>
    </row>
    <row r="53" spans="1:56" s="130" customFormat="1" ht="13.5" customHeight="1">
      <c r="A53" s="129"/>
      <c r="B53" s="114"/>
      <c r="C53" s="114"/>
      <c r="D53" s="114"/>
      <c r="E53" s="114"/>
      <c r="F53" s="114" t="s">
        <v>765</v>
      </c>
      <c r="G53" s="114"/>
      <c r="H53" s="114"/>
      <c r="I53" s="114"/>
      <c r="J53" s="114"/>
      <c r="K53" s="114"/>
      <c r="L53" s="114"/>
      <c r="M53" s="114"/>
      <c r="N53" s="114"/>
      <c r="O53" s="114"/>
      <c r="P53" s="114"/>
      <c r="Q53" s="114"/>
      <c r="R53" s="114"/>
      <c r="S53" s="114"/>
      <c r="T53" s="114"/>
      <c r="U53" s="114"/>
      <c r="V53" s="114"/>
      <c r="W53" s="114"/>
      <c r="X53" s="114"/>
      <c r="Y53" s="114"/>
      <c r="Z53" s="114"/>
      <c r="AA53" s="114"/>
      <c r="AB53" s="114"/>
      <c r="AC53" s="114"/>
      <c r="AD53" s="114"/>
      <c r="AE53" s="117"/>
      <c r="AF53" s="117"/>
      <c r="AG53" s="117"/>
      <c r="AH53" s="117"/>
      <c r="AI53" s="117"/>
      <c r="AJ53" s="117"/>
      <c r="AK53" s="117"/>
      <c r="AL53" s="117"/>
      <c r="AM53" s="117"/>
      <c r="AN53" s="117"/>
      <c r="AO53" s="117"/>
      <c r="AP53" s="117"/>
      <c r="AQ53" s="117"/>
      <c r="AR53" s="117"/>
      <c r="AS53" s="117"/>
      <c r="AT53" s="117"/>
      <c r="AU53" s="117"/>
      <c r="BD53" s="131"/>
    </row>
    <row r="54" spans="1:56" s="117" customFormat="1" ht="14.1" customHeight="1">
      <c r="A54" s="115"/>
      <c r="B54" s="114"/>
      <c r="C54" s="114"/>
      <c r="D54" s="114"/>
      <c r="E54" s="114"/>
      <c r="F54" s="114"/>
      <c r="G54" s="114" t="s">
        <v>766</v>
      </c>
      <c r="H54" s="114"/>
      <c r="I54" s="114"/>
      <c r="J54" s="114"/>
      <c r="K54" s="114"/>
      <c r="L54" s="114"/>
      <c r="M54" s="114"/>
      <c r="N54" s="114"/>
      <c r="O54" s="114"/>
      <c r="P54" s="114"/>
      <c r="Q54" s="114"/>
      <c r="R54" s="114"/>
      <c r="S54" s="114"/>
      <c r="T54" s="114"/>
      <c r="U54" s="114"/>
      <c r="V54" s="114"/>
      <c r="W54" s="114"/>
      <c r="X54" s="114"/>
      <c r="Y54" s="114"/>
      <c r="Z54" s="114"/>
      <c r="AA54" s="114"/>
      <c r="AB54" s="114"/>
      <c r="AC54" s="114"/>
      <c r="AD54" s="114"/>
      <c r="BD54" s="116"/>
    </row>
    <row r="55" spans="1:56" s="130" customFormat="1" ht="13.5" customHeight="1">
      <c r="A55" s="129"/>
      <c r="B55" s="114"/>
      <c r="C55" s="114"/>
      <c r="D55" s="114"/>
      <c r="E55" s="114"/>
      <c r="F55" s="114"/>
      <c r="G55" s="114"/>
      <c r="H55" s="114"/>
      <c r="I55" s="114"/>
      <c r="J55" s="114"/>
      <c r="K55" s="114"/>
      <c r="L55" s="114"/>
      <c r="M55" s="114"/>
      <c r="N55" s="114"/>
      <c r="O55" s="114"/>
      <c r="P55" s="114"/>
      <c r="Q55" s="114"/>
      <c r="R55" s="114"/>
      <c r="S55" s="114"/>
      <c r="T55" s="114"/>
      <c r="U55" s="114"/>
      <c r="V55" s="114"/>
      <c r="W55" s="114"/>
      <c r="X55" s="114"/>
      <c r="Y55" s="114"/>
      <c r="Z55" s="114"/>
      <c r="AA55" s="114"/>
      <c r="AB55" s="114"/>
      <c r="AC55" s="114"/>
      <c r="AD55" s="114"/>
      <c r="AE55" s="117"/>
      <c r="AF55" s="117"/>
      <c r="AG55" s="117"/>
      <c r="AH55" s="117"/>
      <c r="AI55" s="117"/>
      <c r="AJ55" s="117"/>
      <c r="AK55" s="117"/>
      <c r="AL55" s="117"/>
      <c r="AM55" s="117"/>
      <c r="AN55" s="117"/>
      <c r="AO55" s="117"/>
      <c r="AP55" s="117"/>
      <c r="AQ55" s="117"/>
      <c r="AR55" s="117"/>
      <c r="AS55" s="117"/>
      <c r="AT55" s="117"/>
      <c r="AU55" s="117"/>
      <c r="BD55" s="131"/>
    </row>
    <row r="56" spans="1:56" s="130" customFormat="1" ht="13.5" customHeight="1">
      <c r="A56" s="129"/>
      <c r="B56" s="114"/>
      <c r="C56" s="114"/>
      <c r="D56" s="114"/>
      <c r="E56" s="114"/>
      <c r="F56" s="114" t="s">
        <v>767</v>
      </c>
      <c r="G56" s="114"/>
      <c r="H56" s="114"/>
      <c r="I56" s="114"/>
      <c r="J56" s="114"/>
      <c r="K56" s="114"/>
      <c r="L56" s="114"/>
      <c r="M56" s="114"/>
      <c r="N56" s="114"/>
      <c r="O56" s="114"/>
      <c r="P56" s="114"/>
      <c r="Q56" s="114"/>
      <c r="R56" s="114"/>
      <c r="S56" s="114"/>
      <c r="T56" s="114"/>
      <c r="U56" s="114"/>
      <c r="V56" s="114"/>
      <c r="W56" s="114"/>
      <c r="X56" s="114"/>
      <c r="Y56" s="114"/>
      <c r="Z56" s="114"/>
      <c r="AA56" s="114"/>
      <c r="AB56" s="114"/>
      <c r="AC56" s="114"/>
      <c r="AD56" s="114"/>
      <c r="AE56" s="117"/>
      <c r="AF56" s="117"/>
      <c r="AG56" s="117"/>
      <c r="AH56" s="117"/>
      <c r="AI56" s="117"/>
      <c r="AJ56" s="117"/>
      <c r="AK56" s="117"/>
      <c r="AL56" s="117"/>
      <c r="AM56" s="117"/>
      <c r="AN56" s="117"/>
      <c r="AO56" s="117"/>
      <c r="AP56" s="117"/>
      <c r="AQ56" s="117"/>
      <c r="AR56" s="117"/>
      <c r="AS56" s="117"/>
      <c r="AT56" s="117"/>
      <c r="AU56" s="117"/>
      <c r="BD56" s="131"/>
    </row>
    <row r="57" spans="1:56" s="130" customFormat="1" ht="13.5" customHeight="1">
      <c r="A57" s="129"/>
      <c r="B57" s="114"/>
      <c r="C57" s="114"/>
      <c r="D57" s="114"/>
      <c r="E57" s="114"/>
      <c r="F57" s="114"/>
      <c r="G57" s="114" t="s">
        <v>768</v>
      </c>
      <c r="H57" s="114"/>
      <c r="I57" s="114"/>
      <c r="J57" s="114"/>
      <c r="K57" s="114"/>
      <c r="L57" s="114"/>
      <c r="M57" s="114"/>
      <c r="N57" s="114"/>
      <c r="O57" s="114"/>
      <c r="P57" s="114"/>
      <c r="Q57" s="114"/>
      <c r="R57" s="114"/>
      <c r="S57" s="114"/>
      <c r="T57" s="114"/>
      <c r="U57" s="114"/>
      <c r="V57" s="114"/>
      <c r="W57" s="114"/>
      <c r="X57" s="114"/>
      <c r="Y57" s="114"/>
      <c r="Z57" s="114"/>
      <c r="AA57" s="114"/>
      <c r="AB57" s="114"/>
      <c r="AC57" s="114"/>
      <c r="AD57" s="114"/>
      <c r="AE57" s="117"/>
      <c r="AF57" s="117"/>
      <c r="AG57" s="117"/>
      <c r="AH57" s="117"/>
      <c r="AI57" s="117"/>
      <c r="AJ57" s="117"/>
      <c r="AK57" s="117"/>
      <c r="AL57" s="117"/>
      <c r="AM57" s="117"/>
      <c r="AN57" s="117"/>
      <c r="AO57" s="117"/>
      <c r="AP57" s="117"/>
      <c r="AQ57" s="117"/>
      <c r="AR57" s="117"/>
      <c r="AS57" s="117"/>
      <c r="AT57" s="117"/>
      <c r="AU57" s="117"/>
      <c r="BD57" s="131"/>
    </row>
    <row r="58" spans="1:56" s="130" customFormat="1" ht="13.5" customHeight="1">
      <c r="A58" s="129"/>
      <c r="C58" s="117"/>
      <c r="D58" s="117"/>
      <c r="E58" s="117"/>
      <c r="F58" s="117"/>
      <c r="G58" s="117"/>
      <c r="H58" s="117"/>
      <c r="I58" s="117"/>
      <c r="J58" s="117"/>
      <c r="K58" s="117"/>
      <c r="L58" s="117"/>
      <c r="M58" s="117"/>
      <c r="N58" s="117"/>
      <c r="O58" s="117"/>
      <c r="P58" s="117"/>
      <c r="Q58" s="117"/>
      <c r="R58" s="117"/>
      <c r="S58" s="117"/>
      <c r="T58" s="117"/>
      <c r="U58" s="117"/>
      <c r="V58" s="117"/>
      <c r="W58" s="117"/>
      <c r="X58" s="117"/>
      <c r="Y58" s="117"/>
      <c r="Z58" s="117"/>
      <c r="AA58" s="117"/>
      <c r="AB58" s="117"/>
      <c r="AC58" s="117"/>
      <c r="AD58" s="117"/>
      <c r="AE58" s="117"/>
      <c r="AF58" s="117"/>
      <c r="AG58" s="117"/>
      <c r="AH58" s="117"/>
      <c r="AI58" s="117"/>
      <c r="AJ58" s="117"/>
      <c r="AK58" s="117"/>
      <c r="AL58" s="117"/>
      <c r="AM58" s="117"/>
      <c r="AN58" s="117"/>
      <c r="AO58" s="117"/>
      <c r="AP58" s="117"/>
      <c r="AQ58" s="117"/>
      <c r="AR58" s="117"/>
      <c r="AS58" s="117"/>
      <c r="AT58" s="117"/>
      <c r="AU58" s="117"/>
      <c r="BD58" s="131"/>
    </row>
    <row r="59" spans="1:56" s="130" customFormat="1" ht="13.5" customHeight="1">
      <c r="A59" s="129"/>
      <c r="C59" s="114" t="s">
        <v>769</v>
      </c>
      <c r="D59" s="114"/>
      <c r="E59" s="114"/>
      <c r="F59" s="114"/>
      <c r="G59" s="114"/>
      <c r="H59" s="114"/>
      <c r="I59" s="114"/>
      <c r="J59" s="114"/>
      <c r="K59" s="114"/>
      <c r="L59" s="114"/>
      <c r="M59" s="114"/>
      <c r="N59" s="114"/>
      <c r="O59" s="114"/>
      <c r="P59" s="114"/>
      <c r="Q59" s="114"/>
      <c r="R59" s="114"/>
      <c r="S59" s="114"/>
      <c r="T59" s="114"/>
      <c r="U59" s="114"/>
      <c r="V59" s="114"/>
      <c r="W59" s="114"/>
      <c r="X59" s="114"/>
      <c r="Y59" s="114"/>
      <c r="Z59" s="114"/>
      <c r="AA59" s="114"/>
      <c r="AB59" s="114"/>
      <c r="AC59" s="114"/>
      <c r="AD59" s="114"/>
      <c r="AE59" s="114"/>
      <c r="AF59" s="114"/>
      <c r="AG59" s="114"/>
      <c r="AH59" s="114"/>
      <c r="AI59" s="114"/>
      <c r="AJ59" s="114"/>
      <c r="AK59" s="114"/>
      <c r="AL59" s="114"/>
      <c r="AM59" s="114"/>
      <c r="AN59" s="114"/>
      <c r="AO59" s="114"/>
      <c r="AP59" s="114"/>
      <c r="AQ59" s="114"/>
      <c r="AR59" s="114"/>
      <c r="AS59" s="114"/>
      <c r="AT59" s="114"/>
      <c r="AU59" s="114"/>
      <c r="AV59" s="114"/>
      <c r="AW59" s="114"/>
      <c r="BD59" s="131"/>
    </row>
    <row r="60" spans="1:56" s="130" customFormat="1" ht="13.5" customHeight="1">
      <c r="A60" s="129"/>
      <c r="C60" s="114"/>
      <c r="D60" s="114" t="s">
        <v>770</v>
      </c>
      <c r="E60" s="114"/>
      <c r="F60" s="114"/>
      <c r="G60" s="114"/>
      <c r="H60" s="114"/>
      <c r="I60" s="114"/>
      <c r="J60" s="114"/>
      <c r="K60" s="114"/>
      <c r="L60" s="114"/>
      <c r="M60" s="114"/>
      <c r="N60" s="114"/>
      <c r="O60" s="114"/>
      <c r="P60" s="114"/>
      <c r="Q60" s="114"/>
      <c r="R60" s="114"/>
      <c r="S60" s="114"/>
      <c r="T60" s="114"/>
      <c r="U60" s="114"/>
      <c r="V60" s="114"/>
      <c r="W60" s="114"/>
      <c r="X60" s="114"/>
      <c r="Y60" s="114"/>
      <c r="Z60" s="114"/>
      <c r="AA60" s="114"/>
      <c r="AB60" s="114"/>
      <c r="AC60" s="114"/>
      <c r="AD60" s="114"/>
      <c r="AE60" s="114"/>
      <c r="AF60" s="114"/>
      <c r="AG60" s="114"/>
      <c r="AH60" s="114"/>
      <c r="AI60" s="114"/>
      <c r="AJ60" s="114"/>
      <c r="AK60" s="114"/>
      <c r="AL60" s="114"/>
      <c r="AM60" s="114"/>
      <c r="AN60" s="114"/>
      <c r="AO60" s="114"/>
      <c r="AP60" s="114"/>
      <c r="AQ60" s="114"/>
      <c r="AR60" s="114"/>
      <c r="AS60" s="114"/>
      <c r="AT60" s="114"/>
      <c r="AU60" s="114"/>
      <c r="AV60" s="114"/>
      <c r="AW60" s="114"/>
      <c r="BD60" s="131"/>
    </row>
    <row r="61" spans="1:56" s="130" customFormat="1" ht="13.5" customHeight="1">
      <c r="A61" s="129"/>
      <c r="C61" s="114"/>
      <c r="D61" s="114"/>
      <c r="E61" s="114"/>
      <c r="F61" s="114"/>
      <c r="G61" s="114"/>
      <c r="H61" s="114"/>
      <c r="I61" s="114"/>
      <c r="J61" s="114"/>
      <c r="K61" s="114"/>
      <c r="L61" s="114"/>
      <c r="M61" s="114"/>
      <c r="N61" s="114"/>
      <c r="O61" s="114"/>
      <c r="P61" s="114"/>
      <c r="Q61" s="114"/>
      <c r="R61" s="114"/>
      <c r="S61" s="114"/>
      <c r="T61" s="114"/>
      <c r="U61" s="114"/>
      <c r="V61" s="114"/>
      <c r="W61" s="114"/>
      <c r="X61" s="114"/>
      <c r="Y61" s="114"/>
      <c r="Z61" s="114"/>
      <c r="AA61" s="114"/>
      <c r="AB61" s="114"/>
      <c r="AC61" s="114"/>
      <c r="AD61" s="114"/>
      <c r="AE61" s="114"/>
      <c r="AF61" s="114"/>
      <c r="AG61" s="114"/>
      <c r="AH61" s="114"/>
      <c r="AI61" s="114"/>
      <c r="AJ61" s="114"/>
      <c r="AK61" s="114"/>
      <c r="AL61" s="114"/>
      <c r="AM61" s="114"/>
      <c r="AN61" s="114"/>
      <c r="AO61" s="114"/>
      <c r="AP61" s="114"/>
      <c r="AQ61" s="114"/>
      <c r="AR61" s="114"/>
      <c r="AS61" s="114"/>
      <c r="AT61" s="114"/>
      <c r="AU61" s="114"/>
      <c r="AV61" s="114"/>
      <c r="AW61" s="114"/>
      <c r="BD61" s="131"/>
    </row>
    <row r="62" spans="1:56" s="130" customFormat="1" ht="13.5" customHeight="1">
      <c r="A62" s="129"/>
      <c r="C62" s="114"/>
      <c r="D62" s="117" t="s">
        <v>771</v>
      </c>
      <c r="E62" s="114"/>
      <c r="F62" s="114"/>
      <c r="G62" s="114"/>
      <c r="H62" s="114"/>
      <c r="I62" s="114"/>
      <c r="J62" s="114"/>
      <c r="K62" s="114"/>
      <c r="L62" s="114"/>
      <c r="M62" s="114"/>
      <c r="N62" s="114"/>
      <c r="O62" s="114"/>
      <c r="P62" s="114"/>
      <c r="Q62" s="114"/>
      <c r="R62" s="114"/>
      <c r="S62" s="114"/>
      <c r="T62" s="114"/>
      <c r="U62" s="114"/>
      <c r="V62" s="114"/>
      <c r="W62" s="114"/>
      <c r="X62" s="114"/>
      <c r="Y62" s="114"/>
      <c r="Z62" s="114"/>
      <c r="AA62" s="114"/>
      <c r="AB62" s="114"/>
      <c r="AC62" s="114"/>
      <c r="AD62" s="114"/>
      <c r="AE62" s="114"/>
      <c r="AF62" s="114"/>
      <c r="AG62" s="114"/>
      <c r="AH62" s="114"/>
      <c r="AI62" s="114"/>
      <c r="AJ62" s="114"/>
      <c r="AK62" s="114"/>
      <c r="AL62" s="114"/>
      <c r="AM62" s="114"/>
      <c r="AN62" s="114"/>
      <c r="AO62" s="114"/>
      <c r="AP62" s="114"/>
      <c r="AQ62" s="114"/>
      <c r="AR62" s="114"/>
      <c r="AS62" s="114"/>
      <c r="AT62" s="114"/>
      <c r="AU62" s="114"/>
      <c r="AV62" s="114"/>
      <c r="AW62" s="114"/>
      <c r="BD62" s="131"/>
    </row>
    <row r="63" spans="1:56" s="130" customFormat="1" ht="13.5" customHeight="1">
      <c r="A63" s="129"/>
      <c r="C63" s="114"/>
      <c r="D63" s="114"/>
      <c r="E63" s="114"/>
      <c r="F63" s="107" t="s">
        <v>710</v>
      </c>
      <c r="G63" s="114"/>
      <c r="H63" s="114"/>
      <c r="I63" s="114"/>
      <c r="J63" s="114"/>
      <c r="K63" s="114"/>
      <c r="L63" s="114"/>
      <c r="M63" s="114"/>
      <c r="N63" s="114"/>
      <c r="O63" s="114"/>
      <c r="P63" s="114"/>
      <c r="Q63" s="114"/>
      <c r="R63" s="114"/>
      <c r="S63" s="114"/>
      <c r="T63" s="114"/>
      <c r="U63" s="114"/>
      <c r="V63" s="114"/>
      <c r="W63" s="114"/>
      <c r="X63" s="114"/>
      <c r="Y63" s="114"/>
      <c r="Z63" s="107" t="s">
        <v>550</v>
      </c>
      <c r="AA63" s="114"/>
      <c r="AB63" s="114"/>
      <c r="AC63" s="114"/>
      <c r="AD63" s="114"/>
      <c r="AE63" s="114"/>
      <c r="AF63" s="114"/>
      <c r="AG63" s="114"/>
      <c r="AH63" s="114"/>
      <c r="AI63" s="114"/>
      <c r="AJ63" s="114"/>
      <c r="AK63" s="114"/>
      <c r="AL63" s="114"/>
      <c r="AM63" s="114"/>
      <c r="AN63" s="114"/>
      <c r="AO63" s="114"/>
      <c r="AP63" s="114"/>
      <c r="AQ63" s="114"/>
      <c r="AR63" s="114"/>
      <c r="AS63" s="114"/>
      <c r="AT63" s="114"/>
      <c r="AU63" s="114"/>
      <c r="AV63" s="114"/>
      <c r="AW63" s="114"/>
      <c r="BD63" s="131"/>
    </row>
    <row r="64" spans="1:56" s="130" customFormat="1" ht="13.5" customHeight="1">
      <c r="A64" s="129"/>
      <c r="C64" s="114"/>
      <c r="D64" s="114"/>
      <c r="E64" s="114"/>
      <c r="F64" s="145" t="s">
        <v>772</v>
      </c>
      <c r="G64" s="146"/>
      <c r="H64" s="147" t="s">
        <v>737</v>
      </c>
      <c r="I64" s="148"/>
      <c r="J64" s="149"/>
      <c r="K64" s="148"/>
      <c r="L64" s="148"/>
      <c r="M64" s="148"/>
      <c r="N64" s="150"/>
      <c r="O64" s="148"/>
      <c r="P64" s="148"/>
      <c r="Q64" s="147" t="s">
        <v>551</v>
      </c>
      <c r="R64" s="148"/>
      <c r="S64" s="148"/>
      <c r="T64" s="148"/>
      <c r="U64" s="150"/>
      <c r="V64" s="114"/>
      <c r="W64" s="114"/>
      <c r="X64" s="114"/>
      <c r="Y64" s="114"/>
      <c r="Z64" s="145" t="s">
        <v>772</v>
      </c>
      <c r="AA64" s="149"/>
      <c r="AB64" s="145" t="s">
        <v>551</v>
      </c>
      <c r="AC64" s="151"/>
      <c r="AD64" s="149"/>
      <c r="AE64" s="149"/>
      <c r="AF64" s="149"/>
      <c r="AG64" s="152" t="s">
        <v>728</v>
      </c>
      <c r="AH64" s="149"/>
      <c r="AI64" s="151"/>
      <c r="AJ64" s="149"/>
      <c r="AK64" s="146"/>
      <c r="AL64" s="152" t="s">
        <v>101</v>
      </c>
      <c r="AM64" s="149"/>
      <c r="AN64" s="149"/>
      <c r="AO64" s="149"/>
      <c r="AP64" s="146"/>
      <c r="AQ64" s="151" t="s">
        <v>732</v>
      </c>
      <c r="AR64" s="149"/>
      <c r="AS64" s="149"/>
      <c r="AT64" s="149"/>
      <c r="AU64" s="149"/>
      <c r="AV64" s="149"/>
      <c r="AW64" s="151"/>
      <c r="AX64" s="153"/>
      <c r="BD64" s="131"/>
    </row>
    <row r="65" spans="1:56" s="117" customFormat="1" ht="14.1" customHeight="1">
      <c r="A65" s="115"/>
      <c r="B65" s="154"/>
      <c r="C65" s="114"/>
      <c r="D65" s="114"/>
      <c r="E65" s="114"/>
      <c r="F65" s="155">
        <v>1</v>
      </c>
      <c r="G65" s="156"/>
      <c r="H65" s="157" t="s">
        <v>773</v>
      </c>
      <c r="I65" s="158"/>
      <c r="J65" s="158"/>
      <c r="K65" s="158"/>
      <c r="L65" s="158"/>
      <c r="M65" s="158"/>
      <c r="N65" s="159"/>
      <c r="O65" s="160" t="s">
        <v>774</v>
      </c>
      <c r="P65" s="158"/>
      <c r="Q65" s="161"/>
      <c r="R65" s="162" t="s">
        <v>775</v>
      </c>
      <c r="S65" s="158"/>
      <c r="T65" s="158"/>
      <c r="U65" s="159"/>
      <c r="V65" s="114"/>
      <c r="W65" s="114"/>
      <c r="X65" s="114"/>
      <c r="Y65" s="114"/>
      <c r="Z65" s="155">
        <v>1</v>
      </c>
      <c r="AA65" s="156"/>
      <c r="AB65" s="155"/>
      <c r="AC65" s="163" t="s">
        <v>776</v>
      </c>
      <c r="AD65" s="156"/>
      <c r="AE65" s="156"/>
      <c r="AF65" s="156"/>
      <c r="AG65" s="164" t="s">
        <v>777</v>
      </c>
      <c r="AH65" s="156"/>
      <c r="AI65" s="156"/>
      <c r="AJ65" s="156"/>
      <c r="AK65" s="165"/>
      <c r="AL65" s="155" t="s">
        <v>778</v>
      </c>
      <c r="AM65" s="156"/>
      <c r="AN65" s="156"/>
      <c r="AO65" s="156"/>
      <c r="AP65" s="165"/>
      <c r="AQ65" s="163" t="s">
        <v>779</v>
      </c>
      <c r="AR65" s="156"/>
      <c r="AS65" s="156"/>
      <c r="AT65" s="156"/>
      <c r="AU65" s="156"/>
      <c r="AV65" s="156"/>
      <c r="AW65" s="156"/>
      <c r="AX65" s="165"/>
      <c r="BD65" s="116"/>
    </row>
    <row r="66" spans="1:56" s="130" customFormat="1" ht="13.5" customHeight="1">
      <c r="A66" s="129"/>
      <c r="C66" s="114"/>
      <c r="D66" s="114"/>
      <c r="E66" s="114"/>
      <c r="F66" s="155">
        <v>2</v>
      </c>
      <c r="G66" s="156"/>
      <c r="H66" s="157" t="s">
        <v>780</v>
      </c>
      <c r="I66" s="158"/>
      <c r="J66" s="158"/>
      <c r="K66" s="158"/>
      <c r="L66" s="158"/>
      <c r="M66" s="158"/>
      <c r="N66" s="159"/>
      <c r="O66" s="160" t="s">
        <v>774</v>
      </c>
      <c r="P66" s="158"/>
      <c r="Q66" s="161"/>
      <c r="R66" s="162" t="s">
        <v>781</v>
      </c>
      <c r="S66" s="158"/>
      <c r="T66" s="158"/>
      <c r="U66" s="159"/>
      <c r="V66" s="114"/>
      <c r="W66" s="114"/>
      <c r="X66" s="114"/>
      <c r="Y66" s="114"/>
      <c r="Z66" s="155">
        <v>2</v>
      </c>
      <c r="AA66" s="158"/>
      <c r="AB66" s="166"/>
      <c r="AC66" s="167" t="s">
        <v>776</v>
      </c>
      <c r="AD66" s="168"/>
      <c r="AE66" s="168"/>
      <c r="AF66" s="168"/>
      <c r="AG66" s="169" t="s">
        <v>782</v>
      </c>
      <c r="AH66" s="168"/>
      <c r="AI66" s="168"/>
      <c r="AJ66" s="168"/>
      <c r="AK66" s="170"/>
      <c r="AL66" s="171" t="s">
        <v>783</v>
      </c>
      <c r="AM66" s="168"/>
      <c r="AN66" s="168"/>
      <c r="AO66" s="172"/>
      <c r="AP66" s="170"/>
      <c r="AQ66" s="167" t="s">
        <v>784</v>
      </c>
      <c r="AR66" s="168"/>
      <c r="AS66" s="168"/>
      <c r="AT66" s="168"/>
      <c r="AU66" s="168"/>
      <c r="AV66" s="172"/>
      <c r="AW66" s="168"/>
      <c r="AX66" s="173"/>
      <c r="BD66" s="131"/>
    </row>
    <row r="67" spans="1:56" s="130" customFormat="1" ht="13.5" customHeight="1">
      <c r="A67" s="129"/>
      <c r="C67" s="114"/>
      <c r="D67" s="114"/>
      <c r="E67" s="114"/>
      <c r="F67" s="155">
        <v>3</v>
      </c>
      <c r="G67" s="156"/>
      <c r="H67" s="161"/>
      <c r="I67" s="158"/>
      <c r="J67" s="158"/>
      <c r="K67" s="158"/>
      <c r="L67" s="158"/>
      <c r="M67" s="158"/>
      <c r="N67" s="159"/>
      <c r="O67" s="158"/>
      <c r="P67" s="158"/>
      <c r="Q67" s="161"/>
      <c r="R67" s="158"/>
      <c r="S67" s="158"/>
      <c r="T67" s="158"/>
      <c r="U67" s="159"/>
      <c r="V67" s="114"/>
      <c r="W67" s="114"/>
      <c r="X67" s="114"/>
      <c r="Y67" s="114"/>
      <c r="Z67" s="155">
        <v>3</v>
      </c>
      <c r="AA67" s="158"/>
      <c r="AB67" s="174"/>
      <c r="AC67" s="163" t="s">
        <v>785</v>
      </c>
      <c r="AD67" s="156"/>
      <c r="AE67" s="156"/>
      <c r="AF67" s="156"/>
      <c r="AG67" s="164" t="s">
        <v>786</v>
      </c>
      <c r="AH67" s="156"/>
      <c r="AI67" s="156"/>
      <c r="AJ67" s="156"/>
      <c r="AK67" s="165"/>
      <c r="AL67" s="155" t="s">
        <v>787</v>
      </c>
      <c r="AM67" s="156"/>
      <c r="AN67" s="156"/>
      <c r="AO67" s="158"/>
      <c r="AP67" s="165"/>
      <c r="AQ67" s="163" t="s">
        <v>788</v>
      </c>
      <c r="AR67" s="156"/>
      <c r="AS67" s="156"/>
      <c r="AT67" s="156"/>
      <c r="AU67" s="156"/>
      <c r="AV67" s="158"/>
      <c r="AW67" s="156"/>
      <c r="AX67" s="159"/>
      <c r="BD67" s="131"/>
    </row>
    <row r="68" spans="1:56" s="117" customFormat="1" ht="14.1" customHeight="1">
      <c r="A68" s="115"/>
      <c r="B68" s="154"/>
      <c r="W68" s="114"/>
      <c r="X68" s="114"/>
      <c r="Y68" s="114"/>
      <c r="Z68" s="155">
        <v>4</v>
      </c>
      <c r="AA68" s="158"/>
      <c r="AB68" s="166"/>
      <c r="AC68" s="167" t="s">
        <v>785</v>
      </c>
      <c r="AD68" s="168"/>
      <c r="AE68" s="168"/>
      <c r="AF68" s="168"/>
      <c r="AG68" s="169" t="s">
        <v>789</v>
      </c>
      <c r="AH68" s="168"/>
      <c r="AI68" s="168"/>
      <c r="AJ68" s="168"/>
      <c r="AK68" s="170"/>
      <c r="AL68" s="171" t="s">
        <v>790</v>
      </c>
      <c r="AM68" s="168"/>
      <c r="AN68" s="168"/>
      <c r="AO68" s="172"/>
      <c r="AP68" s="170"/>
      <c r="AQ68" s="167" t="s">
        <v>791</v>
      </c>
      <c r="AR68" s="168"/>
      <c r="AS68" s="168"/>
      <c r="AT68" s="168"/>
      <c r="AU68" s="168"/>
      <c r="AV68" s="172"/>
      <c r="AW68" s="168"/>
      <c r="AX68" s="173"/>
      <c r="BD68" s="116"/>
    </row>
    <row r="69" spans="1:56" s="130" customFormat="1" ht="13.5" customHeight="1">
      <c r="A69" s="129"/>
      <c r="C69" s="114"/>
      <c r="D69" s="114"/>
      <c r="E69" s="114"/>
      <c r="F69" s="114"/>
      <c r="G69" s="114"/>
      <c r="H69" s="114"/>
      <c r="I69" s="114"/>
      <c r="J69" s="114"/>
      <c r="K69" s="114"/>
      <c r="L69" s="114"/>
      <c r="M69" s="114"/>
      <c r="N69" s="114"/>
      <c r="O69" s="114"/>
      <c r="P69" s="114"/>
      <c r="Q69" s="114"/>
      <c r="R69" s="114"/>
      <c r="S69" s="114"/>
      <c r="T69" s="114"/>
      <c r="U69" s="114"/>
      <c r="V69" s="114"/>
      <c r="W69" s="114"/>
      <c r="X69" s="114"/>
      <c r="Y69" s="114"/>
      <c r="Z69" s="155">
        <v>5</v>
      </c>
      <c r="AA69" s="158"/>
      <c r="AB69" s="174"/>
      <c r="AC69" s="163" t="s">
        <v>792</v>
      </c>
      <c r="AD69" s="156"/>
      <c r="AE69" s="156"/>
      <c r="AF69" s="156"/>
      <c r="AG69" s="164" t="s">
        <v>786</v>
      </c>
      <c r="AH69" s="156"/>
      <c r="AI69" s="156"/>
      <c r="AJ69" s="156"/>
      <c r="AK69" s="165"/>
      <c r="AL69" s="155" t="s">
        <v>793</v>
      </c>
      <c r="AM69" s="156"/>
      <c r="AN69" s="156"/>
      <c r="AO69" s="158"/>
      <c r="AP69" s="165"/>
      <c r="AQ69" s="163" t="s">
        <v>794</v>
      </c>
      <c r="AR69" s="156"/>
      <c r="AS69" s="156"/>
      <c r="AT69" s="156"/>
      <c r="AU69" s="156"/>
      <c r="AV69" s="158"/>
      <c r="AW69" s="156"/>
      <c r="AX69" s="159"/>
      <c r="BD69" s="131"/>
    </row>
    <row r="70" spans="1:56" s="130" customFormat="1" ht="13.5" customHeight="1">
      <c r="A70" s="129"/>
      <c r="C70" s="107"/>
      <c r="D70" s="107"/>
      <c r="E70" s="114"/>
      <c r="F70" s="114"/>
      <c r="G70" s="114"/>
      <c r="H70" s="114"/>
      <c r="I70" s="114"/>
      <c r="J70" s="114"/>
      <c r="K70" s="114"/>
      <c r="L70" s="114"/>
      <c r="M70" s="114"/>
      <c r="N70" s="114"/>
      <c r="O70" s="114"/>
      <c r="P70" s="114"/>
      <c r="Q70" s="114"/>
      <c r="R70" s="114"/>
      <c r="S70" s="114"/>
      <c r="T70" s="114"/>
      <c r="U70" s="114"/>
      <c r="V70" s="114"/>
      <c r="W70" s="114"/>
      <c r="X70" s="114"/>
      <c r="Y70" s="107"/>
      <c r="Z70" s="107"/>
      <c r="AA70" s="107"/>
      <c r="AB70" s="107" t="s">
        <v>795</v>
      </c>
      <c r="AC70" s="117"/>
      <c r="AD70" s="117"/>
      <c r="AE70" s="117"/>
      <c r="AF70" s="117"/>
      <c r="AG70" s="117"/>
      <c r="AH70" s="117"/>
      <c r="AI70" s="117"/>
      <c r="AJ70" s="117"/>
      <c r="AK70" s="117"/>
      <c r="AL70" s="117"/>
      <c r="AM70" s="117"/>
      <c r="AN70" s="117"/>
      <c r="AO70" s="117"/>
      <c r="BD70" s="131"/>
    </row>
    <row r="71" spans="1:56" s="130" customFormat="1" ht="13.5" customHeight="1">
      <c r="A71" s="129"/>
      <c r="C71" s="114"/>
      <c r="D71" s="114"/>
      <c r="E71" s="114"/>
      <c r="F71" s="114"/>
      <c r="G71" s="114"/>
      <c r="H71" s="114"/>
      <c r="I71" s="114"/>
      <c r="J71" s="114"/>
      <c r="K71" s="114"/>
      <c r="L71" s="114"/>
      <c r="M71" s="114"/>
      <c r="N71" s="114"/>
      <c r="O71" s="114"/>
      <c r="P71" s="114"/>
      <c r="Q71" s="114"/>
      <c r="R71" s="114"/>
      <c r="S71" s="114"/>
      <c r="T71" s="114"/>
      <c r="U71" s="114"/>
      <c r="V71" s="114"/>
      <c r="W71" s="114"/>
      <c r="X71" s="114"/>
      <c r="Y71" s="114"/>
      <c r="Z71" s="114"/>
      <c r="AA71" s="114"/>
      <c r="AB71" s="114"/>
      <c r="AC71" s="114"/>
      <c r="AD71" s="114"/>
      <c r="AE71" s="114"/>
      <c r="AF71" s="114"/>
      <c r="AG71" s="114"/>
      <c r="AH71" s="114"/>
      <c r="AI71" s="114"/>
      <c r="AJ71" s="114"/>
      <c r="AK71" s="114"/>
      <c r="AL71" s="114"/>
      <c r="AM71" s="114"/>
      <c r="AN71" s="114"/>
      <c r="AO71" s="114"/>
      <c r="AW71" s="114"/>
      <c r="BD71" s="131"/>
    </row>
    <row r="72" spans="1:56" s="117" customFormat="1" ht="14.1" customHeight="1">
      <c r="A72" s="115"/>
      <c r="B72" s="154"/>
      <c r="E72" s="114"/>
      <c r="F72" s="114"/>
      <c r="G72" s="114"/>
      <c r="H72" s="114"/>
      <c r="I72" s="114"/>
      <c r="J72" s="114"/>
      <c r="K72" s="114"/>
      <c r="L72" s="114"/>
      <c r="M72" s="114"/>
      <c r="N72" s="114"/>
      <c r="O72" s="114"/>
      <c r="P72" s="114"/>
      <c r="Q72" s="114"/>
      <c r="R72" s="114"/>
      <c r="S72" s="114"/>
      <c r="T72" s="114"/>
      <c r="U72" s="114"/>
      <c r="V72" s="114"/>
      <c r="W72" s="114"/>
      <c r="X72" s="114"/>
      <c r="BD72" s="116"/>
    </row>
    <row r="73" spans="1:56" s="117" customFormat="1" ht="14.1" customHeight="1">
      <c r="A73" s="115"/>
      <c r="B73" s="154"/>
      <c r="BD73" s="116"/>
    </row>
    <row r="74" spans="1:56" s="117" customFormat="1" ht="14.1" customHeight="1">
      <c r="A74" s="115"/>
      <c r="B74" s="154"/>
      <c r="BD74" s="116"/>
    </row>
    <row r="75" spans="1:56" s="117" customFormat="1" ht="14.1" customHeight="1">
      <c r="A75" s="115"/>
      <c r="B75" s="154"/>
      <c r="BD75" s="116"/>
    </row>
    <row r="76" spans="1:56" ht="13.5" customHeight="1">
      <c r="A76" s="175"/>
      <c r="B76" s="134"/>
      <c r="C76" s="134"/>
      <c r="D76" s="134"/>
      <c r="E76" s="134"/>
      <c r="F76" s="134"/>
      <c r="G76" s="134"/>
      <c r="H76" s="134"/>
      <c r="I76" s="134"/>
      <c r="J76" s="134"/>
      <c r="K76" s="134"/>
      <c r="L76" s="134"/>
      <c r="M76" s="134"/>
      <c r="N76" s="134"/>
      <c r="O76" s="134"/>
      <c r="P76" s="134"/>
      <c r="Q76" s="134"/>
      <c r="R76" s="134"/>
      <c r="S76" s="134"/>
      <c r="T76" s="134"/>
      <c r="U76" s="134"/>
      <c r="V76" s="134"/>
      <c r="W76" s="134"/>
      <c r="X76" s="134"/>
      <c r="Y76" s="134"/>
      <c r="Z76" s="134"/>
      <c r="AA76" s="134"/>
      <c r="AB76" s="134"/>
      <c r="AC76" s="134"/>
      <c r="AD76" s="134"/>
      <c r="AE76" s="134"/>
      <c r="AF76" s="134"/>
      <c r="AG76" s="134"/>
      <c r="AH76" s="134"/>
      <c r="AI76" s="134"/>
      <c r="AJ76" s="134"/>
      <c r="AK76" s="134"/>
      <c r="AL76" s="134"/>
      <c r="AM76" s="134"/>
      <c r="AN76" s="134"/>
      <c r="AO76" s="134"/>
      <c r="AP76" s="134"/>
      <c r="AQ76" s="134"/>
      <c r="AR76" s="134"/>
      <c r="AS76" s="134"/>
      <c r="AT76" s="134"/>
      <c r="AU76" s="134"/>
      <c r="AV76" s="134"/>
      <c r="AW76" s="134"/>
      <c r="AX76" s="134"/>
      <c r="AY76" s="134"/>
      <c r="AZ76" s="134"/>
      <c r="BA76" s="134"/>
      <c r="BB76" s="134"/>
      <c r="BC76" s="134"/>
      <c r="BD76" s="176"/>
    </row>
    <row r="77" spans="1:56" ht="13.5" customHeight="1">
      <c r="A77" s="111"/>
      <c r="BD77" s="113"/>
    </row>
    <row r="78" spans="1:56" s="117" customFormat="1" ht="14.1" customHeight="1">
      <c r="A78" s="115"/>
      <c r="F78" s="107" t="s">
        <v>715</v>
      </c>
      <c r="L78" s="130"/>
      <c r="M78" s="130"/>
      <c r="N78" s="130"/>
      <c r="O78" s="130"/>
      <c r="P78" s="130"/>
      <c r="Q78" s="130"/>
      <c r="R78" s="130"/>
      <c r="S78" s="130"/>
      <c r="T78" s="107" t="s">
        <v>716</v>
      </c>
      <c r="U78" s="114"/>
      <c r="V78" s="114"/>
      <c r="W78" s="114"/>
      <c r="X78" s="114"/>
      <c r="Y78" s="114"/>
      <c r="Z78" s="114"/>
      <c r="AA78" s="114"/>
      <c r="AB78" s="114"/>
      <c r="AC78" s="107"/>
      <c r="AD78" s="107"/>
      <c r="AF78" s="114"/>
      <c r="AG78" s="114"/>
      <c r="AT78" s="107" t="s">
        <v>557</v>
      </c>
      <c r="BD78" s="116"/>
    </row>
    <row r="79" spans="1:56" s="130" customFormat="1" ht="13.5" customHeight="1">
      <c r="A79" s="129"/>
      <c r="B79" s="117"/>
      <c r="C79" s="117"/>
      <c r="D79" s="117"/>
      <c r="E79" s="117"/>
      <c r="F79" s="145" t="s">
        <v>772</v>
      </c>
      <c r="G79" s="149"/>
      <c r="H79" s="328" t="s">
        <v>732</v>
      </c>
      <c r="I79" s="329"/>
      <c r="J79" s="329"/>
      <c r="K79" s="329"/>
      <c r="L79" s="329"/>
      <c r="M79" s="330"/>
      <c r="N79" s="152" t="s">
        <v>730</v>
      </c>
      <c r="O79" s="149"/>
      <c r="P79" s="149"/>
      <c r="Q79" s="146"/>
      <c r="T79" s="145" t="s">
        <v>772</v>
      </c>
      <c r="U79" s="149"/>
      <c r="V79" s="152" t="s">
        <v>531</v>
      </c>
      <c r="W79" s="151"/>
      <c r="X79" s="177"/>
      <c r="Y79" s="152" t="s">
        <v>533</v>
      </c>
      <c r="Z79" s="149"/>
      <c r="AA79" s="151"/>
      <c r="AB79" s="152" t="s">
        <v>536</v>
      </c>
      <c r="AC79" s="149"/>
      <c r="AD79" s="152" t="s">
        <v>101</v>
      </c>
      <c r="AE79" s="151"/>
      <c r="AF79" s="149"/>
      <c r="AG79" s="149"/>
      <c r="AH79" s="149"/>
      <c r="AI79" s="152" t="s">
        <v>796</v>
      </c>
      <c r="AJ79" s="151"/>
      <c r="AK79" s="149"/>
      <c r="AL79" s="149"/>
      <c r="AM79" s="152" t="s">
        <v>543</v>
      </c>
      <c r="AN79" s="149"/>
      <c r="AO79" s="149"/>
      <c r="AP79" s="149"/>
      <c r="AQ79" s="146"/>
      <c r="AR79" s="117"/>
      <c r="AS79" s="117"/>
      <c r="AT79" s="145" t="s">
        <v>772</v>
      </c>
      <c r="AU79" s="148"/>
      <c r="AV79" s="152" t="s">
        <v>533</v>
      </c>
      <c r="AW79" s="149"/>
      <c r="AX79" s="149"/>
      <c r="AY79" s="152" t="s">
        <v>101</v>
      </c>
      <c r="AZ79" s="149"/>
      <c r="BA79" s="149"/>
      <c r="BB79" s="178"/>
      <c r="BD79" s="131"/>
    </row>
    <row r="80" spans="1:56" s="130" customFormat="1" ht="13.5" customHeight="1">
      <c r="A80" s="129"/>
      <c r="B80" s="117"/>
      <c r="C80" s="117"/>
      <c r="D80" s="117"/>
      <c r="E80" s="117"/>
      <c r="F80" s="155">
        <v>1</v>
      </c>
      <c r="G80" s="156"/>
      <c r="H80" s="164" t="s">
        <v>779</v>
      </c>
      <c r="I80" s="156"/>
      <c r="J80" s="156"/>
      <c r="K80" s="156"/>
      <c r="L80" s="156"/>
      <c r="M80" s="156"/>
      <c r="N80" s="164" t="s">
        <v>779</v>
      </c>
      <c r="O80" s="156"/>
      <c r="P80" s="156"/>
      <c r="Q80" s="165"/>
      <c r="T80" s="155">
        <v>1</v>
      </c>
      <c r="U80" s="156"/>
      <c r="V80" s="164" t="s">
        <v>779</v>
      </c>
      <c r="W80" s="156"/>
      <c r="X80" s="156"/>
      <c r="Y80" s="164" t="s">
        <v>779</v>
      </c>
      <c r="Z80" s="156"/>
      <c r="AA80" s="179"/>
      <c r="AB80" s="164" t="s">
        <v>797</v>
      </c>
      <c r="AC80" s="156"/>
      <c r="AD80" s="155" t="s">
        <v>798</v>
      </c>
      <c r="AE80" s="163"/>
      <c r="AF80" s="156"/>
      <c r="AG80" s="156"/>
      <c r="AH80" s="156"/>
      <c r="AI80" s="155">
        <v>0</v>
      </c>
      <c r="AJ80" s="156"/>
      <c r="AK80" s="156"/>
      <c r="AL80" s="156"/>
      <c r="AM80" s="164" t="s">
        <v>799</v>
      </c>
      <c r="AN80" s="156"/>
      <c r="AO80" s="156"/>
      <c r="AP80" s="156"/>
      <c r="AQ80" s="165"/>
      <c r="AR80" s="117"/>
      <c r="AS80" s="117"/>
      <c r="AT80" s="155">
        <v>1</v>
      </c>
      <c r="AU80" s="156"/>
      <c r="AV80" s="180" t="s">
        <v>779</v>
      </c>
      <c r="AW80" s="168"/>
      <c r="AX80" s="168"/>
      <c r="AY80" s="171" t="s">
        <v>800</v>
      </c>
      <c r="AZ80" s="168"/>
      <c r="BA80" s="168"/>
      <c r="BB80" s="170"/>
      <c r="BD80" s="131"/>
    </row>
    <row r="81" spans="1:56" s="130" customFormat="1" ht="13.5" customHeight="1">
      <c r="A81" s="129"/>
      <c r="B81" s="117"/>
      <c r="C81" s="117"/>
      <c r="D81" s="117"/>
      <c r="E81" s="117"/>
      <c r="F81" s="155">
        <v>2</v>
      </c>
      <c r="G81" s="156"/>
      <c r="H81" s="164" t="s">
        <v>801</v>
      </c>
      <c r="I81" s="156"/>
      <c r="J81" s="156"/>
      <c r="K81" s="156"/>
      <c r="L81" s="156"/>
      <c r="M81" s="156"/>
      <c r="N81" s="164" t="s">
        <v>788</v>
      </c>
      <c r="O81" s="156"/>
      <c r="P81" s="156"/>
      <c r="Q81" s="159"/>
      <c r="T81" s="155">
        <v>2</v>
      </c>
      <c r="U81" s="156"/>
      <c r="V81" s="164" t="s">
        <v>801</v>
      </c>
      <c r="W81" s="156"/>
      <c r="X81" s="156"/>
      <c r="Y81" s="164" t="s">
        <v>788</v>
      </c>
      <c r="Z81" s="156"/>
      <c r="AA81" s="179"/>
      <c r="AB81" s="164" t="s">
        <v>797</v>
      </c>
      <c r="AC81" s="156"/>
      <c r="AD81" s="155" t="s">
        <v>802</v>
      </c>
      <c r="AE81" s="163"/>
      <c r="AF81" s="156"/>
      <c r="AG81" s="156"/>
      <c r="AH81" s="156"/>
      <c r="AI81" s="155">
        <v>0</v>
      </c>
      <c r="AJ81" s="156"/>
      <c r="AK81" s="156"/>
      <c r="AL81" s="156"/>
      <c r="AM81" s="164" t="s">
        <v>799</v>
      </c>
      <c r="AN81" s="156"/>
      <c r="AO81" s="156"/>
      <c r="AP81" s="156"/>
      <c r="AQ81" s="165"/>
      <c r="AR81" s="117"/>
      <c r="AS81" s="117"/>
      <c r="AT81" s="155">
        <v>2</v>
      </c>
      <c r="AU81" s="156"/>
      <c r="AV81" s="180" t="s">
        <v>801</v>
      </c>
      <c r="AW81" s="168"/>
      <c r="AX81" s="168"/>
      <c r="AY81" s="171" t="s">
        <v>803</v>
      </c>
      <c r="AZ81" s="168"/>
      <c r="BA81" s="168"/>
      <c r="BB81" s="173"/>
      <c r="BD81" s="131"/>
    </row>
    <row r="82" spans="1:56" s="117" customFormat="1" ht="14.1" customHeight="1">
      <c r="A82" s="115"/>
      <c r="F82" s="155">
        <v>3</v>
      </c>
      <c r="G82" s="156"/>
      <c r="H82" s="164" t="s">
        <v>799</v>
      </c>
      <c r="I82" s="156"/>
      <c r="J82" s="156"/>
      <c r="K82" s="156"/>
      <c r="L82" s="156"/>
      <c r="M82" s="156"/>
      <c r="N82" s="164" t="s">
        <v>794</v>
      </c>
      <c r="O82" s="156"/>
      <c r="P82" s="156"/>
      <c r="Q82" s="159"/>
      <c r="R82" s="130"/>
      <c r="S82" s="130"/>
      <c r="T82" s="155">
        <v>3</v>
      </c>
      <c r="U82" s="156"/>
      <c r="V82" s="164" t="s">
        <v>799</v>
      </c>
      <c r="W82" s="156"/>
      <c r="X82" s="156"/>
      <c r="Y82" s="164" t="s">
        <v>794</v>
      </c>
      <c r="Z82" s="156"/>
      <c r="AA82" s="179"/>
      <c r="AB82" s="164" t="s">
        <v>804</v>
      </c>
      <c r="AC82" s="156"/>
      <c r="AD82" s="155" t="s">
        <v>793</v>
      </c>
      <c r="AE82" s="163"/>
      <c r="AF82" s="156"/>
      <c r="AG82" s="156"/>
      <c r="AH82" s="156"/>
      <c r="AI82" s="155">
        <v>0</v>
      </c>
      <c r="AJ82" s="156"/>
      <c r="AK82" s="156"/>
      <c r="AL82" s="156"/>
      <c r="AM82" s="164">
        <v>0</v>
      </c>
      <c r="AN82" s="156"/>
      <c r="AO82" s="156"/>
      <c r="AP82" s="156"/>
      <c r="AQ82" s="165"/>
      <c r="AT82" s="155">
        <v>3</v>
      </c>
      <c r="AU82" s="156"/>
      <c r="AV82" s="164" t="s">
        <v>799</v>
      </c>
      <c r="AW82" s="156"/>
      <c r="AX82" s="156"/>
      <c r="AY82" s="155" t="s">
        <v>793</v>
      </c>
      <c r="AZ82" s="156"/>
      <c r="BA82" s="156"/>
      <c r="BB82" s="159"/>
      <c r="BD82" s="116"/>
    </row>
    <row r="83" spans="1:56" s="130" customFormat="1" ht="13.5" customHeight="1">
      <c r="A83" s="129"/>
      <c r="B83" s="117"/>
      <c r="C83" s="117"/>
      <c r="D83" s="117"/>
      <c r="E83" s="117"/>
      <c r="F83" s="155">
        <v>4</v>
      </c>
      <c r="G83" s="156"/>
      <c r="H83" s="180" t="s">
        <v>784</v>
      </c>
      <c r="I83" s="168"/>
      <c r="J83" s="168"/>
      <c r="K83" s="168"/>
      <c r="L83" s="168"/>
      <c r="M83" s="168"/>
      <c r="N83" s="180" t="s">
        <v>784</v>
      </c>
      <c r="O83" s="168"/>
      <c r="P83" s="168"/>
      <c r="Q83" s="173"/>
      <c r="T83" s="155">
        <v>4</v>
      </c>
      <c r="U83" s="156"/>
      <c r="V83" s="180" t="s">
        <v>784</v>
      </c>
      <c r="W83" s="168"/>
      <c r="X83" s="168"/>
      <c r="Y83" s="180" t="s">
        <v>779</v>
      </c>
      <c r="Z83" s="168"/>
      <c r="AA83" s="181"/>
      <c r="AB83" s="169" t="s">
        <v>805</v>
      </c>
      <c r="AC83" s="168"/>
      <c r="AD83" s="171" t="s">
        <v>798</v>
      </c>
      <c r="AE83" s="182"/>
      <c r="AF83" s="168"/>
      <c r="AG83" s="168"/>
      <c r="AH83" s="168"/>
      <c r="AI83" s="171">
        <v>0</v>
      </c>
      <c r="AJ83" s="168"/>
      <c r="AK83" s="168"/>
      <c r="AL83" s="168"/>
      <c r="AM83" s="169" t="s">
        <v>794</v>
      </c>
      <c r="AN83" s="168"/>
      <c r="AO83" s="168"/>
      <c r="AP83" s="168"/>
      <c r="AQ83" s="170"/>
      <c r="AX83" s="117"/>
      <c r="AY83" s="117"/>
      <c r="AZ83" s="117"/>
      <c r="BA83" s="117"/>
      <c r="BD83" s="131"/>
    </row>
    <row r="84" spans="1:56" s="130" customFormat="1" ht="13.5" customHeight="1">
      <c r="A84" s="129"/>
      <c r="B84" s="117"/>
      <c r="C84" s="117"/>
      <c r="D84" s="117"/>
      <c r="E84" s="117"/>
      <c r="F84" s="155">
        <v>5</v>
      </c>
      <c r="G84" s="156"/>
      <c r="H84" s="180" t="s">
        <v>806</v>
      </c>
      <c r="I84" s="168"/>
      <c r="J84" s="168"/>
      <c r="K84" s="168"/>
      <c r="L84" s="168"/>
      <c r="M84" s="168"/>
      <c r="N84" s="180" t="s">
        <v>806</v>
      </c>
      <c r="O84" s="168"/>
      <c r="P84" s="168"/>
      <c r="Q84" s="173"/>
      <c r="T84" s="155">
        <v>5</v>
      </c>
      <c r="U84" s="156"/>
      <c r="V84" s="180" t="s">
        <v>806</v>
      </c>
      <c r="W84" s="168"/>
      <c r="X84" s="168"/>
      <c r="Y84" s="180" t="s">
        <v>801</v>
      </c>
      <c r="Z84" s="168"/>
      <c r="AA84" s="181"/>
      <c r="AB84" s="169" t="s">
        <v>805</v>
      </c>
      <c r="AC84" s="168"/>
      <c r="AD84" s="171" t="s">
        <v>802</v>
      </c>
      <c r="AE84" s="182"/>
      <c r="AF84" s="168"/>
      <c r="AG84" s="168"/>
      <c r="AH84" s="168"/>
      <c r="AI84" s="171">
        <v>0</v>
      </c>
      <c r="AJ84" s="168"/>
      <c r="AK84" s="168"/>
      <c r="AL84" s="168"/>
      <c r="AM84" s="169" t="s">
        <v>799</v>
      </c>
      <c r="AN84" s="168"/>
      <c r="AO84" s="168"/>
      <c r="AP84" s="168"/>
      <c r="AQ84" s="170"/>
      <c r="AX84" s="117"/>
      <c r="AY84" s="117"/>
      <c r="AZ84" s="117"/>
      <c r="BA84" s="117"/>
      <c r="BD84" s="131"/>
    </row>
    <row r="85" spans="1:56" s="130" customFormat="1" ht="13.5" customHeight="1">
      <c r="A85" s="129"/>
      <c r="B85" s="117"/>
      <c r="C85" s="117"/>
      <c r="D85" s="117"/>
      <c r="E85" s="117"/>
      <c r="F85" s="117"/>
      <c r="G85" s="117"/>
      <c r="H85" s="117"/>
      <c r="I85" s="117"/>
      <c r="J85" s="117"/>
      <c r="K85" s="117"/>
      <c r="L85" s="117"/>
      <c r="M85" s="117"/>
      <c r="N85" s="117"/>
      <c r="O85" s="117"/>
      <c r="P85" s="117"/>
      <c r="Q85" s="117"/>
      <c r="R85" s="117"/>
      <c r="S85" s="117"/>
      <c r="AK85" s="117"/>
      <c r="AL85" s="117"/>
      <c r="AM85" s="117"/>
      <c r="AX85" s="117"/>
      <c r="AY85" s="117"/>
      <c r="AZ85" s="117"/>
      <c r="BA85" s="117"/>
      <c r="BD85" s="131"/>
    </row>
    <row r="86" spans="1:56" s="130" customFormat="1" ht="13.5" customHeight="1">
      <c r="A86" s="129"/>
      <c r="B86" s="117"/>
      <c r="C86" s="117"/>
      <c r="D86" s="117"/>
      <c r="E86" s="117"/>
      <c r="F86" s="117"/>
      <c r="G86" s="117"/>
      <c r="H86" s="117"/>
      <c r="I86" s="117"/>
      <c r="J86" s="117"/>
      <c r="K86" s="117"/>
      <c r="AC86" s="117"/>
      <c r="AD86" s="117"/>
      <c r="AE86" s="117"/>
      <c r="AF86" s="117"/>
      <c r="AG86" s="117"/>
      <c r="AH86" s="117"/>
      <c r="AI86" s="117"/>
      <c r="AJ86" s="117"/>
      <c r="AK86" s="117"/>
      <c r="AL86" s="117"/>
      <c r="AM86" s="117"/>
      <c r="AN86" s="117"/>
      <c r="AO86" s="117"/>
      <c r="AP86" s="117"/>
      <c r="AQ86" s="117"/>
      <c r="AR86" s="117"/>
      <c r="AX86" s="117"/>
      <c r="AY86" s="117"/>
      <c r="AZ86" s="117"/>
      <c r="BA86" s="117"/>
      <c r="BD86" s="131"/>
    </row>
    <row r="87" spans="1:56" s="130" customFormat="1" ht="13.5" customHeight="1">
      <c r="A87" s="129"/>
      <c r="B87" s="117"/>
      <c r="C87" s="117"/>
      <c r="D87" s="117"/>
      <c r="AC87" s="117"/>
      <c r="AD87" s="117"/>
      <c r="AE87" s="117"/>
      <c r="AF87" s="117"/>
      <c r="AG87" s="117"/>
      <c r="AH87" s="117"/>
      <c r="AI87" s="117"/>
      <c r="AJ87" s="117"/>
      <c r="AK87" s="117"/>
      <c r="AL87" s="117"/>
      <c r="AM87" s="117"/>
      <c r="AN87" s="117"/>
      <c r="AO87" s="117"/>
      <c r="AP87" s="117"/>
      <c r="AQ87" s="117"/>
      <c r="AR87" s="117"/>
      <c r="AX87" s="117"/>
      <c r="AY87" s="117"/>
      <c r="AZ87" s="117"/>
      <c r="BA87" s="117"/>
      <c r="BD87" s="131"/>
    </row>
    <row r="88" spans="1:56" s="130" customFormat="1" ht="13.5" customHeight="1">
      <c r="A88" s="129"/>
      <c r="B88" s="117"/>
      <c r="C88" s="117"/>
      <c r="D88" s="117"/>
      <c r="AC88" s="117"/>
      <c r="AD88" s="117"/>
      <c r="AE88" s="117"/>
      <c r="AF88" s="117"/>
      <c r="AG88" s="117"/>
      <c r="AH88" s="117"/>
      <c r="AI88" s="117"/>
      <c r="AJ88" s="117"/>
      <c r="AK88" s="117"/>
      <c r="AL88" s="117"/>
      <c r="AM88" s="117"/>
      <c r="AN88" s="117"/>
      <c r="AO88" s="117"/>
      <c r="AP88" s="117"/>
      <c r="AQ88" s="117"/>
      <c r="AR88" s="117"/>
      <c r="AS88" s="117"/>
      <c r="AT88" s="117"/>
      <c r="AU88" s="117"/>
      <c r="AV88" s="117"/>
      <c r="AW88" s="117"/>
      <c r="AX88" s="117"/>
      <c r="AY88" s="117"/>
      <c r="AZ88" s="117"/>
      <c r="BA88" s="117"/>
      <c r="BD88" s="131"/>
    </row>
    <row r="89" spans="1:56" s="117" customFormat="1" ht="14.1" customHeight="1">
      <c r="A89" s="115"/>
      <c r="BD89" s="116"/>
    </row>
    <row r="90" spans="1:56" s="130" customFormat="1" ht="13.5" customHeight="1">
      <c r="A90" s="129"/>
      <c r="B90" s="117"/>
      <c r="C90" s="117"/>
      <c r="D90" s="117"/>
      <c r="AC90" s="117"/>
      <c r="AD90" s="117"/>
      <c r="AE90" s="117"/>
      <c r="AF90" s="117"/>
      <c r="AG90" s="117"/>
      <c r="AH90" s="117"/>
      <c r="AI90" s="117"/>
      <c r="AJ90" s="117"/>
      <c r="AK90" s="117"/>
      <c r="AL90" s="117"/>
      <c r="AM90" s="117"/>
      <c r="AN90" s="117"/>
      <c r="AO90" s="117"/>
      <c r="AP90" s="117"/>
      <c r="AQ90" s="117"/>
      <c r="AR90" s="117"/>
      <c r="AU90" s="117"/>
      <c r="AV90" s="117"/>
      <c r="AW90" s="117"/>
      <c r="AX90" s="117"/>
      <c r="AY90" s="117"/>
      <c r="AZ90" s="117"/>
      <c r="BA90" s="117"/>
      <c r="BD90" s="131"/>
    </row>
    <row r="91" spans="1:56" s="130" customFormat="1" ht="13.5" customHeight="1">
      <c r="A91" s="129"/>
      <c r="B91" s="117"/>
      <c r="C91" s="117"/>
      <c r="D91" s="117"/>
      <c r="AC91" s="117"/>
      <c r="AD91" s="117"/>
      <c r="AE91" s="117"/>
      <c r="AF91" s="117"/>
      <c r="AG91" s="117"/>
      <c r="AH91" s="117"/>
      <c r="AI91" s="117"/>
      <c r="AJ91" s="117"/>
      <c r="AK91" s="117"/>
      <c r="AL91" s="117"/>
      <c r="AM91" s="117"/>
      <c r="AN91" s="117"/>
      <c r="AO91" s="117"/>
      <c r="AP91" s="117"/>
      <c r="AQ91" s="117"/>
      <c r="AR91" s="117"/>
      <c r="AS91" s="117"/>
      <c r="AT91" s="117"/>
      <c r="AU91" s="117"/>
      <c r="AV91" s="117"/>
      <c r="AW91" s="117"/>
      <c r="AX91" s="117"/>
      <c r="AY91" s="117"/>
      <c r="AZ91" s="117"/>
      <c r="BA91" s="117"/>
      <c r="BD91" s="131"/>
    </row>
    <row r="92" spans="1:56" s="130" customFormat="1" ht="13.5" customHeight="1">
      <c r="A92" s="129"/>
      <c r="B92" s="117"/>
      <c r="C92" s="117"/>
      <c r="D92" s="117"/>
      <c r="AC92" s="117"/>
      <c r="AD92" s="117"/>
      <c r="AE92" s="117"/>
      <c r="AF92" s="117"/>
      <c r="AG92" s="117"/>
      <c r="AH92" s="117"/>
      <c r="AI92" s="117"/>
      <c r="AJ92" s="117"/>
      <c r="AK92" s="117"/>
      <c r="AL92" s="117"/>
      <c r="AM92" s="117"/>
      <c r="AN92" s="117"/>
      <c r="AO92" s="117"/>
      <c r="AP92" s="117"/>
      <c r="AQ92" s="117"/>
      <c r="AR92" s="117"/>
      <c r="AS92" s="117"/>
      <c r="AT92" s="117"/>
      <c r="AU92" s="117"/>
      <c r="AV92" s="117"/>
      <c r="AW92" s="117"/>
      <c r="AX92" s="117"/>
      <c r="AY92" s="117"/>
      <c r="AZ92" s="117"/>
      <c r="BA92" s="117"/>
      <c r="BD92" s="131"/>
    </row>
    <row r="93" spans="1:56" s="130" customFormat="1" ht="13.5" customHeight="1">
      <c r="A93" s="129"/>
      <c r="B93" s="117"/>
      <c r="C93" s="117"/>
      <c r="D93" s="117"/>
      <c r="E93" s="117"/>
      <c r="F93" s="117"/>
      <c r="G93" s="117"/>
      <c r="H93" s="117"/>
      <c r="I93" s="117"/>
      <c r="J93" s="117"/>
      <c r="K93" s="117"/>
      <c r="L93" s="117"/>
      <c r="M93" s="117"/>
      <c r="N93" s="117"/>
      <c r="O93" s="117"/>
      <c r="P93" s="117"/>
      <c r="Q93" s="117"/>
      <c r="R93" s="117"/>
      <c r="S93" s="117"/>
      <c r="T93" s="117"/>
      <c r="U93" s="117"/>
      <c r="V93" s="117"/>
      <c r="W93" s="117"/>
      <c r="X93" s="117"/>
      <c r="Y93" s="117"/>
      <c r="Z93" s="117"/>
      <c r="AA93" s="117"/>
      <c r="AB93" s="117"/>
      <c r="AC93" s="117"/>
      <c r="AD93" s="117"/>
      <c r="AE93" s="117"/>
      <c r="AF93" s="117"/>
      <c r="AG93" s="117"/>
      <c r="AH93" s="117"/>
      <c r="AI93" s="117"/>
      <c r="AJ93" s="117"/>
      <c r="AK93" s="117"/>
      <c r="AL93" s="117"/>
      <c r="AM93" s="117"/>
      <c r="AN93" s="117"/>
      <c r="AO93" s="117"/>
      <c r="AP93" s="117"/>
      <c r="AQ93" s="117"/>
      <c r="AR93" s="117"/>
      <c r="AS93" s="117"/>
      <c r="AT93" s="117"/>
      <c r="AU93" s="117"/>
      <c r="AV93" s="117"/>
      <c r="AW93" s="117"/>
      <c r="AX93" s="117"/>
      <c r="AY93" s="117"/>
      <c r="AZ93" s="117"/>
      <c r="BA93" s="117"/>
      <c r="BD93" s="131"/>
    </row>
    <row r="94" spans="1:56" s="130" customFormat="1" ht="13.5" customHeight="1">
      <c r="A94" s="129"/>
      <c r="B94" s="117"/>
      <c r="C94" s="117"/>
      <c r="D94" s="117"/>
      <c r="E94" s="117"/>
      <c r="F94" s="117"/>
      <c r="G94" s="117"/>
      <c r="H94" s="117"/>
      <c r="I94" s="117"/>
      <c r="J94" s="117"/>
      <c r="K94" s="117"/>
      <c r="L94" s="117"/>
      <c r="M94" s="117"/>
      <c r="N94" s="117"/>
      <c r="O94" s="117"/>
      <c r="P94" s="117"/>
      <c r="Q94" s="117"/>
      <c r="R94" s="117"/>
      <c r="S94" s="117"/>
      <c r="T94" s="117"/>
      <c r="U94" s="117"/>
      <c r="V94" s="117"/>
      <c r="W94" s="117"/>
      <c r="X94" s="117"/>
      <c r="Y94" s="117"/>
      <c r="Z94" s="117"/>
      <c r="AA94" s="117"/>
      <c r="AB94" s="117"/>
      <c r="AC94" s="117"/>
      <c r="AD94" s="117"/>
      <c r="AE94" s="117"/>
      <c r="AF94" s="117"/>
      <c r="AG94" s="117"/>
      <c r="AH94" s="117"/>
      <c r="AI94" s="117"/>
      <c r="AJ94" s="117"/>
      <c r="AK94" s="117"/>
      <c r="AL94" s="117"/>
      <c r="AM94" s="117"/>
      <c r="AN94" s="117"/>
      <c r="AO94" s="117"/>
      <c r="AP94" s="117"/>
      <c r="AQ94" s="117"/>
      <c r="AR94" s="117"/>
      <c r="AS94" s="117"/>
      <c r="AT94" s="117"/>
      <c r="AU94" s="117"/>
      <c r="AV94" s="117"/>
      <c r="AW94" s="117"/>
      <c r="AX94" s="117"/>
      <c r="AY94" s="117"/>
      <c r="AZ94" s="117"/>
      <c r="BA94" s="117"/>
      <c r="BD94" s="131"/>
    </row>
    <row r="95" spans="1:56" s="130" customFormat="1" ht="13.5" customHeight="1">
      <c r="A95" s="129"/>
      <c r="B95" s="117"/>
      <c r="C95" s="117"/>
      <c r="D95" s="117"/>
      <c r="E95" s="117"/>
      <c r="F95" s="117"/>
      <c r="G95" s="117"/>
      <c r="H95" s="117"/>
      <c r="I95" s="117"/>
      <c r="J95" s="117"/>
      <c r="K95" s="117"/>
      <c r="L95" s="117"/>
      <c r="M95" s="117"/>
      <c r="N95" s="117"/>
      <c r="O95" s="117"/>
      <c r="P95" s="117"/>
      <c r="Q95" s="117"/>
      <c r="R95" s="117"/>
      <c r="S95" s="117"/>
      <c r="T95" s="117"/>
      <c r="U95" s="117"/>
      <c r="V95" s="117"/>
      <c r="W95" s="117"/>
      <c r="X95" s="117"/>
      <c r="Y95" s="117"/>
      <c r="Z95" s="117"/>
      <c r="AA95" s="117"/>
      <c r="AB95" s="117"/>
      <c r="AC95" s="117"/>
      <c r="AD95" s="117"/>
      <c r="AE95" s="117"/>
      <c r="AF95" s="117"/>
      <c r="AG95" s="117"/>
      <c r="AH95" s="117"/>
      <c r="AI95" s="117"/>
      <c r="AJ95" s="117"/>
      <c r="AK95" s="117"/>
      <c r="AL95" s="117"/>
      <c r="AM95" s="117"/>
      <c r="AN95" s="117"/>
      <c r="AO95" s="117"/>
      <c r="AP95" s="117"/>
      <c r="AQ95" s="117"/>
      <c r="AR95" s="117"/>
      <c r="AS95" s="117"/>
      <c r="AT95" s="117"/>
      <c r="AU95" s="117"/>
      <c r="AV95" s="117"/>
      <c r="AW95" s="117"/>
      <c r="AX95" s="117"/>
      <c r="AY95" s="117"/>
      <c r="AZ95" s="117"/>
      <c r="BA95" s="117"/>
      <c r="BD95" s="131"/>
    </row>
    <row r="96" spans="1:56" s="130" customFormat="1" ht="13.5" customHeight="1">
      <c r="A96" s="129"/>
      <c r="B96" s="117"/>
      <c r="C96" s="117"/>
      <c r="D96" s="117"/>
      <c r="N96" s="117"/>
      <c r="O96" s="117"/>
      <c r="P96" s="117"/>
      <c r="Q96" s="117"/>
      <c r="R96" s="117"/>
      <c r="S96" s="117"/>
      <c r="T96" s="117"/>
      <c r="U96" s="117"/>
      <c r="V96" s="117"/>
      <c r="W96" s="117"/>
      <c r="X96" s="117"/>
      <c r="Y96" s="117"/>
      <c r="Z96" s="117"/>
      <c r="AA96" s="117"/>
      <c r="AB96" s="117"/>
      <c r="AC96" s="117"/>
      <c r="AD96" s="117"/>
      <c r="AE96" s="117"/>
      <c r="AF96" s="117"/>
      <c r="AG96" s="117"/>
      <c r="AH96" s="117"/>
      <c r="AI96" s="117"/>
      <c r="AJ96" s="117"/>
      <c r="AK96" s="117"/>
      <c r="AL96" s="117"/>
      <c r="AM96" s="117"/>
      <c r="AN96" s="117"/>
      <c r="AO96" s="117"/>
      <c r="AP96" s="117"/>
      <c r="AQ96" s="117"/>
      <c r="AR96" s="117"/>
      <c r="AS96" s="117"/>
      <c r="AT96" s="117"/>
      <c r="AU96" s="117"/>
      <c r="AV96" s="117"/>
      <c r="AW96" s="117"/>
      <c r="AX96" s="117"/>
      <c r="AY96" s="117"/>
      <c r="AZ96" s="117"/>
      <c r="BA96" s="117"/>
      <c r="BD96" s="131"/>
    </row>
    <row r="97" spans="1:56" s="130" customFormat="1" ht="13.5" customHeight="1">
      <c r="A97" s="129"/>
      <c r="B97" s="117"/>
      <c r="C97" s="117"/>
      <c r="D97" s="117"/>
      <c r="N97" s="117"/>
      <c r="O97" s="117"/>
      <c r="P97" s="117"/>
      <c r="Q97" s="117"/>
      <c r="R97" s="117"/>
      <c r="S97" s="117"/>
      <c r="T97" s="117"/>
      <c r="U97" s="117"/>
      <c r="V97" s="117"/>
      <c r="W97" s="117"/>
      <c r="X97" s="117"/>
      <c r="Y97" s="117"/>
      <c r="Z97" s="117"/>
      <c r="AA97" s="117"/>
      <c r="AB97" s="117"/>
      <c r="AC97" s="117"/>
      <c r="AD97" s="117"/>
      <c r="AE97" s="117"/>
      <c r="AF97" s="117"/>
      <c r="AG97" s="117"/>
      <c r="AH97" s="117"/>
      <c r="AI97" s="117"/>
      <c r="AJ97" s="117"/>
      <c r="AK97" s="117"/>
      <c r="AL97" s="117"/>
      <c r="AM97" s="117"/>
      <c r="AN97" s="117"/>
      <c r="AO97" s="117"/>
      <c r="AP97" s="117"/>
      <c r="AQ97" s="117"/>
      <c r="AR97" s="117"/>
      <c r="AS97" s="117"/>
      <c r="AT97" s="117"/>
      <c r="AU97" s="117"/>
      <c r="AV97" s="117"/>
      <c r="AW97" s="117"/>
      <c r="AX97" s="117"/>
      <c r="AY97" s="117"/>
      <c r="AZ97" s="117"/>
      <c r="BA97" s="117"/>
      <c r="BD97" s="131"/>
    </row>
    <row r="98" spans="1:56" s="130" customFormat="1" ht="13.5" customHeight="1">
      <c r="A98" s="129"/>
      <c r="B98" s="117"/>
      <c r="C98" s="117"/>
      <c r="D98" s="117"/>
      <c r="N98" s="117"/>
      <c r="O98" s="117"/>
      <c r="P98" s="117"/>
      <c r="Q98" s="117"/>
      <c r="R98" s="117"/>
      <c r="S98" s="117"/>
      <c r="T98" s="117"/>
      <c r="U98" s="117"/>
      <c r="V98" s="117"/>
      <c r="W98" s="117"/>
      <c r="X98" s="117"/>
      <c r="Y98" s="117"/>
      <c r="Z98" s="117"/>
      <c r="AA98" s="117"/>
      <c r="AB98" s="117"/>
      <c r="AC98" s="117"/>
      <c r="AD98" s="117"/>
      <c r="AE98" s="117"/>
      <c r="AF98" s="117"/>
      <c r="AG98" s="117"/>
      <c r="AH98" s="117"/>
      <c r="AI98" s="117"/>
      <c r="AJ98" s="117"/>
      <c r="AK98" s="117"/>
      <c r="AL98" s="117"/>
      <c r="AM98" s="117"/>
      <c r="AN98" s="117"/>
      <c r="AO98" s="117"/>
      <c r="AP98" s="117"/>
      <c r="AQ98" s="117"/>
      <c r="AR98" s="117"/>
      <c r="AS98" s="117"/>
      <c r="AT98" s="117"/>
      <c r="AU98" s="117"/>
      <c r="AV98" s="117"/>
      <c r="AW98" s="117"/>
      <c r="AX98" s="117"/>
      <c r="AY98" s="117"/>
      <c r="AZ98" s="117"/>
      <c r="BA98" s="117"/>
      <c r="BD98" s="131"/>
    </row>
    <row r="99" spans="1:56" s="130" customFormat="1" ht="13.5" customHeight="1">
      <c r="A99" s="129"/>
      <c r="B99" s="117"/>
      <c r="C99" s="117"/>
      <c r="D99" s="117"/>
      <c r="N99" s="117"/>
      <c r="O99" s="117"/>
      <c r="P99" s="117"/>
      <c r="Q99" s="117"/>
      <c r="R99" s="117"/>
      <c r="S99" s="117"/>
      <c r="T99" s="117"/>
      <c r="U99" s="117"/>
      <c r="V99" s="117"/>
      <c r="W99" s="117"/>
      <c r="X99" s="117"/>
      <c r="Y99" s="117"/>
      <c r="Z99" s="117"/>
      <c r="AA99" s="117"/>
      <c r="AB99" s="117"/>
      <c r="AC99" s="117"/>
      <c r="AD99" s="117"/>
      <c r="AE99" s="117"/>
      <c r="AF99" s="117"/>
      <c r="AG99" s="117"/>
      <c r="AH99" s="117"/>
      <c r="AI99" s="117"/>
      <c r="AJ99" s="117"/>
      <c r="AK99" s="117"/>
      <c r="AL99" s="117"/>
      <c r="AM99" s="117"/>
      <c r="AN99" s="117"/>
      <c r="AO99" s="117"/>
      <c r="AP99" s="117"/>
      <c r="AQ99" s="117"/>
      <c r="AR99" s="117"/>
      <c r="AS99" s="117"/>
      <c r="AT99" s="117"/>
      <c r="AU99" s="117"/>
      <c r="AV99" s="117"/>
      <c r="AW99" s="117"/>
      <c r="AX99" s="117"/>
      <c r="AY99" s="117"/>
      <c r="AZ99" s="117"/>
      <c r="BA99" s="117"/>
      <c r="BD99" s="131"/>
    </row>
    <row r="100" spans="1:56" s="130" customFormat="1" ht="13.5" customHeight="1">
      <c r="A100" s="129"/>
      <c r="B100" s="117"/>
      <c r="C100" s="117"/>
      <c r="D100" s="117"/>
      <c r="E100" s="114"/>
      <c r="F100" s="114"/>
      <c r="G100" s="114"/>
      <c r="H100" s="114"/>
      <c r="I100" s="117"/>
      <c r="J100" s="117"/>
      <c r="K100" s="117"/>
      <c r="L100" s="117"/>
      <c r="M100" s="117"/>
      <c r="N100" s="117"/>
      <c r="O100" s="117"/>
      <c r="P100" s="117"/>
      <c r="Q100" s="117"/>
      <c r="R100" s="117"/>
      <c r="S100" s="117"/>
      <c r="T100" s="117"/>
      <c r="U100" s="117"/>
      <c r="V100" s="117"/>
      <c r="W100" s="117"/>
      <c r="X100" s="117"/>
      <c r="Y100" s="117"/>
      <c r="Z100" s="117"/>
      <c r="AA100" s="117"/>
      <c r="AB100" s="117"/>
      <c r="AC100" s="117"/>
      <c r="AD100" s="117"/>
      <c r="AE100" s="117"/>
      <c r="AF100" s="117"/>
      <c r="AG100" s="117"/>
      <c r="AH100" s="117"/>
      <c r="AI100" s="117"/>
      <c r="AJ100" s="117"/>
      <c r="AK100" s="117"/>
      <c r="AL100" s="117"/>
      <c r="AM100" s="117"/>
      <c r="AN100" s="117"/>
      <c r="AO100" s="117"/>
      <c r="AP100" s="117"/>
      <c r="AQ100" s="117"/>
      <c r="AR100" s="117"/>
      <c r="AS100" s="117"/>
      <c r="AT100" s="117"/>
      <c r="AU100" s="117"/>
      <c r="AV100" s="117"/>
      <c r="AW100" s="117"/>
      <c r="AX100" s="117"/>
      <c r="AY100" s="117"/>
      <c r="AZ100" s="117"/>
      <c r="BA100" s="117"/>
      <c r="BD100" s="131"/>
    </row>
    <row r="101" spans="1:56" s="117" customFormat="1" ht="14.1" customHeight="1">
      <c r="A101" s="115"/>
      <c r="BD101" s="116"/>
    </row>
    <row r="102" spans="1:56" s="130" customFormat="1" ht="13.5" customHeight="1">
      <c r="A102" s="129"/>
      <c r="B102" s="117"/>
      <c r="C102" s="117"/>
      <c r="D102" s="117"/>
      <c r="E102" s="117"/>
      <c r="F102" s="117"/>
      <c r="G102" s="117"/>
      <c r="H102" s="117"/>
      <c r="I102" s="117"/>
      <c r="J102" s="117"/>
      <c r="K102" s="117"/>
      <c r="L102" s="117"/>
      <c r="M102" s="117"/>
      <c r="N102" s="117"/>
      <c r="O102" s="117"/>
      <c r="P102" s="117"/>
      <c r="Q102" s="117"/>
      <c r="R102" s="117"/>
      <c r="S102" s="117"/>
      <c r="T102" s="117"/>
      <c r="U102" s="117"/>
      <c r="V102" s="117"/>
      <c r="W102" s="117"/>
      <c r="X102" s="117"/>
      <c r="Y102" s="117"/>
      <c r="Z102" s="117"/>
      <c r="AA102" s="117"/>
      <c r="AB102" s="117"/>
      <c r="AC102" s="117"/>
      <c r="AD102" s="117"/>
      <c r="AE102" s="117"/>
      <c r="AF102" s="117"/>
      <c r="AG102" s="117"/>
      <c r="AH102" s="117"/>
      <c r="AI102" s="117"/>
      <c r="AJ102" s="117"/>
      <c r="AK102" s="117"/>
      <c r="AL102" s="117"/>
      <c r="AM102" s="117"/>
      <c r="AN102" s="117"/>
      <c r="AO102" s="117"/>
      <c r="AP102" s="117"/>
      <c r="AQ102" s="117"/>
      <c r="AR102" s="117"/>
      <c r="AS102" s="117"/>
      <c r="AT102" s="117"/>
      <c r="AU102" s="117"/>
      <c r="AV102" s="117"/>
      <c r="AW102" s="117"/>
      <c r="AX102" s="117"/>
      <c r="AY102" s="117"/>
      <c r="AZ102" s="117"/>
      <c r="BA102" s="117"/>
      <c r="BD102" s="131"/>
    </row>
    <row r="103" spans="1:56" s="130" customFormat="1" ht="13.5" customHeight="1">
      <c r="A103" s="129"/>
      <c r="B103" s="117"/>
      <c r="C103" s="117"/>
      <c r="D103" s="117"/>
      <c r="E103" s="117"/>
      <c r="F103" s="117"/>
      <c r="G103" s="117"/>
      <c r="H103" s="117"/>
      <c r="I103" s="117"/>
      <c r="J103" s="117"/>
      <c r="K103" s="117"/>
      <c r="L103" s="117"/>
      <c r="M103" s="117"/>
      <c r="N103" s="117"/>
      <c r="O103" s="117"/>
      <c r="P103" s="117"/>
      <c r="Q103" s="117"/>
      <c r="R103" s="117"/>
      <c r="S103" s="117"/>
      <c r="T103" s="117"/>
      <c r="U103" s="117"/>
      <c r="V103" s="117"/>
      <c r="W103" s="117"/>
      <c r="X103" s="117"/>
      <c r="Y103" s="117"/>
      <c r="Z103" s="117"/>
      <c r="AA103" s="117"/>
      <c r="AB103" s="117"/>
      <c r="AC103" s="117"/>
      <c r="AD103" s="117"/>
      <c r="AE103" s="117"/>
      <c r="AF103" s="117"/>
      <c r="AG103" s="117"/>
      <c r="AH103" s="117"/>
      <c r="AI103" s="117"/>
      <c r="AJ103" s="117"/>
      <c r="AK103" s="117"/>
      <c r="AL103" s="117"/>
      <c r="AM103" s="117"/>
      <c r="AN103" s="117"/>
      <c r="AO103" s="117"/>
      <c r="AP103" s="117"/>
      <c r="AQ103" s="117"/>
      <c r="AX103" s="117"/>
      <c r="AY103" s="117"/>
      <c r="AZ103" s="117"/>
      <c r="BA103" s="117"/>
      <c r="BD103" s="131"/>
    </row>
    <row r="104" spans="1:56" s="130" customFormat="1" ht="13.5" customHeight="1">
      <c r="A104" s="129"/>
      <c r="B104" s="117"/>
      <c r="C104" s="117"/>
      <c r="D104" s="117"/>
      <c r="E104" s="117"/>
      <c r="F104" s="117"/>
      <c r="G104" s="117"/>
      <c r="H104" s="117"/>
      <c r="I104" s="117"/>
      <c r="J104" s="117"/>
      <c r="K104" s="117"/>
      <c r="L104" s="117"/>
      <c r="M104" s="117"/>
      <c r="N104" s="117"/>
      <c r="O104" s="117"/>
      <c r="P104" s="117"/>
      <c r="Q104" s="117"/>
      <c r="R104" s="117"/>
      <c r="S104" s="117"/>
      <c r="T104" s="117"/>
      <c r="U104" s="117"/>
      <c r="V104" s="117"/>
      <c r="W104" s="117"/>
      <c r="X104" s="117"/>
      <c r="Y104" s="117"/>
      <c r="Z104" s="117"/>
      <c r="AA104" s="117"/>
      <c r="AB104" s="117"/>
      <c r="AC104" s="117"/>
      <c r="AD104" s="117"/>
      <c r="AE104" s="117"/>
      <c r="AF104" s="117"/>
      <c r="AG104" s="117"/>
      <c r="AH104" s="117"/>
      <c r="AI104" s="117"/>
      <c r="AJ104" s="117"/>
      <c r="AK104" s="117"/>
      <c r="AL104" s="117"/>
      <c r="AM104" s="117"/>
      <c r="AN104" s="117"/>
      <c r="AO104" s="117"/>
      <c r="AP104" s="117"/>
      <c r="AQ104" s="117"/>
      <c r="AR104" s="117"/>
      <c r="AS104" s="117"/>
      <c r="AT104" s="117"/>
      <c r="AU104" s="117"/>
      <c r="AV104" s="117"/>
      <c r="AW104" s="117"/>
      <c r="AX104" s="117"/>
      <c r="AY104" s="117"/>
      <c r="AZ104" s="117"/>
      <c r="BA104" s="117"/>
      <c r="BD104" s="131"/>
    </row>
    <row r="105" spans="1:56" s="130" customFormat="1" ht="13.5" customHeight="1">
      <c r="A105" s="129"/>
      <c r="B105" s="117"/>
      <c r="C105" s="117"/>
      <c r="D105" s="117"/>
      <c r="E105" s="117"/>
      <c r="F105" s="117"/>
      <c r="G105" s="117"/>
      <c r="H105" s="117"/>
      <c r="I105" s="117"/>
      <c r="J105" s="117"/>
      <c r="K105" s="117"/>
      <c r="L105" s="117"/>
      <c r="M105" s="117"/>
      <c r="N105" s="117"/>
      <c r="O105" s="117"/>
      <c r="P105" s="117"/>
      <c r="Q105" s="117"/>
      <c r="R105" s="117"/>
      <c r="S105" s="117"/>
      <c r="T105" s="117"/>
      <c r="U105" s="117"/>
      <c r="V105" s="117"/>
      <c r="W105" s="117"/>
      <c r="X105" s="117"/>
      <c r="Y105" s="117"/>
      <c r="Z105" s="117"/>
      <c r="AA105" s="117"/>
      <c r="AB105" s="117"/>
      <c r="AC105" s="117"/>
      <c r="AD105" s="117"/>
      <c r="AE105" s="117"/>
      <c r="AF105" s="117"/>
      <c r="AG105" s="117"/>
      <c r="AH105" s="117"/>
      <c r="AI105" s="117"/>
      <c r="AJ105" s="117"/>
      <c r="AK105" s="117"/>
      <c r="AL105" s="117"/>
      <c r="AM105" s="117"/>
      <c r="AN105" s="117"/>
      <c r="AO105" s="117"/>
      <c r="AP105" s="117"/>
      <c r="AQ105" s="117"/>
      <c r="AR105" s="117"/>
      <c r="AS105" s="117"/>
      <c r="AT105" s="117"/>
      <c r="AU105" s="117"/>
      <c r="AV105" s="117"/>
      <c r="AW105" s="117"/>
      <c r="AX105" s="117"/>
      <c r="AY105" s="117"/>
      <c r="AZ105" s="117"/>
      <c r="BA105" s="117"/>
      <c r="BD105" s="131"/>
    </row>
    <row r="106" spans="1:56" s="117" customFormat="1" ht="14.1" customHeight="1">
      <c r="A106" s="115"/>
      <c r="B106" s="154"/>
      <c r="BD106" s="116"/>
    </row>
    <row r="107" spans="1:56" s="130" customFormat="1" ht="13.5" customHeight="1">
      <c r="A107" s="129"/>
      <c r="C107" s="10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c r="AA107" s="117"/>
      <c r="AB107" s="117"/>
      <c r="AC107" s="117"/>
      <c r="AD107" s="117"/>
      <c r="AE107" s="117"/>
      <c r="AF107" s="117"/>
      <c r="AG107" s="117"/>
      <c r="AH107" s="117"/>
      <c r="AI107" s="117"/>
      <c r="AJ107" s="117"/>
      <c r="AK107" s="117"/>
      <c r="AL107" s="117"/>
      <c r="AM107" s="117"/>
      <c r="AN107" s="117"/>
      <c r="AO107" s="117"/>
      <c r="AP107" s="117"/>
      <c r="AQ107" s="117"/>
      <c r="BD107" s="131"/>
    </row>
    <row r="108" spans="1:56" s="117" customFormat="1" ht="14.1" customHeight="1">
      <c r="A108" s="115"/>
      <c r="B108" s="154"/>
      <c r="BD108" s="116"/>
    </row>
    <row r="109" spans="1:56" s="117" customFormat="1" ht="14.1" customHeight="1">
      <c r="A109" s="115"/>
      <c r="B109" s="154"/>
      <c r="BD109" s="116"/>
    </row>
    <row r="110" spans="1:56" s="117" customFormat="1" ht="14.1" customHeight="1">
      <c r="A110" s="115"/>
      <c r="B110" s="154"/>
      <c r="BD110" s="116"/>
    </row>
    <row r="111" spans="1:56" s="117" customFormat="1" ht="14.1" customHeight="1">
      <c r="A111" s="115"/>
      <c r="B111" s="154"/>
      <c r="BD111" s="116"/>
    </row>
    <row r="112" spans="1:56" ht="13.5" customHeight="1">
      <c r="A112" s="175"/>
      <c r="B112" s="134"/>
      <c r="C112" s="134"/>
      <c r="D112" s="134"/>
      <c r="E112" s="134"/>
      <c r="F112" s="134"/>
      <c r="G112" s="134"/>
      <c r="H112" s="134"/>
      <c r="I112" s="134"/>
      <c r="J112" s="134"/>
      <c r="K112" s="134"/>
      <c r="L112" s="134"/>
      <c r="M112" s="134"/>
      <c r="N112" s="134"/>
      <c r="O112" s="134"/>
      <c r="P112" s="134"/>
      <c r="Q112" s="134"/>
      <c r="R112" s="134"/>
      <c r="S112" s="134"/>
      <c r="T112" s="134"/>
      <c r="U112" s="134"/>
      <c r="V112" s="134"/>
      <c r="W112" s="134"/>
      <c r="X112" s="134"/>
      <c r="Y112" s="134"/>
      <c r="Z112" s="134"/>
      <c r="AA112" s="134"/>
      <c r="AB112" s="134"/>
      <c r="AC112" s="134"/>
      <c r="AD112" s="134"/>
      <c r="AE112" s="134"/>
      <c r="AF112" s="134"/>
      <c r="AG112" s="134"/>
      <c r="AH112" s="134"/>
      <c r="AI112" s="134"/>
      <c r="AJ112" s="134"/>
      <c r="AK112" s="134"/>
      <c r="AL112" s="134"/>
      <c r="AM112" s="134"/>
      <c r="AN112" s="134"/>
      <c r="AO112" s="134"/>
      <c r="AP112" s="134"/>
      <c r="AQ112" s="134"/>
      <c r="AR112" s="134"/>
      <c r="AS112" s="134"/>
      <c r="AT112" s="134"/>
      <c r="AU112" s="134"/>
      <c r="AV112" s="134"/>
      <c r="AW112" s="134"/>
      <c r="AX112" s="134"/>
      <c r="AY112" s="134"/>
      <c r="AZ112" s="134"/>
      <c r="BA112" s="134"/>
      <c r="BB112" s="134"/>
      <c r="BC112" s="134"/>
      <c r="BD112" s="176"/>
    </row>
  </sheetData>
  <mergeCells count="3">
    <mergeCell ref="A1:BD2"/>
    <mergeCell ref="A4:BD4"/>
    <mergeCell ref="H79:M79"/>
  </mergeCells>
  <phoneticPr fontId="5"/>
  <printOptions horizontalCentered="1"/>
  <pageMargins left="0.19685039370078741" right="0.19685039370078741" top="0.62992125984251968" bottom="0.39370078740157483" header="0.19685039370078741" footer="0.31496062992125984"/>
  <pageSetup paperSize="9" fitToWidth="0" fitToHeight="0" orientation="landscape" r:id="rId1"/>
  <headerFooter alignWithMargins="0">
    <oddFooter>&amp;C&amp;"Times New Roman,標準"&amp;10&amp;P/&amp;N&amp;R&amp;"Times New Roman,標準"&amp;9Copyright(C) 2016-2022 VINX Corporation. All Rights Reserved.</oddFooter>
  </headerFooter>
  <rowBreaks count="2" manualBreakCount="2">
    <brk id="40" max="55" man="1"/>
    <brk id="76" max="5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Props1.xml><?xml version="1.0" encoding="utf-8"?>
<ds:datastoreItem xmlns:ds="http://schemas.openxmlformats.org/officeDocument/2006/customXml" ds:itemID="{2C072511-2274-4C93-B8DB-EF62A0CF194E}">
  <ds:schemaRefs>
    <ds:schemaRef ds:uri="http://schemas.microsoft.com/sharepoint/v3/contenttype/forms"/>
  </ds:schemaRefs>
</ds:datastoreItem>
</file>

<file path=customXml/itemProps2.xml><?xml version="1.0" encoding="utf-8"?>
<ds:datastoreItem xmlns:ds="http://schemas.openxmlformats.org/officeDocument/2006/customXml" ds:itemID="{A7601FDF-35EA-4D9E-A7D3-D7209DB4BF91}"/>
</file>

<file path=customXml/itemProps3.xml><?xml version="1.0" encoding="utf-8"?>
<ds:datastoreItem xmlns:ds="http://schemas.openxmlformats.org/officeDocument/2006/customXml" ds:itemID="{080B7CE4-9FE0-4A90-838B-34A15BD01DA1}">
  <ds:schemaRefs>
    <ds:schemaRef ds:uri="http://schemas.microsoft.com/office/2006/metadata/properties"/>
    <ds:schemaRef ds:uri="http://schemas.microsoft.com/office/infopath/2007/PartnerControls"/>
    <ds:schemaRef ds:uri="a680f00f-cd46-4fac-af09-5d3f01a13a4b"/>
    <ds:schemaRef ds:uri="706d05e4-7bdc-41c9-81f2-2df1addec7e2"/>
    <ds:schemaRef ds:uri="c25985f6-738a-4fbb-ade1-fdbe81c9268b"/>
    <ds:schemaRef ds:uri="2dd5972e-fc8f-47aa-916d-ced3529f73a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26</vt:i4>
      </vt:variant>
      <vt:variant>
        <vt:lpstr>名前付き一覧</vt:lpstr>
      </vt:variant>
      <vt:variant>
        <vt:i4>20</vt:i4>
      </vt:variant>
    </vt:vector>
  </HeadingPairs>
  <TitlesOfParts>
    <vt:vector size="46" baseType="lpstr">
      <vt:lpstr>表紙</vt:lpstr>
      <vt:lpstr>更新履歴</vt:lpstr>
      <vt:lpstr>連携マスタ一覧</vt:lpstr>
      <vt:lpstr>以降IFレイアウト</vt:lpstr>
      <vt:lpstr>商品マスタ</vt:lpstr>
      <vt:lpstr>商品拡張マスタ</vt:lpstr>
      <vt:lpstr>分類マスタ</vt:lpstr>
      <vt:lpstr>（削除）分類拡張マスタ</vt:lpstr>
      <vt:lpstr>特売マスタ</vt:lpstr>
      <vt:lpstr>ＭＭマスタ</vt:lpstr>
      <vt:lpstr>ＭＭ商品マスタ</vt:lpstr>
      <vt:lpstr>MD階層値引マスタ（TBP用）</vt:lpstr>
      <vt:lpstr>担当者マスタ</vt:lpstr>
      <vt:lpstr>担当者拡張マスタ</vt:lpstr>
      <vt:lpstr>プリセットメニューマスタ</vt:lpstr>
      <vt:lpstr>プリセットメニューボタンマスタ</vt:lpstr>
      <vt:lpstr>税コードマスタ</vt:lpstr>
      <vt:lpstr>税グループ詳細マスタ</vt:lpstr>
      <vt:lpstr>税グループマスタ</vt:lpstr>
      <vt:lpstr>税タイプマスタ</vt:lpstr>
      <vt:lpstr>軽減税率マスタ</vt:lpstr>
      <vt:lpstr>券マスタ</vt:lpstr>
      <vt:lpstr>釣銭機回収設定マスタ</vt:lpstr>
      <vt:lpstr>レシートクーポン発券マスタ</vt:lpstr>
      <vt:lpstr>（削除）ノードマスタ</vt:lpstr>
      <vt:lpstr>【参考】消費税仕様（相関図）</vt:lpstr>
      <vt:lpstr>'（削除）ノードマスタ'!Print_Area</vt:lpstr>
      <vt:lpstr>'（削除）分類拡張マスタ'!Print_Area</vt:lpstr>
      <vt:lpstr>'【参考】消費税仕様（相関図）'!Print_Area</vt:lpstr>
      <vt:lpstr>'MD階層値引マスタ（TBP用）'!Print_Area</vt:lpstr>
      <vt:lpstr>レシートクーポン発券マスタ!Print_Area</vt:lpstr>
      <vt:lpstr>軽減税率マスタ!Print_Area</vt:lpstr>
      <vt:lpstr>券マスタ!Print_Area</vt:lpstr>
      <vt:lpstr>更新履歴!Print_Area</vt:lpstr>
      <vt:lpstr>税グループマスタ!Print_Area</vt:lpstr>
      <vt:lpstr>税グループ詳細マスタ!Print_Area</vt:lpstr>
      <vt:lpstr>税コードマスタ!Print_Area</vt:lpstr>
      <vt:lpstr>税タイプマスタ!Print_Area</vt:lpstr>
      <vt:lpstr>担当者マスタ!Print_Area</vt:lpstr>
      <vt:lpstr>連携マスタ一覧!Print_Area</vt:lpstr>
      <vt:lpstr>'【参考】消費税仕様（相関図）'!Print_Titles</vt:lpstr>
      <vt:lpstr>軽減税率マスタ!Print_Titles</vt:lpstr>
      <vt:lpstr>税グループマスタ!Print_Titles</vt:lpstr>
      <vt:lpstr>税グループ詳細マスタ!Print_Titles</vt:lpstr>
      <vt:lpstr>税コードマスタ!Print_Titles</vt:lpstr>
      <vt:lpstr>税タイプマスタ!Print_Titles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ユーザー</dc:creator>
  <cp:keywords/>
  <dc:description/>
  <cp:lastModifiedBy>Thanh Nguyên</cp:lastModifiedBy>
  <cp:revision/>
  <dcterms:created xsi:type="dcterms:W3CDTF">2019-08-11T20:05:47Z</dcterms:created>
  <dcterms:modified xsi:type="dcterms:W3CDTF">2025-04-25T09:54:36Z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