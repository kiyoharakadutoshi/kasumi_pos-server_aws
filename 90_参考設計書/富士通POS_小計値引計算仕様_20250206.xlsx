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Luvinaより/00_機能概要/付随資料/"/>
    </mc:Choice>
  </mc:AlternateContent>
  <xr:revisionPtr revIDLastSave="4" documentId="8_{FF68D9EE-E951-47FA-89F2-5B4579305E54}" xr6:coauthVersionLast="47" xr6:coauthVersionMax="47" xr10:uidLastSave="{23913768-830E-40BC-A95F-EDE59D10495A}"/>
  <bookViews>
    <workbookView xWindow="-345" yWindow="-29115" windowWidth="18240" windowHeight="29040" xr2:uid="{00000000-000D-0000-FFFF-FFFF00000000}"/>
  </bookViews>
  <sheets>
    <sheet name="計算仕様抜粋" sheetId="3" r:id="rId1"/>
    <sheet name="本体価格の降順でソート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P11" i="1"/>
  <c r="Q11" i="1"/>
  <c r="D11" i="3"/>
  <c r="Q301" i="1" l="1"/>
  <c r="E46" i="3"/>
  <c r="F284" i="1"/>
  <c r="K41" i="3"/>
  <c r="K42" i="3" s="1"/>
  <c r="E42" i="3"/>
  <c r="E41" i="3"/>
  <c r="T2" i="1"/>
  <c r="N286" i="1"/>
  <c r="D12" i="3"/>
  <c r="G83" i="1" l="1"/>
  <c r="N83" i="1" s="1"/>
  <c r="G76" i="1"/>
  <c r="N76" i="1" s="1"/>
  <c r="D82" i="1"/>
  <c r="D284" i="1" s="1"/>
  <c r="N82" i="1" l="1"/>
  <c r="N37" i="1" l="1"/>
  <c r="N36" i="1"/>
  <c r="N35" i="1"/>
  <c r="N34" i="1"/>
  <c r="N20" i="1"/>
  <c r="N11" i="1"/>
  <c r="N88" i="1"/>
  <c r="N53" i="1"/>
  <c r="N39" i="1"/>
  <c r="N12" i="1"/>
  <c r="N63" i="1"/>
  <c r="N79" i="1"/>
  <c r="N72" i="1"/>
  <c r="N71" i="1"/>
  <c r="N70" i="1"/>
  <c r="N69" i="1"/>
  <c r="N60" i="1"/>
  <c r="N50" i="1"/>
  <c r="N44" i="1"/>
  <c r="N77" i="1"/>
  <c r="N73" i="1"/>
  <c r="N68" i="1"/>
  <c r="N10" i="1"/>
  <c r="N9" i="1"/>
  <c r="N8" i="1"/>
  <c r="N59" i="1"/>
  <c r="N49" i="1"/>
  <c r="N43" i="1"/>
  <c r="N87" i="1"/>
  <c r="N86" i="1"/>
  <c r="N85" i="1"/>
  <c r="N61" i="1"/>
  <c r="N51" i="1"/>
  <c r="N45" i="1"/>
  <c r="N65" i="1"/>
  <c r="N54" i="1"/>
  <c r="N47" i="1"/>
  <c r="N38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19" i="1"/>
  <c r="N18" i="1"/>
  <c r="N40" i="1"/>
  <c r="N57" i="1"/>
  <c r="N46" i="1"/>
  <c r="N16" i="1"/>
  <c r="N58" i="1"/>
  <c r="N14" i="1"/>
  <c r="N42" i="1"/>
  <c r="N48" i="1"/>
  <c r="N75" i="1"/>
  <c r="N56" i="1"/>
  <c r="N41" i="1"/>
  <c r="N52" i="1"/>
  <c r="N62" i="1"/>
  <c r="N55" i="1"/>
  <c r="N7" i="1"/>
  <c r="N81" i="1"/>
  <c r="N15" i="1"/>
  <c r="N67" i="1"/>
  <c r="N80" i="1"/>
  <c r="N84" i="1"/>
  <c r="N66" i="1"/>
  <c r="N74" i="1"/>
  <c r="N64" i="1"/>
  <c r="N78" i="1"/>
  <c r="N13" i="1"/>
  <c r="N6" i="1"/>
  <c r="N17" i="1"/>
  <c r="N284" i="1" l="1"/>
  <c r="H284" i="1"/>
  <c r="E284" i="1"/>
  <c r="L284" i="1"/>
  <c r="J284" i="1"/>
  <c r="G284" i="1"/>
  <c r="I284" i="1" l="1"/>
  <c r="Q2" i="1"/>
  <c r="S50" i="1" l="1"/>
  <c r="T50" i="1" s="1"/>
  <c r="U50" i="1" s="1"/>
  <c r="P82" i="1"/>
  <c r="S83" i="1"/>
  <c r="S76" i="1"/>
  <c r="S60" i="1"/>
  <c r="T60" i="1" s="1"/>
  <c r="U60" i="1" s="1"/>
  <c r="S86" i="1"/>
  <c r="T86" i="1" s="1"/>
  <c r="S57" i="1"/>
  <c r="T57" i="1" s="1"/>
  <c r="U57" i="1" s="1"/>
  <c r="S19" i="1"/>
  <c r="T19" i="1" s="1"/>
  <c r="U19" i="1" s="1"/>
  <c r="S7" i="1"/>
  <c r="T7" i="1" s="1"/>
  <c r="U7" i="1" s="1"/>
  <c r="P35" i="1"/>
  <c r="Q35" i="1" s="1"/>
  <c r="R35" i="1" s="1"/>
  <c r="S65" i="1"/>
  <c r="T65" i="1" s="1"/>
  <c r="U65" i="1" s="1"/>
  <c r="P20" i="1"/>
  <c r="Q20" i="1" s="1"/>
  <c r="R20" i="1" s="1"/>
  <c r="S74" i="1"/>
  <c r="T74" i="1" s="1"/>
  <c r="U74" i="1" s="1"/>
  <c r="S46" i="1"/>
  <c r="T46" i="1" s="1"/>
  <c r="U46" i="1" s="1"/>
  <c r="S8" i="1"/>
  <c r="T8" i="1" s="1"/>
  <c r="U8" i="1" s="1"/>
  <c r="S49" i="1"/>
  <c r="T49" i="1" s="1"/>
  <c r="U49" i="1" s="1"/>
  <c r="P36" i="1"/>
  <c r="Q36" i="1" s="1"/>
  <c r="R36" i="1" s="1"/>
  <c r="S67" i="1"/>
  <c r="T67" i="1" s="1"/>
  <c r="U67" i="1" s="1"/>
  <c r="S40" i="1"/>
  <c r="T40" i="1" s="1"/>
  <c r="U40" i="1" s="1"/>
  <c r="S27" i="1"/>
  <c r="T27" i="1" s="1"/>
  <c r="U27" i="1" s="1"/>
  <c r="S61" i="1"/>
  <c r="T61" i="1" s="1"/>
  <c r="U61" i="1" s="1"/>
  <c r="S75" i="1"/>
  <c r="T75" i="1" s="1"/>
  <c r="U75" i="1" s="1"/>
  <c r="Q82" i="1"/>
  <c r="S47" i="1"/>
  <c r="T47" i="1" s="1"/>
  <c r="U47" i="1" s="1"/>
  <c r="T10" i="1"/>
  <c r="U10" i="1" s="1"/>
  <c r="S24" i="1"/>
  <c r="T24" i="1" s="1"/>
  <c r="U24" i="1" s="1"/>
  <c r="S15" i="1"/>
  <c r="T15" i="1" s="1"/>
  <c r="U15" i="1" s="1"/>
  <c r="S6" i="1"/>
  <c r="S62" i="1"/>
  <c r="T62" i="1" s="1"/>
  <c r="U62" i="1" s="1"/>
  <c r="S31" i="1"/>
  <c r="T31" i="1" s="1"/>
  <c r="U31" i="1" s="1"/>
  <c r="S70" i="1"/>
  <c r="T70" i="1" s="1"/>
  <c r="U70" i="1" s="1"/>
  <c r="S9" i="1"/>
  <c r="T9" i="1" s="1"/>
  <c r="U9" i="1" s="1"/>
  <c r="P88" i="1"/>
  <c r="Q88" i="1" s="1"/>
  <c r="P53" i="1"/>
  <c r="Q53" i="1" s="1"/>
  <c r="R53" i="1" s="1"/>
  <c r="S87" i="1"/>
  <c r="T87" i="1" s="1"/>
  <c r="T76" i="1"/>
  <c r="U76" i="1" s="1"/>
  <c r="S32" i="1"/>
  <c r="T32" i="1" s="1"/>
  <c r="U32" i="1" s="1"/>
  <c r="P63" i="1"/>
  <c r="Q63" i="1" s="1"/>
  <c r="R63" i="1" s="1"/>
  <c r="S56" i="1"/>
  <c r="T56" i="1" s="1"/>
  <c r="U56" i="1" s="1"/>
  <c r="S58" i="1"/>
  <c r="T58" i="1" s="1"/>
  <c r="U58" i="1" s="1"/>
  <c r="S23" i="1"/>
  <c r="T23" i="1" s="1"/>
  <c r="U23" i="1" s="1"/>
  <c r="S21" i="1"/>
  <c r="T21" i="1" s="1"/>
  <c r="U21" i="1" s="1"/>
  <c r="S85" i="1"/>
  <c r="T85" i="1" s="1"/>
  <c r="S17" i="1"/>
  <c r="T17" i="1" s="1"/>
  <c r="U17" i="1" s="1"/>
  <c r="S13" i="1"/>
  <c r="T13" i="1" s="1"/>
  <c r="U13" i="1" s="1"/>
  <c r="S80" i="1"/>
  <c r="T80" i="1" s="1"/>
  <c r="S69" i="1"/>
  <c r="T69" i="1" s="1"/>
  <c r="U69" i="1" s="1"/>
  <c r="S22" i="1"/>
  <c r="T22" i="1" s="1"/>
  <c r="U22" i="1" s="1"/>
  <c r="P12" i="1"/>
  <c r="Q12" i="1" s="1"/>
  <c r="R12" i="1" s="1"/>
  <c r="S73" i="1"/>
  <c r="T73" i="1" s="1"/>
  <c r="U73" i="1" s="1"/>
  <c r="S78" i="1"/>
  <c r="T78" i="1" s="1"/>
  <c r="U78" i="1" s="1"/>
  <c r="S54" i="1"/>
  <c r="T54" i="1" s="1"/>
  <c r="U54" i="1" s="1"/>
  <c r="R11" i="1"/>
  <c r="P37" i="1"/>
  <c r="Q37" i="1" s="1"/>
  <c r="R37" i="1" s="1"/>
  <c r="S18" i="1"/>
  <c r="T18" i="1" s="1"/>
  <c r="U18" i="1" s="1"/>
  <c r="S68" i="1"/>
  <c r="T68" i="1" s="1"/>
  <c r="U68" i="1" s="1"/>
  <c r="S14" i="1"/>
  <c r="T14" i="1" s="1"/>
  <c r="U14" i="1" s="1"/>
  <c r="S71" i="1"/>
  <c r="T71" i="1" s="1"/>
  <c r="U71" i="1" s="1"/>
  <c r="S44" i="1"/>
  <c r="T44" i="1" s="1"/>
  <c r="U44" i="1" s="1"/>
  <c r="S41" i="1"/>
  <c r="T41" i="1" s="1"/>
  <c r="U41" i="1" s="1"/>
  <c r="T83" i="1"/>
  <c r="S30" i="1"/>
  <c r="T30" i="1" s="1"/>
  <c r="U30" i="1" s="1"/>
  <c r="S29" i="1"/>
  <c r="T29" i="1" s="1"/>
  <c r="U29" i="1" s="1"/>
  <c r="S72" i="1"/>
  <c r="T72" i="1" s="1"/>
  <c r="U72" i="1" s="1"/>
  <c r="P79" i="1"/>
  <c r="Q79" i="1" s="1"/>
  <c r="S43" i="1"/>
  <c r="T43" i="1" s="1"/>
  <c r="U43" i="1" s="1"/>
  <c r="S25" i="1"/>
  <c r="T25" i="1" s="1"/>
  <c r="U25" i="1" s="1"/>
  <c r="P39" i="1"/>
  <c r="Q39" i="1" s="1"/>
  <c r="R39" i="1" s="1"/>
  <c r="S26" i="1"/>
  <c r="T26" i="1" s="1"/>
  <c r="U26" i="1" s="1"/>
  <c r="S28" i="1"/>
  <c r="T28" i="1" s="1"/>
  <c r="U28" i="1" s="1"/>
  <c r="S42" i="1"/>
  <c r="T42" i="1" s="1"/>
  <c r="U42" i="1" s="1"/>
  <c r="S16" i="1"/>
  <c r="T16" i="1" s="1"/>
  <c r="U16" i="1" s="1"/>
  <c r="S52" i="1"/>
  <c r="T52" i="1" s="1"/>
  <c r="U52" i="1" s="1"/>
  <c r="S38" i="1"/>
  <c r="T38" i="1" s="1"/>
  <c r="U38" i="1" s="1"/>
  <c r="S81" i="1"/>
  <c r="T81" i="1" s="1"/>
  <c r="S84" i="1"/>
  <c r="T84" i="1" s="1"/>
  <c r="S64" i="1"/>
  <c r="T64" i="1" s="1"/>
  <c r="U64" i="1" s="1"/>
  <c r="S77" i="1"/>
  <c r="T77" i="1" s="1"/>
  <c r="U77" i="1" s="1"/>
  <c r="S33" i="1"/>
  <c r="T33" i="1" s="1"/>
  <c r="U33" i="1" s="1"/>
  <c r="S48" i="1"/>
  <c r="T48" i="1" s="1"/>
  <c r="U48" i="1" s="1"/>
  <c r="P34" i="1"/>
  <c r="Q34" i="1" s="1"/>
  <c r="R34" i="1" s="1"/>
  <c r="S45" i="1"/>
  <c r="T45" i="1" s="1"/>
  <c r="U45" i="1" s="1"/>
  <c r="S59" i="1"/>
  <c r="T59" i="1" s="1"/>
  <c r="U59" i="1" s="1"/>
  <c r="S55" i="1"/>
  <c r="T55" i="1" s="1"/>
  <c r="U55" i="1" s="1"/>
  <c r="S51" i="1"/>
  <c r="T51" i="1" s="1"/>
  <c r="U51" i="1" s="1"/>
  <c r="S66" i="1"/>
  <c r="T66" i="1" s="1"/>
  <c r="U66" i="1" s="1"/>
  <c r="T6" i="1" l="1"/>
  <c r="U6" i="1" s="1"/>
  <c r="U284" i="1" s="1"/>
  <c r="G287" i="1" s="1"/>
  <c r="G289" i="1" s="1"/>
  <c r="R284" i="1"/>
  <c r="D287" i="1" s="1"/>
  <c r="D289" i="1" s="1"/>
</calcChain>
</file>

<file path=xl/sharedStrings.xml><?xml version="1.0" encoding="utf-8"?>
<sst xmlns="http://schemas.openxmlformats.org/spreadsheetml/2006/main" count="275" uniqueCount="200">
  <si>
    <t>１．小計値引額、小計値引明細按分額計算仕様</t>
    <rPh sb="2" eb="4">
      <t>ショウケイ</t>
    </rPh>
    <rPh sb="4" eb="6">
      <t>ネビ</t>
    </rPh>
    <rPh sb="6" eb="7">
      <t>ガク</t>
    </rPh>
    <rPh sb="8" eb="10">
      <t>ショウケイ</t>
    </rPh>
    <rPh sb="10" eb="12">
      <t>ネビ</t>
    </rPh>
    <rPh sb="12" eb="14">
      <t>メイサイ</t>
    </rPh>
    <rPh sb="14" eb="16">
      <t>アンブン</t>
    </rPh>
    <rPh sb="16" eb="17">
      <t>ガク</t>
    </rPh>
    <rPh sb="17" eb="19">
      <t>ケイサン</t>
    </rPh>
    <rPh sb="19" eb="21">
      <t>シヨウ</t>
    </rPh>
    <phoneticPr fontId="1"/>
  </si>
  <si>
    <t>　　　(1)小計値引額計算</t>
    <rPh sb="6" eb="8">
      <t>ショウケイ</t>
    </rPh>
    <rPh sb="8" eb="10">
      <t>ネビ</t>
    </rPh>
    <rPh sb="10" eb="11">
      <t>ガク</t>
    </rPh>
    <rPh sb="11" eb="13">
      <t>ケイサン</t>
    </rPh>
    <phoneticPr fontId="1"/>
  </si>
  <si>
    <t>小計値引額は、まず明細値引後の小計額より外税売上のうち割引除外対象金額①を減算し、かつ内税売上②と非課税売上③を除いた金額を</t>
    <rPh sb="9" eb="11">
      <t>メイサイ</t>
    </rPh>
    <rPh sb="11" eb="13">
      <t>ネビ</t>
    </rPh>
    <rPh sb="13" eb="14">
      <t>ゴ</t>
    </rPh>
    <rPh sb="15" eb="18">
      <t>ショウケイガク</t>
    </rPh>
    <rPh sb="20" eb="22">
      <t>ソトゼイ</t>
    </rPh>
    <rPh sb="22" eb="24">
      <t>ウリアゲ</t>
    </rPh>
    <rPh sb="27" eb="28">
      <t>ワリ</t>
    </rPh>
    <rPh sb="28" eb="29">
      <t>ビ</t>
    </rPh>
    <rPh sb="29" eb="31">
      <t>ジョガイ</t>
    </rPh>
    <rPh sb="31" eb="33">
      <t>タイショウ</t>
    </rPh>
    <rPh sb="33" eb="35">
      <t>キンガク</t>
    </rPh>
    <rPh sb="37" eb="39">
      <t>ゲンザン</t>
    </rPh>
    <rPh sb="43" eb="45">
      <t>ウチゼイ</t>
    </rPh>
    <rPh sb="45" eb="47">
      <t>ウリアゲ</t>
    </rPh>
    <rPh sb="49" eb="52">
      <t>ヒカゼイ</t>
    </rPh>
    <rPh sb="52" eb="54">
      <t>ウリアゲ</t>
    </rPh>
    <rPh sb="56" eb="57">
      <t>ノゾ</t>
    </rPh>
    <rPh sb="59" eb="61">
      <t>キンガク</t>
    </rPh>
    <phoneticPr fontId="1"/>
  </si>
  <si>
    <t>割引対象金額④として算出します。割引対象金額より5％を値引額として算出し、端数は小数点以下切り上げて小計値引額⑤とします。</t>
    <rPh sb="10" eb="12">
      <t>サンシュツ</t>
    </rPh>
    <rPh sb="16" eb="18">
      <t>ワリビキ</t>
    </rPh>
    <rPh sb="18" eb="20">
      <t>タイショウ</t>
    </rPh>
    <rPh sb="20" eb="22">
      <t>キンガク</t>
    </rPh>
    <rPh sb="37" eb="39">
      <t>ハスウ</t>
    </rPh>
    <rPh sb="40" eb="43">
      <t>ショウスウテン</t>
    </rPh>
    <rPh sb="43" eb="45">
      <t>イカ</t>
    </rPh>
    <rPh sb="45" eb="46">
      <t>キ</t>
    </rPh>
    <rPh sb="47" eb="48">
      <t>ア</t>
    </rPh>
    <rPh sb="50" eb="52">
      <t>ショウケイ</t>
    </rPh>
    <rPh sb="52" eb="54">
      <t>ネビ</t>
    </rPh>
    <rPh sb="54" eb="55">
      <t>ガク</t>
    </rPh>
    <phoneticPr fontId="1"/>
  </si>
  <si>
    <t>　[例]</t>
  </si>
  <si>
    <t>小計額（値引前）</t>
    <rPh sb="2" eb="3">
      <t>ガク</t>
    </rPh>
    <rPh sb="4" eb="6">
      <t>ネビ</t>
    </rPh>
    <rPh sb="6" eb="7">
      <t>マエ</t>
    </rPh>
    <phoneticPr fontId="1"/>
  </si>
  <si>
    <t>①割引除外金額</t>
    <rPh sb="1" eb="3">
      <t>ワリビキ</t>
    </rPh>
    <rPh sb="3" eb="5">
      <t>ジョガイ</t>
    </rPh>
    <rPh sb="5" eb="7">
      <t>キンガク</t>
    </rPh>
    <phoneticPr fontId="1"/>
  </si>
  <si>
    <t>②内税対象額</t>
    <rPh sb="1" eb="3">
      <t>ウチゼイ</t>
    </rPh>
    <rPh sb="3" eb="6">
      <t>タイショウガク</t>
    </rPh>
    <phoneticPr fontId="1"/>
  </si>
  <si>
    <t>③非課税対象額</t>
    <rPh sb="1" eb="4">
      <t>ヒカゼイ</t>
    </rPh>
    <rPh sb="4" eb="7">
      <t>タイショウガク</t>
    </rPh>
    <phoneticPr fontId="1"/>
  </si>
  <si>
    <t>④割引対象額</t>
    <rPh sb="1" eb="3">
      <t>ワリビキ</t>
    </rPh>
    <rPh sb="3" eb="6">
      <t>タイショウガク</t>
    </rPh>
    <phoneticPr fontId="1"/>
  </si>
  <si>
    <t>⑤小計値引額(5％)</t>
    <rPh sb="1" eb="3">
      <t>ショウケイ</t>
    </rPh>
    <rPh sb="3" eb="5">
      <t>ネビ</t>
    </rPh>
    <rPh sb="5" eb="6">
      <t>ガク</t>
    </rPh>
    <phoneticPr fontId="1"/>
  </si>
  <si>
    <t>→小数点以下切り上げ　\1,919</t>
    <rPh sb="1" eb="4">
      <t>ショウスウテン</t>
    </rPh>
    <rPh sb="4" eb="6">
      <t>イカ</t>
    </rPh>
    <rPh sb="6" eb="7">
      <t>キ</t>
    </rPh>
    <rPh sb="8" eb="9">
      <t>ア</t>
    </rPh>
    <phoneticPr fontId="1"/>
  </si>
  <si>
    <t>　　　(2)小計値引明細按分額計算</t>
    <rPh sb="6" eb="8">
      <t>ショウケイ</t>
    </rPh>
    <rPh sb="8" eb="10">
      <t>ネビ</t>
    </rPh>
    <rPh sb="10" eb="12">
      <t>メイサイ</t>
    </rPh>
    <rPh sb="12" eb="14">
      <t>アンブン</t>
    </rPh>
    <rPh sb="14" eb="15">
      <t>ガク</t>
    </rPh>
    <rPh sb="15" eb="17">
      <t>ケイサン</t>
    </rPh>
    <phoneticPr fontId="1"/>
  </si>
  <si>
    <t>小計値引明細按分は、明細金額の降順(同額の場合は登録順)に小計値引額を按分計算し、小数点以下切り上げで按分します。(按分額の残額が無くなった時点で按分終了)</t>
    <rPh sb="4" eb="6">
      <t>メイサイ</t>
    </rPh>
    <rPh sb="6" eb="8">
      <t>アンブン</t>
    </rPh>
    <rPh sb="29" eb="31">
      <t>ショウケイ</t>
    </rPh>
    <rPh sb="31" eb="33">
      <t>ネビ</t>
    </rPh>
    <rPh sb="33" eb="34">
      <t>ガク</t>
    </rPh>
    <rPh sb="35" eb="37">
      <t>アンブン</t>
    </rPh>
    <rPh sb="37" eb="39">
      <t>ケイサン</t>
    </rPh>
    <phoneticPr fontId="1"/>
  </si>
  <si>
    <t>　　(明細登録順番)</t>
  </si>
  <si>
    <t>　　１明細目：商品A 11円(外税8%、税抜き)</t>
  </si>
  <si>
    <t>　　２明細目：商品B 22円(外税8%、税抜き)</t>
  </si>
  <si>
    <t>　　３明細目：商品C 33円(外税8%、税抜き)</t>
  </si>
  <si>
    <t>　　４明細目：商品D 34円(外税8%、税抜き)</t>
  </si>
  <si>
    <t>　　　　　小計額：　　　 100円(外税抜き金額)</t>
  </si>
  <si>
    <t>　　小計値引額：　　　　 10円</t>
  </si>
  <si>
    <t>　　小計値引後小計額： 90円(外税抜き金額)</t>
  </si>
  <si>
    <t>　　　　↓</t>
  </si>
  <si>
    <t>　　(値引き按分順番)</t>
  </si>
  <si>
    <t>　　1) ４明細目：商品D 値引き按分額 10円×(34円÷100円)＝3.4円 → 4円(切上げ)</t>
  </si>
  <si>
    <t>　　2) ３明細目：商品C 値引き按分額 10円×(33円÷100円)＝3.3円 → 4円(切上げ)</t>
  </si>
  <si>
    <t>　　3) ２明細目：商品B 値引き按分額 10円×(22円÷100円)＝2.2円 → 2円(小計値引按分額の残額分のみ)</t>
  </si>
  <si>
    <t>　　4) １明細目：商品A 値引き按分額 10円×(11円÷100円)＝1.1円 → 0円(小計値引按分額の残額無し)</t>
  </si>
  <si>
    <t>２．課税計算、税按分計算</t>
    <rPh sb="2" eb="4">
      <t>カゼイ</t>
    </rPh>
    <rPh sb="4" eb="6">
      <t>ケイサン</t>
    </rPh>
    <rPh sb="7" eb="8">
      <t>ゼイ</t>
    </rPh>
    <rPh sb="8" eb="10">
      <t>アンブン</t>
    </rPh>
    <rPh sb="10" eb="12">
      <t>ケイサン</t>
    </rPh>
    <phoneticPr fontId="1"/>
  </si>
  <si>
    <t>　　　(1)課税計算</t>
    <rPh sb="6" eb="8">
      <t>カゼイ</t>
    </rPh>
    <rPh sb="8" eb="10">
      <t>ケイサン</t>
    </rPh>
    <phoneticPr fontId="1"/>
  </si>
  <si>
    <t>課税計算を税種別（外税、内税）、税率毎に計算する。但し、外税は各税率対象額より1.(2)で明細按分で算出した</t>
    <rPh sb="0" eb="2">
      <t>カゼイ</t>
    </rPh>
    <rPh sb="2" eb="4">
      <t>ケイサン</t>
    </rPh>
    <rPh sb="5" eb="8">
      <t>ゼイシュベツ</t>
    </rPh>
    <rPh sb="9" eb="11">
      <t>ソトゼイ</t>
    </rPh>
    <rPh sb="12" eb="14">
      <t>ウチゼイ</t>
    </rPh>
    <rPh sb="16" eb="18">
      <t>ゼイリツ</t>
    </rPh>
    <rPh sb="18" eb="19">
      <t>ゴト</t>
    </rPh>
    <rPh sb="20" eb="22">
      <t>ケイサン</t>
    </rPh>
    <rPh sb="25" eb="26">
      <t>タダ</t>
    </rPh>
    <rPh sb="28" eb="30">
      <t>ソトゼイ</t>
    </rPh>
    <rPh sb="31" eb="32">
      <t>カク</t>
    </rPh>
    <rPh sb="32" eb="34">
      <t>ゼイリツ</t>
    </rPh>
    <rPh sb="34" eb="36">
      <t>タイショウ</t>
    </rPh>
    <rPh sb="36" eb="37">
      <t>ガク</t>
    </rPh>
    <rPh sb="45" eb="47">
      <t>メイサイ</t>
    </rPh>
    <rPh sb="47" eb="49">
      <t>アンブン</t>
    </rPh>
    <rPh sb="50" eb="52">
      <t>サンシュツ</t>
    </rPh>
    <phoneticPr fontId="1"/>
  </si>
  <si>
    <t>各税率毎の小計値引額①を減算後に税率を掛けて小数点以下を切り捨てて算出する。</t>
    <rPh sb="19" eb="20">
      <t>カ</t>
    </rPh>
    <rPh sb="22" eb="25">
      <t>ショウスウテン</t>
    </rPh>
    <rPh sb="25" eb="27">
      <t>イカ</t>
    </rPh>
    <rPh sb="28" eb="29">
      <t>キ</t>
    </rPh>
    <rPh sb="30" eb="31">
      <t>ス</t>
    </rPh>
    <rPh sb="33" eb="35">
      <t>サンシュツ</t>
    </rPh>
    <phoneticPr fontId="1"/>
  </si>
  <si>
    <t>10％外税対象額（小計値引前）</t>
    <rPh sb="3" eb="5">
      <t>ソトゼイ</t>
    </rPh>
    <rPh sb="5" eb="8">
      <t>タイショウガク</t>
    </rPh>
    <rPh sb="9" eb="11">
      <t>ショウケイ</t>
    </rPh>
    <rPh sb="11" eb="13">
      <t>ネビ</t>
    </rPh>
    <rPh sb="13" eb="14">
      <t>マエ</t>
    </rPh>
    <phoneticPr fontId="1"/>
  </si>
  <si>
    <t>8％外税対象額（小計値引前）</t>
    <rPh sb="2" eb="4">
      <t>ソトゼイ</t>
    </rPh>
    <rPh sb="4" eb="7">
      <t>タイショウガク</t>
    </rPh>
    <rPh sb="8" eb="10">
      <t>ショウケイ</t>
    </rPh>
    <rPh sb="10" eb="12">
      <t>ネビ</t>
    </rPh>
    <rPh sb="12" eb="13">
      <t>マエ</t>
    </rPh>
    <phoneticPr fontId="1"/>
  </si>
  <si>
    <t>①10％外税対象の小計値引額</t>
    <rPh sb="4" eb="6">
      <t>ソトゼイ</t>
    </rPh>
    <rPh sb="6" eb="8">
      <t>タイショウ</t>
    </rPh>
    <rPh sb="9" eb="11">
      <t>ショウケイ</t>
    </rPh>
    <rPh sb="11" eb="13">
      <t>ネビ</t>
    </rPh>
    <rPh sb="13" eb="14">
      <t>ガク</t>
    </rPh>
    <phoneticPr fontId="1"/>
  </si>
  <si>
    <t>①8％外税対象の小計値引額</t>
    <rPh sb="3" eb="5">
      <t>ソトゼイ</t>
    </rPh>
    <rPh sb="5" eb="7">
      <t>タイショウ</t>
    </rPh>
    <rPh sb="8" eb="10">
      <t>ショウケイ</t>
    </rPh>
    <rPh sb="10" eb="12">
      <t>ネビ</t>
    </rPh>
    <rPh sb="12" eb="13">
      <t>ガク</t>
    </rPh>
    <phoneticPr fontId="1"/>
  </si>
  <si>
    <t>10％外税対象額（小計値引後）</t>
    <rPh sb="3" eb="5">
      <t>ソトゼイ</t>
    </rPh>
    <rPh sb="5" eb="8">
      <t>タイショウガク</t>
    </rPh>
    <rPh sb="9" eb="11">
      <t>ショウケイ</t>
    </rPh>
    <rPh sb="11" eb="13">
      <t>ネビ</t>
    </rPh>
    <rPh sb="13" eb="14">
      <t>ゴ</t>
    </rPh>
    <phoneticPr fontId="1"/>
  </si>
  <si>
    <t>8％外税対象額（小計値引後）</t>
    <rPh sb="2" eb="4">
      <t>ソトゼイ</t>
    </rPh>
    <rPh sb="4" eb="7">
      <t>タイショウガク</t>
    </rPh>
    <rPh sb="8" eb="10">
      <t>ショウケイ</t>
    </rPh>
    <rPh sb="10" eb="12">
      <t>ネビ</t>
    </rPh>
    <rPh sb="12" eb="13">
      <t>ゴ</t>
    </rPh>
    <phoneticPr fontId="1"/>
  </si>
  <si>
    <t>10％外税額（対象額×消費税率）</t>
    <rPh sb="3" eb="5">
      <t>ソトゼイ</t>
    </rPh>
    <rPh sb="5" eb="6">
      <t>ガク</t>
    </rPh>
    <rPh sb="7" eb="10">
      <t>タイショウガク</t>
    </rPh>
    <rPh sb="11" eb="14">
      <t>ショウヒゼイ</t>
    </rPh>
    <rPh sb="14" eb="15">
      <t>リツ</t>
    </rPh>
    <phoneticPr fontId="1"/>
  </si>
  <si>
    <t>8％外税額（対象額×消費税率）</t>
    <rPh sb="2" eb="4">
      <t>ソトゼイ</t>
    </rPh>
    <rPh sb="4" eb="5">
      <t>ガク</t>
    </rPh>
    <rPh sb="6" eb="9">
      <t>タイショウガク</t>
    </rPh>
    <rPh sb="10" eb="13">
      <t>ショウヒゼイ</t>
    </rPh>
    <rPh sb="13" eb="14">
      <t>リツ</t>
    </rPh>
    <phoneticPr fontId="1"/>
  </si>
  <si>
    <t>10％内税対象額</t>
    <rPh sb="3" eb="5">
      <t>ウチゼイ</t>
    </rPh>
    <rPh sb="5" eb="8">
      <t>タイショウガク</t>
    </rPh>
    <phoneticPr fontId="1"/>
  </si>
  <si>
    <t>10％内税額（対象額×（消費税率÷（1.0＋消費税率））</t>
    <rPh sb="3" eb="4">
      <t>ウチ</t>
    </rPh>
    <rPh sb="4" eb="6">
      <t>ゼイガク</t>
    </rPh>
    <rPh sb="7" eb="10">
      <t>タイショウガク</t>
    </rPh>
    <rPh sb="12" eb="15">
      <t>ショウヒゼイ</t>
    </rPh>
    <rPh sb="15" eb="16">
      <t>リツ</t>
    </rPh>
    <rPh sb="22" eb="25">
      <t>ショウヒゼイ</t>
    </rPh>
    <rPh sb="25" eb="26">
      <t>リツ</t>
    </rPh>
    <phoneticPr fontId="1"/>
  </si>
  <si>
    <t>■調査対象取引：2025/1/27  R0105-#1757</t>
    <rPh sb="1" eb="3">
      <t>チョウサ</t>
    </rPh>
    <rPh sb="3" eb="5">
      <t>タイショウ</t>
    </rPh>
    <rPh sb="5" eb="7">
      <t>トリヒキ</t>
    </rPh>
    <phoneticPr fontId="1"/>
  </si>
  <si>
    <t>小計割引の按分計算</t>
    <rPh sb="0" eb="2">
      <t>ショウケイ</t>
    </rPh>
    <rPh sb="2" eb="4">
      <t>ワリビキ</t>
    </rPh>
    <rPh sb="5" eb="7">
      <t>アンブン</t>
    </rPh>
    <rPh sb="7" eb="9">
      <t>ケイサン</t>
    </rPh>
    <phoneticPr fontId="1"/>
  </si>
  <si>
    <t>　　　　　　バンドル対象商品</t>
    <rPh sb="10" eb="12">
      <t>タイショウ</t>
    </rPh>
    <rPh sb="12" eb="14">
      <t>ショウヒン</t>
    </rPh>
    <phoneticPr fontId="1"/>
  </si>
  <si>
    <t>外税</t>
    <rPh sb="0" eb="2">
      <t>ソトゼイ</t>
    </rPh>
    <phoneticPr fontId="1"/>
  </si>
  <si>
    <t>内税</t>
    <rPh sb="0" eb="2">
      <t>ウチゼイ</t>
    </rPh>
    <phoneticPr fontId="1"/>
  </si>
  <si>
    <t>非課税</t>
    <rPh sb="0" eb="3">
      <t>ヒカゼイ</t>
    </rPh>
    <phoneticPr fontId="1"/>
  </si>
  <si>
    <t>値引対象額</t>
    <rPh sb="0" eb="2">
      <t>ネビキ</t>
    </rPh>
    <rPh sb="2" eb="4">
      <t>タイショウ</t>
    </rPh>
    <rPh sb="4" eb="5">
      <t>ガク</t>
    </rPh>
    <phoneticPr fontId="1"/>
  </si>
  <si>
    <t>小計値引額</t>
    <rPh sb="0" eb="2">
      <t>ショウケイ</t>
    </rPh>
    <rPh sb="2" eb="4">
      <t>ネビキ</t>
    </rPh>
    <rPh sb="4" eb="5">
      <t>ガク</t>
    </rPh>
    <phoneticPr fontId="1"/>
  </si>
  <si>
    <t>　　　　　　割引除外</t>
    <rPh sb="6" eb="8">
      <t>ワリビキ</t>
    </rPh>
    <rPh sb="8" eb="10">
      <t>ジョガイ</t>
    </rPh>
    <phoneticPr fontId="1"/>
  </si>
  <si>
    <t>-</t>
    <phoneticPr fontId="1"/>
  </si>
  <si>
    <t>　　　　　　値割引商品</t>
    <rPh sb="6" eb="9">
      <t>ネワリビキ</t>
    </rPh>
    <rPh sb="9" eb="11">
      <t>ショウヒン</t>
    </rPh>
    <phoneticPr fontId="1"/>
  </si>
  <si>
    <t>本体価格</t>
    <rPh sb="0" eb="2">
      <t>ホンタイ</t>
    </rPh>
    <rPh sb="2" eb="4">
      <t>カカク</t>
    </rPh>
    <phoneticPr fontId="1"/>
  </si>
  <si>
    <t>税額</t>
    <rPh sb="0" eb="2">
      <t>ゼイガク</t>
    </rPh>
    <phoneticPr fontId="1"/>
  </si>
  <si>
    <t>税込価格</t>
    <rPh sb="0" eb="2">
      <t>ゼイコ</t>
    </rPh>
    <rPh sb="2" eb="4">
      <t>カカク</t>
    </rPh>
    <phoneticPr fontId="1"/>
  </si>
  <si>
    <t>ー</t>
    <phoneticPr fontId="1"/>
  </si>
  <si>
    <t>外税10%</t>
    <rPh sb="0" eb="2">
      <t>ソトゼイ</t>
    </rPh>
    <phoneticPr fontId="1"/>
  </si>
  <si>
    <t>外税8%</t>
    <rPh sb="0" eb="2">
      <t>ソトゼイ</t>
    </rPh>
    <phoneticPr fontId="1"/>
  </si>
  <si>
    <t>割引対象</t>
    <rPh sb="0" eb="2">
      <t>ワリビキ</t>
    </rPh>
    <rPh sb="2" eb="4">
      <t>タイショウ</t>
    </rPh>
    <phoneticPr fontId="1"/>
  </si>
  <si>
    <t>割引除外</t>
    <rPh sb="0" eb="2">
      <t>ワリビキ</t>
    </rPh>
    <rPh sb="2" eb="4">
      <t>ジョガイ</t>
    </rPh>
    <phoneticPr fontId="1"/>
  </si>
  <si>
    <t>共通</t>
    <rPh sb="0" eb="2">
      <t>キョウツウ</t>
    </rPh>
    <phoneticPr fontId="1"/>
  </si>
  <si>
    <t>端数処理前</t>
    <rPh sb="0" eb="2">
      <t>ハスウ</t>
    </rPh>
    <rPh sb="2" eb="4">
      <t>ショリ</t>
    </rPh>
    <rPh sb="4" eb="5">
      <t>マエ</t>
    </rPh>
    <phoneticPr fontId="1"/>
  </si>
  <si>
    <t>端数切上げ後</t>
    <rPh sb="0" eb="2">
      <t>ハスウ</t>
    </rPh>
    <rPh sb="2" eb="4">
      <t>キリア</t>
    </rPh>
    <rPh sb="5" eb="6">
      <t>アト</t>
    </rPh>
    <phoneticPr fontId="1"/>
  </si>
  <si>
    <t>明細調整後</t>
    <rPh sb="0" eb="2">
      <t>メイサイ</t>
    </rPh>
    <rPh sb="2" eb="4">
      <t>チョウセイ</t>
    </rPh>
    <rPh sb="4" eb="5">
      <t>アト</t>
    </rPh>
    <phoneticPr fontId="1"/>
  </si>
  <si>
    <t xml:space="preserve">   54 xｱｷﾀｺﾏﾁ5KG         \3,790 </t>
  </si>
  <si>
    <t xml:space="preserve">   04 xｶｺﾞｼﾏｹﾝｻﾝﾔﾏﾀ      \2,390 </t>
  </si>
  <si>
    <t xml:space="preserve">   05 xｺｸｻﾝﾌﾞﾀﾆｸｼﾖｳ      \2,480 </t>
  </si>
  <si>
    <t xml:space="preserve">   12  ｴﾎﾞﾙﾀﾈｵ ﾀﾝ3       \1,090 </t>
  </si>
  <si>
    <t xml:space="preserve">   12  ﾋﾟﾂﾁﾔｰ2.1L          \999 </t>
  </si>
  <si>
    <t xml:space="preserve">   57 xﾊﾟﾂｸｺﾞﾊﾝ6ｺ          \799 </t>
  </si>
  <si>
    <t xml:space="preserve">   23 xﾆｷﾞﾘ ｶｵﾘ            \799 </t>
  </si>
  <si>
    <t xml:space="preserve">   09 xｺｳｽｲﾅｼ              \599 </t>
  </si>
  <si>
    <t xml:space="preserve">   48 xﾄﾞﾗｲｾﾞﾛ6ｶﾝ          \599 </t>
  </si>
  <si>
    <t xml:space="preserve">   08 xｻﾂﾎﾟﾛｼｵ5ﾊﾟﾂｸ        \499 </t>
  </si>
  <si>
    <t xml:space="preserve">   02 xﾔｻｲ                 \499 </t>
  </si>
  <si>
    <t xml:space="preserve">   09 xｸﾀﾞﾓﾉ               \499 </t>
  </si>
  <si>
    <t xml:space="preserve">   15  ﾊﾅ                  \499 </t>
  </si>
  <si>
    <t xml:space="preserve">   04 xｾﾝｷﾞﾖ               \499 </t>
  </si>
  <si>
    <t xml:space="preserve">   06 xｴﾝｶﾝ                \499 </t>
  </si>
  <si>
    <t xml:space="preserve">   05 xｾｲﾆｸ                \499 </t>
  </si>
  <si>
    <t xml:space="preserve">   10 xﾃﾞｲﾘ-ｼｮｸﾋﾝ          \499 </t>
  </si>
  <si>
    <t xml:space="preserve">   11 xﾆｭｳｾｲﾋﾝﾚｲｼｮｸ        \499 </t>
  </si>
  <si>
    <t xml:space="preserve">   34 xﾍﾞ-ｶﾘ-              \499 </t>
  </si>
  <si>
    <t xml:space="preserve">   43 xﾎﾞﾝﾏﾀﾝ              \499 </t>
  </si>
  <si>
    <t xml:space="preserve">   54 xｺﾒ                  \499 </t>
  </si>
  <si>
    <t xml:space="preserve">   01 xｶｼ                  \499 </t>
  </si>
  <si>
    <t xml:space="preserve">   03 xｲﾂﾊﾟﾝｼﾖｸﾋﾝ          \499 </t>
  </si>
  <si>
    <t xml:space="preserve">   08 xｶﾝﾌﾞﾂ               \499 </t>
  </si>
  <si>
    <t xml:space="preserve">   48 xｿﾉﾀｻｹ               \499 </t>
  </si>
  <si>
    <t xml:space="preserve">   20 xｿｳｻﾞｲ               \499 </t>
  </si>
  <si>
    <t xml:space="preserve">   07  ｻﾞｯｶ                \499 </t>
  </si>
  <si>
    <t xml:space="preserve">   12  ﾊﾞﾗｴﾃｨ-ｻﾞｯｶ         \499 </t>
  </si>
  <si>
    <t xml:space="preserve">   13  ｲﾘｮｳﾋﾝ              \499 </t>
  </si>
  <si>
    <t xml:space="preserve">   27  ｲﾘﾖｳﾋﾝ              \499 </t>
  </si>
  <si>
    <t xml:space="preserve">   23 xｽｼ                  \499 </t>
  </si>
  <si>
    <t xml:space="preserve">   13  ｶｻ                  \480 </t>
  </si>
  <si>
    <t xml:space="preserve">   10 xﾅﾝｺｳﾊﾞｲｼｿ           \599 </t>
  </si>
  <si>
    <t xml:space="preserve">   05 xNH ｼﾔｳｴﾂｾﾝX2        \399 </t>
  </si>
  <si>
    <t xml:space="preserve">   23 xﾊﾞﾂﾃﾗ 6ｶﾝ           \399 </t>
  </si>
  <si>
    <t xml:space="preserve">   09 xｵｰﾙﾄﾞｺｺﾅﾂﾂ          \499 </t>
  </si>
  <si>
    <t xml:space="preserve">   20 xﾉﾘﾍﾞﾝﾄｳ             \498 </t>
  </si>
  <si>
    <t xml:space="preserve">   01 xｼﾖｰﾄﾌﾞﾚﾂﾄﾞ          \479 </t>
  </si>
  <si>
    <t xml:space="preserve">   11 xﾌﾞﾛﾂｺﾘｰ             \359 </t>
  </si>
  <si>
    <t xml:space="preserve">   09 xﾌﾞﾙ-ﾍﾞﾘ-            \398 </t>
  </si>
  <si>
    <t xml:space="preserve">   20 xﾄﾝｶﾂｲﾁﾏｲ            \349 </t>
  </si>
  <si>
    <t xml:space="preserve">   06 xｱｼﾞﾋﾗｷ              \329 </t>
  </si>
  <si>
    <t xml:space="preserve">   53  IGｼﾞﾕｸｾｲﾐﾘﾝ         \329 </t>
  </si>
  <si>
    <t xml:space="preserve">   04 xﾏｸﾞﾛﾀﾂﾌﾟﾘﾓﾘｱ        \580 </t>
  </si>
  <si>
    <t xml:space="preserve">   05 xｺｸｻﾝﾜｶﾄﾞﾘ ﾓﾓ        \290 </t>
  </si>
  <si>
    <t xml:space="preserve">   10 xﾇｶｷﾕｳﾘ              \329 </t>
  </si>
  <si>
    <t xml:space="preserve">   43 xﾐﾆﾊﾟﾝﾂﾒｱﾜｾ6ｺ        \249 </t>
  </si>
  <si>
    <t xml:space="preserve">   06 xﾔｷｻｹﾎｸﾞｼ            \200 </t>
  </si>
  <si>
    <t xml:space="preserve">   53  ｷｰｺｰﾋｰﾌｲﾙﾀｰﾑ        \199 </t>
  </si>
  <si>
    <t xml:space="preserve">   34 xﾛｲﾔﾙﾌﾞﾚﾂﾄﾞ6         \199 </t>
  </si>
  <si>
    <t xml:space="preserve">   02 xｷﾕｳﾘ                \198 </t>
  </si>
  <si>
    <t xml:space="preserve">   09 xｴﾅｼﾞｰﾅﾊﾞﾅﾅ          \198 </t>
  </si>
  <si>
    <t xml:space="preserve">   04 xﾎﾝﾏｸﾞﾛ              \475 </t>
  </si>
  <si>
    <t xml:space="preserve">   08 xｶﾚ-ﾇ-ﾄﾞﾙ            \189 </t>
  </si>
  <si>
    <t xml:space="preserve">   08 xｶﾂﾌﾟﾇ-ﾄﾞﾙ           \189 </t>
  </si>
  <si>
    <t xml:space="preserve">   08 xｱｶｲｷﾂﾈ              \169 </t>
  </si>
  <si>
    <t xml:space="preserve">   08 xﾐﾄﾞﾘﾉﾀﾇｷ            \169 </t>
  </si>
  <si>
    <t xml:space="preserve">   11 xﾕｷﾒｸﾞﾗｸﾉｳL          \150 </t>
  </si>
  <si>
    <t xml:space="preserve">   20 xﾎﾟﾃﾄｻﾗﾀﾞ            \149 </t>
  </si>
  <si>
    <t xml:space="preserve">  A03 xｻﾄｳｷﾘﾓﾁﾂｷﾀﾃｼ        \779 </t>
  </si>
  <si>
    <t xml:space="preserve">   10 xｷﾇﾋﾞｼﾞﾝ             \159 </t>
  </si>
  <si>
    <t xml:space="preserve">   51  ﾌﾟﾛﾔｷﾕｳﾁﾂﾌﾟｽ        \109 </t>
  </si>
  <si>
    <t xml:space="preserve">   02 xｺｸｻﾝｶﾎﾞﾁﾔ           \100 </t>
  </si>
  <si>
    <t xml:space="preserve">   09 xｼﾔｲﾝﾏｽｶﾂﾄ           \100 </t>
  </si>
  <si>
    <t xml:space="preserve">  A07  ﾋﾞｵﾚﾋﾔﾀｵﾙ           \499 </t>
  </si>
  <si>
    <t xml:space="preserve">  A01 xｶﾌﾞｷｱｹﾞ             \229 </t>
  </si>
  <si>
    <t xml:space="preserve">   02 xﾀﾏﾈｷﾞ                \39 </t>
  </si>
  <si>
    <t xml:space="preserve">   01 xｸﾞﾘｺ ﾎﾟﾂﾌﾟｷﾔ         \49 </t>
  </si>
  <si>
    <t xml:space="preserve">   07  &gt;ﾚｼﾞﾌﾞｸﾛ              \5 </t>
  </si>
  <si>
    <t xml:space="preserve">    部門値引   30%         -\48 </t>
  </si>
  <si>
    <t xml:space="preserve">    部門値引   50%        -\290 </t>
  </si>
  <si>
    <t xml:space="preserve"> 販売許可確認                   </t>
  </si>
  <si>
    <t xml:space="preserve">   44  ｽｰﾊﾟｰﾄﾞﾗｲ6P       \1,055J</t>
  </si>
  <si>
    <t xml:space="preserve"> * 14内ﾀﾊﾞｺ                \600J</t>
  </si>
  <si>
    <t xml:space="preserve"> * 14内ﾃﾘｱM                \580J</t>
  </si>
  <si>
    <t xml:space="preserve"> * 46内ｺﾞﾐﾌﾞｸﾛ20           \400J</t>
  </si>
  <si>
    <t xml:space="preserve"> * 58非ﾊｶﾞｷ                 \85J</t>
  </si>
  <si>
    <t xml:space="preserve"> *** 取消           *********** </t>
  </si>
  <si>
    <t xml:space="preserve">   05  ｺｸｻﾝﾌﾞﾀﾆｸｼﾖｳ             </t>
  </si>
  <si>
    <t xml:space="preserve"> ****************************** </t>
  </si>
  <si>
    <t xml:space="preserve">   04  ﾎﾝﾏｸﾞﾛ                   </t>
  </si>
  <si>
    <t xml:space="preserve">   20  ﾉﾘﾍﾞﾝﾄｳ                  </t>
  </si>
  <si>
    <t xml:space="preserve">   44  ｽｰﾊﾟｰﾄﾞﾗｲ350            J</t>
  </si>
  <si>
    <t xml:space="preserve"> * 59非ｼﾖｳﾋﾝｹﾝ 1000      \1,000J</t>
  </si>
  <si>
    <t xml:space="preserve"> * 58非ﾋﾞｰﾙｷﾞﾌﾄｹﾝｶﾝ        \560J</t>
  </si>
  <si>
    <t xml:space="preserve"> * 58非ﾋﾞｰﾙｷﾞﾌﾄｹﾝﾋﾞ        \915J</t>
  </si>
  <si>
    <t xml:space="preserve"> * 58非ｵｺﾒ ｷﾞﾌﾄｹﾝ          \500J</t>
  </si>
  <si>
    <t xml:space="preserve">    部門値引   20%         -\66 </t>
  </si>
  <si>
    <t xml:space="preserve">    部門値引   20%        -\120 </t>
  </si>
  <si>
    <t xml:space="preserve">   47  ｻﾞﾂｼ              \1,980J</t>
  </si>
  <si>
    <t xml:space="preserve">   9784297113674 1923055019805  </t>
  </si>
  <si>
    <t xml:space="preserve">   47  ｻﾞﾂｼ              \1,100J</t>
  </si>
  <si>
    <t xml:space="preserve">   9784297111311 1922036011005  </t>
  </si>
  <si>
    <t xml:space="preserve"> * 14内ﾀﾊﾞｺ                \499J</t>
  </si>
  <si>
    <t xml:space="preserve">   44  ｻｹ                  \499J</t>
  </si>
  <si>
    <t xml:space="preserve"> * 46内ﾁｲｷｼﾃｲﾖｳﾋﾝ          \499J</t>
  </si>
  <si>
    <t xml:space="preserve">   47  ｻﾞﾂｼ                \499J</t>
  </si>
  <si>
    <t xml:space="preserve">    Ｍ値引     10%         -\40 </t>
  </si>
  <si>
    <t xml:space="preserve">    Ｍ値引     20%         -\80 </t>
  </si>
  <si>
    <t xml:space="preserve">    Ｍ値引     50%        -\199 </t>
  </si>
  <si>
    <t xml:space="preserve">    Ｍ値引     20%         -\96 </t>
  </si>
  <si>
    <t xml:space="preserve">    Ｍ値引     30%        -\144 </t>
  </si>
  <si>
    <t xml:space="preserve">    Ｍ値引     50%        -\240 </t>
  </si>
  <si>
    <t xml:space="preserve">    Ｍ値引     20%         -\10 </t>
  </si>
  <si>
    <t xml:space="preserve">    Ｍ値引     30%         -\15 </t>
  </si>
  <si>
    <t xml:space="preserve">    Ｍ値引     50%         -\25 </t>
  </si>
  <si>
    <t xml:space="preserve">    Ｍ値引     20%        -\100 </t>
  </si>
  <si>
    <t xml:space="preserve">    Ｍ値引     30%        -\150 </t>
  </si>
  <si>
    <t xml:space="preserve">    Ｍ値引     50%        -\250 </t>
  </si>
  <si>
    <t xml:space="preserve">    Ｍ値引     20%        -\496 </t>
  </si>
  <si>
    <t xml:space="preserve">    Ｍ値引     30%        -\744 </t>
  </si>
  <si>
    <t xml:space="preserve">    Ｍ値引     50%      -\1,240 </t>
  </si>
  <si>
    <t xml:space="preserve">    部門値引   50%        -\238 </t>
  </si>
  <si>
    <t xml:space="preserve">    Ｍ値引     20%         -\48 </t>
  </si>
  <si>
    <t xml:space="preserve">    Ｍ値引     30%         -\72 </t>
  </si>
  <si>
    <t xml:space="preserve">    Ｍ値引     50%        -\119 </t>
  </si>
  <si>
    <t xml:space="preserve">    Ｍ値引     50%        -\249 </t>
  </si>
  <si>
    <t xml:space="preserve">   44  ｽｰﾊﾟｰﾄﾞﾗｲ350        \179J</t>
  </si>
  <si>
    <t xml:space="preserve">    Ｍ値引     20%         -\36 </t>
  </si>
  <si>
    <t xml:space="preserve">    Ｍ値引     30%         -\54 </t>
  </si>
  <si>
    <t xml:space="preserve">    Ｍ値引     50%         -\90 </t>
  </si>
  <si>
    <t xml:space="preserve">         ﾎﾟｲﾝﾄﾌﾟﾗｽ           10p</t>
  </si>
  <si>
    <t xml:space="preserve">         ﾎﾟｲﾝﾄﾌﾟﾗｽ           20p</t>
  </si>
  <si>
    <t xml:space="preserve">         ﾎﾟｲﾝﾄﾌﾟﾗｽ           20p</t>
    <phoneticPr fontId="1"/>
  </si>
  <si>
    <t xml:space="preserve">  (  2個\200       3個\278    ) </t>
  </si>
  <si>
    <t xml:space="preserve">     3個Aまとめ    \278 -\1,229 </t>
  </si>
  <si>
    <t xml:space="preserve">    小計値引    5%      -\1,919 </t>
  </si>
  <si>
    <t>★まとめ値引</t>
    <phoneticPr fontId="1"/>
  </si>
  <si>
    <t>小計</t>
    <rPh sb="0" eb="2">
      <t>ショウケイ</t>
    </rPh>
    <phoneticPr fontId="1"/>
  </si>
  <si>
    <t>小計値引 5%</t>
    <rPh sb="0" eb="2">
      <t>ショウケイ</t>
    </rPh>
    <rPh sb="2" eb="4">
      <t>ネビキ</t>
    </rPh>
    <phoneticPr fontId="1"/>
  </si>
  <si>
    <t>小計値引 5%（按分計算後）</t>
    <rPh sb="0" eb="2">
      <t>ショウケイ</t>
    </rPh>
    <rPh sb="2" eb="4">
      <t>ネビキ</t>
    </rPh>
    <rPh sb="8" eb="10">
      <t>アンブン</t>
    </rPh>
    <rPh sb="10" eb="12">
      <t>ケイサン</t>
    </rPh>
    <rPh sb="12" eb="13">
      <t>アト</t>
    </rPh>
    <phoneticPr fontId="1"/>
  </si>
  <si>
    <t>計算結果</t>
    <rPh sb="0" eb="2">
      <t>ケイサン</t>
    </rPh>
    <rPh sb="2" eb="4">
      <t>ケッカ</t>
    </rPh>
    <phoneticPr fontId="1"/>
  </si>
  <si>
    <t>レシート印字</t>
    <rPh sb="4" eb="6">
      <t>インジ</t>
    </rPh>
    <phoneticPr fontId="1"/>
  </si>
  <si>
    <t>外税10%対象額</t>
    <rPh sb="0" eb="2">
      <t>ソトゼイ</t>
    </rPh>
    <rPh sb="5" eb="7">
      <t>タイショウ</t>
    </rPh>
    <rPh sb="7" eb="8">
      <t>ガク</t>
    </rPh>
    <phoneticPr fontId="1"/>
  </si>
  <si>
    <t>外税8%対象額</t>
    <rPh sb="0" eb="2">
      <t>ソトゼイ</t>
    </rPh>
    <rPh sb="4" eb="6">
      <t>タイショウ</t>
    </rPh>
    <rPh sb="6" eb="7">
      <t>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</si>
</sst>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0_ "/>
    <numFmt numFmtId="177" formatCode="#,##0_ "/>
    <numFmt numFmtId="178" formatCode="#,##0.00_ "/>
    <numFmt numFmtId="179" formatCode="#,##0.000_ "/>
    <numFmt numFmtId="180" formatCode="&quot;¥&quot;#,##0.0;[Red]&quot;¥&quot;\-#,##0.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0070C0"/>
      <name val="Yu Gothic"/>
      <family val="2"/>
      <scheme val="minor"/>
    </font>
    <font>
      <sz val="11"/>
      <color rgb="FF0070C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76" fontId="0" fillId="0" borderId="0" xfId="0" applyNumberFormat="1"/>
    <xf numFmtId="0" fontId="0" fillId="0" borderId="3" xfId="0" applyBorder="1"/>
    <xf numFmtId="0" fontId="0" fillId="0" borderId="4" xfId="0" applyBorder="1"/>
    <xf numFmtId="0" fontId="0" fillId="4" borderId="3" xfId="0" applyFill="1" applyBorder="1"/>
    <xf numFmtId="0" fontId="0" fillId="0" borderId="2" xfId="0" applyBorder="1"/>
    <xf numFmtId="0" fontId="0" fillId="4" borderId="2" xfId="0" applyFill="1" applyBorder="1"/>
    <xf numFmtId="0" fontId="0" fillId="2" borderId="3" xfId="0" applyFill="1" applyBorder="1"/>
    <xf numFmtId="177" fontId="0" fillId="0" borderId="5" xfId="0" applyNumberFormat="1" applyBorder="1"/>
    <xf numFmtId="177" fontId="0" fillId="0" borderId="1" xfId="0" applyNumberFormat="1" applyBorder="1"/>
    <xf numFmtId="177" fontId="0" fillId="0" borderId="6" xfId="0" applyNumberFormat="1" applyBorder="1"/>
    <xf numFmtId="177" fontId="0" fillId="0" borderId="7" xfId="0" applyNumberFormat="1" applyBorder="1"/>
    <xf numFmtId="177" fontId="0" fillId="0" borderId="3" xfId="0" applyNumberFormat="1" applyBorder="1"/>
    <xf numFmtId="177" fontId="0" fillId="0" borderId="4" xfId="0" applyNumberFormat="1" applyBorder="1"/>
    <xf numFmtId="177" fontId="0" fillId="0" borderId="0" xfId="0" applyNumberFormat="1"/>
    <xf numFmtId="177" fontId="0" fillId="0" borderId="2" xfId="0" applyNumberFormat="1" applyBorder="1"/>
    <xf numFmtId="178" fontId="0" fillId="0" borderId="3" xfId="0" applyNumberFormat="1" applyBorder="1"/>
    <xf numFmtId="0" fontId="0" fillId="0" borderId="17" xfId="0" applyBorder="1"/>
    <xf numFmtId="177" fontId="0" fillId="0" borderId="18" xfId="0" applyNumberFormat="1" applyBorder="1"/>
    <xf numFmtId="177" fontId="0" fillId="0" borderId="17" xfId="0" applyNumberFormat="1" applyBorder="1"/>
    <xf numFmtId="0" fontId="0" fillId="0" borderId="20" xfId="0" applyBorder="1"/>
    <xf numFmtId="0" fontId="0" fillId="2" borderId="17" xfId="0" applyFill="1" applyBorder="1"/>
    <xf numFmtId="0" fontId="0" fillId="4" borderId="20" xfId="0" applyFill="1" applyBorder="1"/>
    <xf numFmtId="0" fontId="0" fillId="3" borderId="17" xfId="0" applyFill="1" applyBorder="1"/>
    <xf numFmtId="177" fontId="0" fillId="0" borderId="21" xfId="0" applyNumberFormat="1" applyBorder="1"/>
    <xf numFmtId="177" fontId="0" fillId="0" borderId="20" xfId="0" applyNumberFormat="1" applyBorder="1"/>
    <xf numFmtId="178" fontId="0" fillId="0" borderId="22" xfId="0" applyNumberFormat="1" applyBorder="1"/>
    <xf numFmtId="9" fontId="0" fillId="5" borderId="13" xfId="0" applyNumberFormat="1" applyFill="1" applyBorder="1"/>
    <xf numFmtId="9" fontId="0" fillId="5" borderId="15" xfId="0" applyNumberFormat="1" applyFill="1" applyBorder="1"/>
    <xf numFmtId="9" fontId="0" fillId="5" borderId="19" xfId="0" applyNumberFormat="1" applyFill="1" applyBorder="1"/>
    <xf numFmtId="9" fontId="0" fillId="5" borderId="16" xfId="0" applyNumberFormat="1" applyFill="1" applyBorder="1"/>
    <xf numFmtId="9" fontId="0" fillId="6" borderId="13" xfId="0" applyNumberFormat="1" applyFill="1" applyBorder="1"/>
    <xf numFmtId="0" fontId="0" fillId="7" borderId="8" xfId="0" applyFill="1" applyBorder="1"/>
    <xf numFmtId="9" fontId="0" fillId="7" borderId="12" xfId="0" applyNumberFormat="1" applyFill="1" applyBorder="1"/>
    <xf numFmtId="0" fontId="0" fillId="7" borderId="2" xfId="0" applyFill="1" applyBorder="1" applyAlignment="1">
      <alignment horizontal="center" vertical="center"/>
    </xf>
    <xf numFmtId="176" fontId="0" fillId="0" borderId="2" xfId="0" applyNumberFormat="1" applyBorder="1"/>
    <xf numFmtId="176" fontId="0" fillId="0" borderId="7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2" fillId="0" borderId="17" xfId="0" applyFont="1" applyBorder="1"/>
    <xf numFmtId="176" fontId="0" fillId="8" borderId="2" xfId="0" applyNumberFormat="1" applyFill="1" applyBorder="1" applyAlignment="1">
      <alignment horizontal="center"/>
    </xf>
    <xf numFmtId="177" fontId="0" fillId="8" borderId="3" xfId="0" applyNumberFormat="1" applyFill="1" applyBorder="1"/>
    <xf numFmtId="177" fontId="0" fillId="8" borderId="20" xfId="0" applyNumberFormat="1" applyFill="1" applyBorder="1"/>
    <xf numFmtId="177" fontId="0" fillId="8" borderId="2" xfId="0" applyNumberFormat="1" applyFill="1" applyBorder="1"/>
    <xf numFmtId="177" fontId="0" fillId="8" borderId="4" xfId="0" applyNumberFormat="1" applyFill="1" applyBorder="1"/>
    <xf numFmtId="177" fontId="0" fillId="8" borderId="0" xfId="0" applyNumberFormat="1" applyFill="1"/>
    <xf numFmtId="9" fontId="0" fillId="5" borderId="12" xfId="0" applyNumberFormat="1" applyFill="1" applyBorder="1" applyAlignment="1">
      <alignment horizontal="center" vertical="center"/>
    </xf>
    <xf numFmtId="9" fontId="0" fillId="5" borderId="14" xfId="0" applyNumberFormat="1" applyFill="1" applyBorder="1" applyAlignment="1">
      <alignment horizontal="center" vertical="center"/>
    </xf>
    <xf numFmtId="9" fontId="0" fillId="6" borderId="12" xfId="0" applyNumberFormat="1" applyFill="1" applyBorder="1" applyAlignment="1">
      <alignment horizontal="center" vertical="center"/>
    </xf>
    <xf numFmtId="9" fontId="0" fillId="5" borderId="2" xfId="0" applyNumberFormat="1" applyFill="1" applyBorder="1"/>
    <xf numFmtId="9" fontId="0" fillId="6" borderId="2" xfId="0" applyNumberFormat="1" applyFill="1" applyBorder="1"/>
    <xf numFmtId="177" fontId="3" fillId="8" borderId="3" xfId="0" applyNumberFormat="1" applyFont="1" applyFill="1" applyBorder="1"/>
    <xf numFmtId="177" fontId="3" fillId="8" borderId="22" xfId="0" applyNumberFormat="1" applyFont="1" applyFill="1" applyBorder="1"/>
    <xf numFmtId="176" fontId="0" fillId="9" borderId="2" xfId="0" applyNumberFormat="1" applyFill="1" applyBorder="1" applyAlignment="1">
      <alignment horizontal="center"/>
    </xf>
    <xf numFmtId="177" fontId="0" fillId="9" borderId="3" xfId="0" applyNumberFormat="1" applyFill="1" applyBorder="1"/>
    <xf numFmtId="177" fontId="0" fillId="9" borderId="20" xfId="0" applyNumberFormat="1" applyFill="1" applyBorder="1"/>
    <xf numFmtId="177" fontId="0" fillId="9" borderId="2" xfId="0" applyNumberFormat="1" applyFill="1" applyBorder="1"/>
    <xf numFmtId="177" fontId="0" fillId="9" borderId="17" xfId="0" applyNumberFormat="1" applyFill="1" applyBorder="1"/>
    <xf numFmtId="177" fontId="0" fillId="9" borderId="4" xfId="0" applyNumberFormat="1" applyFill="1" applyBorder="1"/>
    <xf numFmtId="177" fontId="0" fillId="9" borderId="0" xfId="0" applyNumberFormat="1" applyFill="1"/>
    <xf numFmtId="0" fontId="0" fillId="0" borderId="8" xfId="0" applyBorder="1"/>
    <xf numFmtId="177" fontId="0" fillId="0" borderId="8" xfId="0" applyNumberFormat="1" applyBorder="1"/>
    <xf numFmtId="0" fontId="0" fillId="10" borderId="13" xfId="0" applyFill="1" applyBorder="1"/>
    <xf numFmtId="0" fontId="0" fillId="10" borderId="14" xfId="0" applyFill="1" applyBorder="1"/>
    <xf numFmtId="0" fontId="0" fillId="10" borderId="9" xfId="0" applyFill="1" applyBorder="1"/>
    <xf numFmtId="0" fontId="0" fillId="10" borderId="15" xfId="0" applyFill="1" applyBorder="1"/>
    <xf numFmtId="0" fontId="0" fillId="10" borderId="12" xfId="0" applyFill="1" applyBorder="1"/>
    <xf numFmtId="179" fontId="0" fillId="0" borderId="2" xfId="0" applyNumberFormat="1" applyBorder="1"/>
    <xf numFmtId="0" fontId="0" fillId="0" borderId="23" xfId="0" applyBorder="1"/>
    <xf numFmtId="177" fontId="0" fillId="2" borderId="3" xfId="0" applyNumberFormat="1" applyFill="1" applyBorder="1"/>
    <xf numFmtId="177" fontId="0" fillId="2" borderId="22" xfId="0" applyNumberFormat="1" applyFill="1" applyBorder="1"/>
    <xf numFmtId="177" fontId="0" fillId="2" borderId="5" xfId="0" applyNumberFormat="1" applyFill="1" applyBorder="1"/>
    <xf numFmtId="177" fontId="0" fillId="2" borderId="7" xfId="0" applyNumberFormat="1" applyFill="1" applyBorder="1"/>
    <xf numFmtId="176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10" borderId="12" xfId="0" applyFill="1" applyBorder="1" applyAlignment="1">
      <alignment horizontal="center" vertical="center"/>
    </xf>
    <xf numFmtId="0" fontId="4" fillId="0" borderId="0" xfId="0" applyFont="1"/>
    <xf numFmtId="176" fontId="0" fillId="5" borderId="2" xfId="0" applyNumberFormat="1" applyFill="1" applyBorder="1"/>
    <xf numFmtId="6" fontId="4" fillId="0" borderId="0" xfId="0" applyNumberFormat="1" applyFont="1"/>
    <xf numFmtId="0" fontId="4" fillId="0" borderId="28" xfId="0" applyFont="1" applyBorder="1"/>
    <xf numFmtId="6" fontId="4" fillId="0" borderId="28" xfId="0" applyNumberFormat="1" applyFont="1" applyBorder="1"/>
    <xf numFmtId="176" fontId="0" fillId="2" borderId="2" xfId="0" applyNumberFormat="1" applyFill="1" applyBorder="1"/>
    <xf numFmtId="0" fontId="5" fillId="0" borderId="0" xfId="0" applyFont="1"/>
    <xf numFmtId="0" fontId="6" fillId="0" borderId="0" xfId="0" applyFont="1"/>
    <xf numFmtId="180" fontId="6" fillId="0" borderId="0" xfId="0" applyNumberFormat="1" applyFont="1"/>
    <xf numFmtId="6" fontId="6" fillId="0" borderId="0" xfId="0" applyNumberFormat="1" applyFont="1"/>
    <xf numFmtId="9" fontId="0" fillId="5" borderId="9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45720</xdr:rowOff>
    </xdr:from>
    <xdr:to>
      <xdr:col>2</xdr:col>
      <xdr:colOff>754380</xdr:colOff>
      <xdr:row>2</xdr:row>
      <xdr:rowOff>213360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A96D7DD-B301-9D60-407A-6BB8BF86CBCB}"/>
            </a:ext>
          </a:extLst>
        </xdr:cNvPr>
        <xdr:cNvSpPr/>
      </xdr:nvSpPr>
      <xdr:spPr>
        <a:xfrm>
          <a:off x="441960" y="396240"/>
          <a:ext cx="533400" cy="167640"/>
        </a:xfrm>
        <a:prstGeom prst="rect">
          <a:avLst/>
        </a:prstGeom>
        <a:solidFill>
          <a:srgbClr val="FFC0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220980</xdr:colOff>
      <xdr:row>3</xdr:row>
      <xdr:rowOff>45720</xdr:rowOff>
    </xdr:from>
    <xdr:to>
      <xdr:col>2</xdr:col>
      <xdr:colOff>754380</xdr:colOff>
      <xdr:row>3</xdr:row>
      <xdr:rowOff>213360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9D075C7-507D-49B7-99E7-C5A0989ACA71}"/>
            </a:ext>
          </a:extLst>
        </xdr:cNvPr>
        <xdr:cNvSpPr/>
      </xdr:nvSpPr>
      <xdr:spPr>
        <a:xfrm>
          <a:off x="441960" y="396240"/>
          <a:ext cx="533400" cy="1676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220980</xdr:colOff>
      <xdr:row>1</xdr:row>
      <xdr:rowOff>45720</xdr:rowOff>
    </xdr:from>
    <xdr:to>
      <xdr:col>2</xdr:col>
      <xdr:colOff>754380</xdr:colOff>
      <xdr:row>1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23453F7-A755-414E-8464-6222464D1884}"/>
            </a:ext>
          </a:extLst>
        </xdr:cNvPr>
        <xdr:cNvSpPr/>
      </xdr:nvSpPr>
      <xdr:spPr>
        <a:xfrm>
          <a:off x="441960" y="533400"/>
          <a:ext cx="533400" cy="167640"/>
        </a:xfrm>
        <a:prstGeom prst="rect">
          <a:avLst/>
        </a:prstGeom>
        <a:solidFill>
          <a:srgbClr val="FFFF00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60960</xdr:colOff>
      <xdr:row>287</xdr:row>
      <xdr:rowOff>167640</xdr:rowOff>
    </xdr:from>
    <xdr:to>
      <xdr:col>4</xdr:col>
      <xdr:colOff>53340</xdr:colOff>
      <xdr:row>291</xdr:row>
      <xdr:rowOff>99060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6BB3F26-16C2-05AE-B23E-A2536F5FF43E}"/>
            </a:ext>
          </a:extLst>
        </xdr:cNvPr>
        <xdr:cNvSpPr/>
      </xdr:nvSpPr>
      <xdr:spPr>
        <a:xfrm>
          <a:off x="2545080" y="53934360"/>
          <a:ext cx="662940" cy="84582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</xdr:colOff>
      <xdr:row>287</xdr:row>
      <xdr:rowOff>167640</xdr:rowOff>
    </xdr:from>
    <xdr:to>
      <xdr:col>7</xdr:col>
      <xdr:colOff>0</xdr:colOff>
      <xdr:row>291</xdr:row>
      <xdr:rowOff>99060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C45A828-E280-0EF8-8CC3-CE14D38E4D86}"/>
            </a:ext>
          </a:extLst>
        </xdr:cNvPr>
        <xdr:cNvSpPr/>
      </xdr:nvSpPr>
      <xdr:spPr>
        <a:xfrm>
          <a:off x="4503420" y="53934360"/>
          <a:ext cx="662940" cy="84582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522C-64B0-415F-AF02-A55395CFD2EB}">
  <dimension ref="A1:L82"/>
  <sheetViews>
    <sheetView tabSelected="1" workbookViewId="0">
      <selection activeCell="B5" sqref="B5"/>
    </sheetView>
  </sheetViews>
  <sheetFormatPr defaultColWidth="8.75" defaultRowHeight="15.75"/>
  <cols>
    <col min="1" max="3" width="8.75" style="79"/>
    <col min="4" max="4" width="11.5" style="79" bestFit="1" customWidth="1"/>
    <col min="5" max="5" width="10.25" style="79" bestFit="1" customWidth="1"/>
    <col min="6" max="16384" width="8.75" style="79"/>
  </cols>
  <sheetData>
    <row r="1" spans="1:7">
      <c r="A1" s="79" t="s">
        <v>0</v>
      </c>
    </row>
    <row r="3" spans="1:7">
      <c r="A3" s="79" t="s">
        <v>1</v>
      </c>
    </row>
    <row r="4" spans="1:7" ht="18.75">
      <c r="B4" t="s">
        <v>2</v>
      </c>
    </row>
    <row r="5" spans="1:7" ht="18.75">
      <c r="B5" t="s">
        <v>3</v>
      </c>
    </row>
    <row r="6" spans="1:7" ht="18.75">
      <c r="B6" t="s">
        <v>4</v>
      </c>
    </row>
    <row r="7" spans="1:7" ht="18.75">
      <c r="B7" t="s">
        <v>5</v>
      </c>
      <c r="D7" s="81">
        <v>49490</v>
      </c>
    </row>
    <row r="8" spans="1:7" ht="18.75">
      <c r="B8" t="s">
        <v>6</v>
      </c>
      <c r="D8" s="81">
        <v>-5490</v>
      </c>
    </row>
    <row r="9" spans="1:7" ht="18.75">
      <c r="B9" t="s">
        <v>7</v>
      </c>
      <c r="D9" s="81">
        <v>-2578</v>
      </c>
    </row>
    <row r="10" spans="1:7" ht="18.75">
      <c r="B10" s="77" t="s">
        <v>8</v>
      </c>
      <c r="C10" s="82"/>
      <c r="D10" s="83">
        <v>-3060</v>
      </c>
      <c r="E10" s="82"/>
    </row>
    <row r="11" spans="1:7" ht="18.75">
      <c r="B11" t="s">
        <v>9</v>
      </c>
      <c r="D11" s="81">
        <f>SUM(D7:D10)</f>
        <v>38362</v>
      </c>
    </row>
    <row r="12" spans="1:7" ht="18.75">
      <c r="B12" s="85" t="s">
        <v>10</v>
      </c>
      <c r="C12" s="86"/>
      <c r="D12" s="87">
        <f>D11*0.05</f>
        <v>1918.1000000000001</v>
      </c>
      <c r="E12" s="86" t="s">
        <v>11</v>
      </c>
      <c r="F12" s="86"/>
      <c r="G12" s="86"/>
    </row>
    <row r="13" spans="1:7" ht="18.75">
      <c r="B13"/>
    </row>
    <row r="14" spans="1:7">
      <c r="A14" s="79" t="s">
        <v>12</v>
      </c>
    </row>
    <row r="15" spans="1:7" ht="18.75">
      <c r="B15" t="s">
        <v>13</v>
      </c>
    </row>
    <row r="16" spans="1:7" ht="18.75">
      <c r="B16" t="s">
        <v>4</v>
      </c>
    </row>
    <row r="17" spans="2:2" ht="18.75">
      <c r="B17" t="s">
        <v>14</v>
      </c>
    </row>
    <row r="18" spans="2:2" ht="18.75">
      <c r="B18" t="s">
        <v>15</v>
      </c>
    </row>
    <row r="19" spans="2:2" ht="18.75">
      <c r="B19" t="s">
        <v>16</v>
      </c>
    </row>
    <row r="20" spans="2:2" ht="18.75">
      <c r="B20" t="s">
        <v>17</v>
      </c>
    </row>
    <row r="21" spans="2:2" ht="18.75">
      <c r="B21" t="s">
        <v>18</v>
      </c>
    </row>
    <row r="22" spans="2:2" ht="18.75">
      <c r="B22" t="s">
        <v>19</v>
      </c>
    </row>
    <row r="23" spans="2:2" ht="18.75">
      <c r="B23" t="s">
        <v>20</v>
      </c>
    </row>
    <row r="24" spans="2:2" ht="18.75">
      <c r="B24" t="s">
        <v>21</v>
      </c>
    </row>
    <row r="25" spans="2:2" ht="18.75">
      <c r="B25" t="s">
        <v>22</v>
      </c>
    </row>
    <row r="26" spans="2:2" ht="18.75">
      <c r="B26" t="s">
        <v>23</v>
      </c>
    </row>
    <row r="27" spans="2:2" ht="18.75">
      <c r="B27" t="s">
        <v>24</v>
      </c>
    </row>
    <row r="28" spans="2:2" ht="18.75">
      <c r="B28" t="s">
        <v>25</v>
      </c>
    </row>
    <row r="29" spans="2:2" ht="18.75">
      <c r="B29" t="s">
        <v>26</v>
      </c>
    </row>
    <row r="30" spans="2:2" ht="18.75">
      <c r="B30" t="s">
        <v>27</v>
      </c>
    </row>
    <row r="31" spans="2:2" ht="18.75">
      <c r="B31"/>
    </row>
    <row r="32" spans="2:2" ht="18.75">
      <c r="B32"/>
    </row>
    <row r="33" spans="1:12">
      <c r="A33" s="79" t="s">
        <v>28</v>
      </c>
    </row>
    <row r="35" spans="1:12">
      <c r="A35" s="79" t="s">
        <v>29</v>
      </c>
    </row>
    <row r="36" spans="1:12" ht="18.75">
      <c r="B36" t="s">
        <v>30</v>
      </c>
    </row>
    <row r="37" spans="1:12" ht="18.75">
      <c r="B37" t="s">
        <v>31</v>
      </c>
    </row>
    <row r="38" spans="1:12" ht="18.75">
      <c r="B38" t="s">
        <v>4</v>
      </c>
    </row>
    <row r="39" spans="1:12" ht="18.75">
      <c r="B39" t="s">
        <v>32</v>
      </c>
      <c r="E39" s="81">
        <v>11288</v>
      </c>
      <c r="H39" t="s">
        <v>33</v>
      </c>
      <c r="K39" s="81">
        <v>32564</v>
      </c>
    </row>
    <row r="40" spans="1:12" ht="18.75">
      <c r="B40" s="77" t="s">
        <v>34</v>
      </c>
      <c r="C40" s="82"/>
      <c r="D40" s="82"/>
      <c r="E40" s="83">
        <v>-288</v>
      </c>
      <c r="F40" s="82"/>
      <c r="H40" s="77" t="s">
        <v>35</v>
      </c>
      <c r="I40" s="82"/>
      <c r="J40" s="82"/>
      <c r="K40" s="83">
        <v>-1631</v>
      </c>
      <c r="L40" s="82"/>
    </row>
    <row r="41" spans="1:12" ht="18.75">
      <c r="B41" t="s">
        <v>36</v>
      </c>
      <c r="E41" s="81">
        <f>SUM(E39:E40)</f>
        <v>11000</v>
      </c>
      <c r="H41" t="s">
        <v>37</v>
      </c>
      <c r="K41" s="81">
        <f>SUM(K39:K40)</f>
        <v>30933</v>
      </c>
    </row>
    <row r="42" spans="1:12">
      <c r="B42" s="86" t="s">
        <v>38</v>
      </c>
      <c r="C42" s="86"/>
      <c r="D42" s="86"/>
      <c r="E42" s="88">
        <f>ROUNDDOWN(E41*0.1,0)</f>
        <v>1100</v>
      </c>
      <c r="H42" s="86" t="s">
        <v>39</v>
      </c>
      <c r="I42" s="86"/>
      <c r="J42" s="86"/>
      <c r="K42" s="88">
        <f>ROUNDDOWN(K41*0.08,0)</f>
        <v>2474</v>
      </c>
    </row>
    <row r="44" spans="1:12" ht="18.75">
      <c r="B44" t="s">
        <v>40</v>
      </c>
      <c r="E44" s="81">
        <v>2578</v>
      </c>
    </row>
    <row r="45" spans="1:12">
      <c r="B45" s="86" t="s">
        <v>41</v>
      </c>
      <c r="C45" s="86"/>
      <c r="D45" s="86"/>
      <c r="E45" s="88"/>
    </row>
    <row r="46" spans="1:12">
      <c r="B46" s="86"/>
      <c r="C46" s="86"/>
      <c r="D46" s="86"/>
      <c r="E46" s="88">
        <f>ROUNDDOWN(E44*(0.1/(1+0.1)),0)</f>
        <v>234</v>
      </c>
    </row>
    <row r="82" spans="2:2" ht="18.75">
      <c r="B8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301"/>
  <sheetViews>
    <sheetView topLeftCell="C1" zoomScale="70" zoomScaleNormal="70" workbookViewId="0">
      <pane ySplit="5" topLeftCell="A246" activePane="bottomLeft" state="frozen"/>
      <selection pane="bottomLeft" activeCell="S11" sqref="S11"/>
    </sheetView>
  </sheetViews>
  <sheetFormatPr defaultRowHeight="18.75"/>
  <cols>
    <col min="1" max="1" width="1.5" customWidth="1"/>
    <col min="2" max="2" width="3.75" customWidth="1"/>
    <col min="3" max="3" width="29.75" style="1" customWidth="1"/>
    <col min="4" max="12" width="8.75" customWidth="1"/>
    <col min="13" max="13" width="1.25" customWidth="1"/>
    <col min="14" max="14" width="8.75" customWidth="1"/>
    <col min="15" max="15" width="1.75" customWidth="1"/>
    <col min="16" max="16" width="11.75" customWidth="1"/>
    <col min="17" max="17" width="12.25" customWidth="1"/>
    <col min="18" max="18" width="9.875" customWidth="1"/>
    <col min="19" max="19" width="10.25" customWidth="1"/>
    <col min="21" max="21" width="9.875" customWidth="1"/>
    <col min="22" max="22" width="1.875" customWidth="1"/>
  </cols>
  <sheetData>
    <row r="1" spans="2:21" ht="20.45" customHeight="1">
      <c r="C1" s="1" t="s">
        <v>42</v>
      </c>
      <c r="P1" t="s">
        <v>43</v>
      </c>
    </row>
    <row r="2" spans="2:21">
      <c r="C2" s="1" t="s">
        <v>44</v>
      </c>
      <c r="D2" s="91" t="s">
        <v>45</v>
      </c>
      <c r="E2" s="92"/>
      <c r="F2" s="92"/>
      <c r="G2" s="92"/>
      <c r="H2" s="92"/>
      <c r="I2" s="90"/>
      <c r="J2" s="93" t="s">
        <v>46</v>
      </c>
      <c r="K2" s="90"/>
      <c r="L2" s="32" t="s">
        <v>47</v>
      </c>
      <c r="P2" s="59" t="s">
        <v>48</v>
      </c>
      <c r="Q2" s="60">
        <f>(D284+G284)</f>
        <v>38362</v>
      </c>
      <c r="S2" s="59" t="s">
        <v>49</v>
      </c>
      <c r="T2" s="60">
        <f>ROUNDUP(((Q2)*0.05),0)</f>
        <v>1919</v>
      </c>
    </row>
    <row r="3" spans="2:21">
      <c r="C3" s="1" t="s">
        <v>50</v>
      </c>
      <c r="D3" s="89">
        <v>0.1</v>
      </c>
      <c r="E3" s="92"/>
      <c r="F3" s="90"/>
      <c r="G3" s="89">
        <v>0.08</v>
      </c>
      <c r="H3" s="92"/>
      <c r="I3" s="90"/>
      <c r="J3" s="94">
        <v>0.1</v>
      </c>
      <c r="K3" s="90"/>
      <c r="L3" s="34" t="s">
        <v>51</v>
      </c>
    </row>
    <row r="4" spans="2:21">
      <c r="C4" s="1" t="s">
        <v>52</v>
      </c>
      <c r="D4" s="89" t="s">
        <v>53</v>
      </c>
      <c r="E4" s="90"/>
      <c r="F4" s="45" t="s">
        <v>54</v>
      </c>
      <c r="G4" s="89" t="s">
        <v>53</v>
      </c>
      <c r="H4" s="90"/>
      <c r="I4" s="46" t="s">
        <v>54</v>
      </c>
      <c r="J4" s="31" t="s">
        <v>55</v>
      </c>
      <c r="K4" s="47" t="s">
        <v>54</v>
      </c>
      <c r="L4" s="33" t="s">
        <v>56</v>
      </c>
      <c r="N4" s="78" t="s">
        <v>53</v>
      </c>
      <c r="O4" s="2"/>
      <c r="P4" s="61" t="s">
        <v>57</v>
      </c>
      <c r="Q4" s="62"/>
      <c r="R4" s="62"/>
      <c r="S4" s="63" t="s">
        <v>58</v>
      </c>
      <c r="T4" s="62"/>
      <c r="U4" s="64"/>
    </row>
    <row r="5" spans="2:21">
      <c r="D5" s="27" t="s">
        <v>59</v>
      </c>
      <c r="E5" s="29" t="s">
        <v>60</v>
      </c>
      <c r="F5" s="48"/>
      <c r="G5" s="30" t="s">
        <v>59</v>
      </c>
      <c r="H5" s="28" t="s">
        <v>60</v>
      </c>
      <c r="I5" s="48"/>
      <c r="J5" s="31" t="s">
        <v>60</v>
      </c>
      <c r="K5" s="49"/>
      <c r="L5" s="33" t="s">
        <v>60</v>
      </c>
      <c r="N5" s="78" t="s">
        <v>61</v>
      </c>
      <c r="O5" s="5"/>
      <c r="P5" s="65" t="s">
        <v>62</v>
      </c>
      <c r="Q5" s="65" t="s">
        <v>63</v>
      </c>
      <c r="R5" s="65" t="s">
        <v>64</v>
      </c>
      <c r="S5" s="65" t="s">
        <v>62</v>
      </c>
      <c r="T5" s="65" t="s">
        <v>63</v>
      </c>
      <c r="U5" s="65" t="s">
        <v>64</v>
      </c>
    </row>
    <row r="6" spans="2:21">
      <c r="B6">
        <v>11</v>
      </c>
      <c r="C6" s="35" t="s">
        <v>65</v>
      </c>
      <c r="D6" s="2"/>
      <c r="E6" s="20"/>
      <c r="F6" s="5"/>
      <c r="G6" s="17">
        <v>3790</v>
      </c>
      <c r="H6" s="3"/>
      <c r="J6" s="2"/>
      <c r="K6" s="5"/>
      <c r="L6" s="5"/>
      <c r="N6" s="5">
        <f>G6</f>
        <v>3790</v>
      </c>
      <c r="O6" s="5"/>
      <c r="P6" s="5"/>
      <c r="Q6" s="5"/>
      <c r="R6" s="5"/>
      <c r="S6" s="66">
        <f>G6*$T$2/$Q$2</f>
        <v>189.58891611490537</v>
      </c>
      <c r="T6" s="15">
        <f>ROUNDUP(S6,0)</f>
        <v>190</v>
      </c>
      <c r="U6" s="15">
        <f t="shared" ref="T6:U10" si="0">ROUNDUP(T6,0)</f>
        <v>190</v>
      </c>
    </row>
    <row r="7" spans="2:21">
      <c r="B7">
        <v>40</v>
      </c>
      <c r="C7" s="35" t="s">
        <v>66</v>
      </c>
      <c r="D7" s="2"/>
      <c r="E7" s="20"/>
      <c r="F7" s="5"/>
      <c r="G7" s="17">
        <v>2390</v>
      </c>
      <c r="H7" s="3"/>
      <c r="J7" s="2"/>
      <c r="K7" s="5"/>
      <c r="L7" s="5"/>
      <c r="N7" s="5">
        <f>G7</f>
        <v>2390</v>
      </c>
      <c r="O7" s="5"/>
      <c r="P7" s="5"/>
      <c r="Q7" s="5"/>
      <c r="R7" s="5"/>
      <c r="S7" s="66">
        <f>G7*$T$2/$Q$2</f>
        <v>119.55607111203796</v>
      </c>
      <c r="T7" s="15">
        <f t="shared" si="0"/>
        <v>120</v>
      </c>
      <c r="U7" s="15">
        <f t="shared" si="0"/>
        <v>120</v>
      </c>
    </row>
    <row r="8" spans="2:21">
      <c r="B8">
        <v>219</v>
      </c>
      <c r="C8" s="35" t="s">
        <v>67</v>
      </c>
      <c r="D8" s="2"/>
      <c r="E8" s="20"/>
      <c r="F8" s="5"/>
      <c r="G8" s="23">
        <v>1984</v>
      </c>
      <c r="H8" s="3"/>
      <c r="J8" s="2"/>
      <c r="K8" s="5"/>
      <c r="L8" s="5"/>
      <c r="N8" s="5">
        <f>G8</f>
        <v>1984</v>
      </c>
      <c r="O8" s="5"/>
      <c r="P8" s="5"/>
      <c r="Q8" s="5"/>
      <c r="R8" s="5"/>
      <c r="S8" s="66">
        <f>G8*$T$2/$Q$2</f>
        <v>99.246546061206402</v>
      </c>
      <c r="T8" s="15">
        <f t="shared" si="0"/>
        <v>100</v>
      </c>
      <c r="U8" s="15">
        <f t="shared" si="0"/>
        <v>100</v>
      </c>
    </row>
    <row r="9" spans="2:21">
      <c r="B9">
        <v>222</v>
      </c>
      <c r="C9" s="35" t="s">
        <v>67</v>
      </c>
      <c r="D9" s="2"/>
      <c r="E9" s="20"/>
      <c r="F9" s="5"/>
      <c r="G9" s="23">
        <v>1736</v>
      </c>
      <c r="H9" s="3"/>
      <c r="J9" s="2"/>
      <c r="K9" s="5"/>
      <c r="L9" s="5"/>
      <c r="N9" s="5">
        <f>G9</f>
        <v>1736</v>
      </c>
      <c r="O9" s="5"/>
      <c r="P9" s="5"/>
      <c r="Q9" s="5"/>
      <c r="R9" s="5"/>
      <c r="S9" s="66">
        <f>G9*$T$2/$Q$2</f>
        <v>86.840727803555609</v>
      </c>
      <c r="T9" s="15">
        <f t="shared" si="0"/>
        <v>87</v>
      </c>
      <c r="U9" s="15">
        <f t="shared" si="0"/>
        <v>87</v>
      </c>
    </row>
    <row r="10" spans="2:21">
      <c r="B10">
        <v>225</v>
      </c>
      <c r="C10" s="35" t="s">
        <v>67</v>
      </c>
      <c r="D10" s="2"/>
      <c r="E10" s="20"/>
      <c r="F10" s="5"/>
      <c r="G10" s="23">
        <v>1240</v>
      </c>
      <c r="H10" s="3"/>
      <c r="J10" s="2"/>
      <c r="K10" s="5"/>
      <c r="L10" s="5"/>
      <c r="N10" s="5">
        <f>G10</f>
        <v>1240</v>
      </c>
      <c r="O10" s="5"/>
      <c r="P10" s="5"/>
      <c r="Q10" s="5"/>
      <c r="R10" s="5"/>
      <c r="S10" s="66">
        <f>G10*$T$2/$Q$2</f>
        <v>62.029091288254001</v>
      </c>
      <c r="T10" s="15">
        <f t="shared" si="0"/>
        <v>63</v>
      </c>
      <c r="U10" s="15">
        <f t="shared" si="0"/>
        <v>63</v>
      </c>
    </row>
    <row r="11" spans="2:21">
      <c r="B11">
        <v>99</v>
      </c>
      <c r="C11" s="35" t="s">
        <v>68</v>
      </c>
      <c r="D11" s="2">
        <v>1090</v>
      </c>
      <c r="E11" s="20"/>
      <c r="F11" s="5"/>
      <c r="G11" s="17"/>
      <c r="H11" s="3"/>
      <c r="J11" s="2"/>
      <c r="K11" s="5"/>
      <c r="L11" s="5"/>
      <c r="N11" s="5">
        <f>D11</f>
        <v>1090</v>
      </c>
      <c r="O11" s="5"/>
      <c r="P11" s="66">
        <f>D11*$T$2/$Q$2</f>
        <v>54.52557218080392</v>
      </c>
      <c r="Q11" s="15">
        <f>ROUNDUP(P11,0)</f>
        <v>55</v>
      </c>
      <c r="R11" s="15">
        <f>ROUNDUP(Q11,0)</f>
        <v>55</v>
      </c>
      <c r="S11" s="5"/>
      <c r="T11" s="5"/>
      <c r="U11" s="5"/>
    </row>
    <row r="12" spans="2:21">
      <c r="B12">
        <v>17</v>
      </c>
      <c r="C12" s="35" t="s">
        <v>69</v>
      </c>
      <c r="D12" s="2">
        <v>999</v>
      </c>
      <c r="E12" s="20"/>
      <c r="F12" s="5"/>
      <c r="G12" s="17"/>
      <c r="H12" s="3"/>
      <c r="J12" s="2"/>
      <c r="K12" s="5"/>
      <c r="L12" s="5"/>
      <c r="N12" s="5">
        <f>D12</f>
        <v>999</v>
      </c>
      <c r="O12" s="5"/>
      <c r="P12" s="66">
        <f>D12*$T$2/$Q$2</f>
        <v>49.97343725561754</v>
      </c>
      <c r="Q12" s="15">
        <f>ROUNDUP(P12,0)</f>
        <v>50</v>
      </c>
      <c r="R12" s="15">
        <f>ROUNDUP(Q12,0)</f>
        <v>50</v>
      </c>
      <c r="S12" s="5"/>
      <c r="T12" s="5"/>
      <c r="U12" s="5"/>
    </row>
    <row r="13" spans="2:21">
      <c r="B13">
        <v>15</v>
      </c>
      <c r="C13" s="35" t="s">
        <v>70</v>
      </c>
      <c r="D13" s="2"/>
      <c r="E13" s="20"/>
      <c r="F13" s="5"/>
      <c r="G13" s="17">
        <v>799</v>
      </c>
      <c r="H13" s="3"/>
      <c r="J13" s="2"/>
      <c r="K13" s="5"/>
      <c r="L13" s="5"/>
      <c r="N13" s="5">
        <f t="shared" ref="N13:N19" si="1">G13</f>
        <v>799</v>
      </c>
      <c r="O13" s="5"/>
      <c r="P13" s="5"/>
      <c r="Q13" s="5"/>
      <c r="R13" s="5"/>
      <c r="S13" s="66">
        <f t="shared" ref="S13:S19" si="2">G13*$T$2/$Q$2</f>
        <v>39.968745112350767</v>
      </c>
      <c r="T13" s="15">
        <f t="shared" ref="T13:U19" si="3">ROUNDUP(S13,0)</f>
        <v>40</v>
      </c>
      <c r="U13" s="15">
        <f t="shared" si="3"/>
        <v>40</v>
      </c>
    </row>
    <row r="14" spans="2:21">
      <c r="B14">
        <v>59</v>
      </c>
      <c r="C14" s="35" t="s">
        <v>71</v>
      </c>
      <c r="D14" s="2"/>
      <c r="E14" s="20"/>
      <c r="F14" s="5"/>
      <c r="G14" s="17">
        <v>799</v>
      </c>
      <c r="H14" s="3"/>
      <c r="J14" s="2"/>
      <c r="K14" s="5"/>
      <c r="L14" s="5"/>
      <c r="N14" s="5">
        <f t="shared" si="1"/>
        <v>799</v>
      </c>
      <c r="O14" s="5"/>
      <c r="P14" s="5"/>
      <c r="Q14" s="5"/>
      <c r="R14" s="5"/>
      <c r="S14" s="66">
        <f t="shared" si="2"/>
        <v>39.968745112350767</v>
      </c>
      <c r="T14" s="15">
        <f t="shared" si="3"/>
        <v>40</v>
      </c>
      <c r="U14" s="15">
        <f t="shared" si="3"/>
        <v>40</v>
      </c>
    </row>
    <row r="15" spans="2:21">
      <c r="B15">
        <v>36</v>
      </c>
      <c r="C15" s="35" t="s">
        <v>72</v>
      </c>
      <c r="D15" s="2"/>
      <c r="E15" s="20"/>
      <c r="F15" s="5"/>
      <c r="G15" s="17">
        <v>599</v>
      </c>
      <c r="H15" s="3"/>
      <c r="J15" s="2"/>
      <c r="K15" s="5"/>
      <c r="L15" s="5"/>
      <c r="N15" s="5">
        <f t="shared" si="1"/>
        <v>599</v>
      </c>
      <c r="O15" s="5"/>
      <c r="P15" s="5"/>
      <c r="Q15" s="5"/>
      <c r="R15" s="5"/>
      <c r="S15" s="66">
        <f t="shared" si="2"/>
        <v>29.964052969083991</v>
      </c>
      <c r="T15" s="15">
        <f t="shared" si="3"/>
        <v>30</v>
      </c>
      <c r="U15" s="15">
        <f t="shared" si="3"/>
        <v>30</v>
      </c>
    </row>
    <row r="16" spans="2:21">
      <c r="B16">
        <v>69</v>
      </c>
      <c r="C16" s="35" t="s">
        <v>73</v>
      </c>
      <c r="D16" s="2"/>
      <c r="E16" s="20"/>
      <c r="F16" s="5"/>
      <c r="G16" s="17">
        <v>599</v>
      </c>
      <c r="H16" s="3"/>
      <c r="J16" s="2"/>
      <c r="K16" s="5"/>
      <c r="L16" s="5"/>
      <c r="N16" s="5">
        <f t="shared" si="1"/>
        <v>599</v>
      </c>
      <c r="O16" s="5"/>
      <c r="P16" s="5"/>
      <c r="Q16" s="5"/>
      <c r="R16" s="5"/>
      <c r="S16" s="66">
        <f t="shared" si="2"/>
        <v>29.964052969083991</v>
      </c>
      <c r="T16" s="15">
        <f t="shared" si="3"/>
        <v>30</v>
      </c>
      <c r="U16" s="15">
        <f t="shared" si="3"/>
        <v>30</v>
      </c>
    </row>
    <row r="17" spans="2:21">
      <c r="B17">
        <v>9</v>
      </c>
      <c r="C17" s="35" t="s">
        <v>74</v>
      </c>
      <c r="D17" s="2"/>
      <c r="E17" s="20"/>
      <c r="F17" s="5"/>
      <c r="G17" s="17">
        <v>499</v>
      </c>
      <c r="H17" s="3"/>
      <c r="J17" s="2"/>
      <c r="K17" s="5"/>
      <c r="L17" s="5"/>
      <c r="N17" s="5">
        <f t="shared" si="1"/>
        <v>499</v>
      </c>
      <c r="O17" s="5"/>
      <c r="P17" s="5"/>
      <c r="Q17" s="5"/>
      <c r="R17" s="5"/>
      <c r="S17" s="66">
        <f t="shared" si="2"/>
        <v>24.9617068974506</v>
      </c>
      <c r="T17" s="15">
        <f t="shared" si="3"/>
        <v>25</v>
      </c>
      <c r="U17" s="15">
        <f t="shared" si="3"/>
        <v>25</v>
      </c>
    </row>
    <row r="18" spans="2:21">
      <c r="B18">
        <v>105</v>
      </c>
      <c r="C18" s="35" t="s">
        <v>75</v>
      </c>
      <c r="D18" s="2"/>
      <c r="E18" s="20"/>
      <c r="F18" s="5"/>
      <c r="G18" s="17">
        <v>499</v>
      </c>
      <c r="H18" s="3"/>
      <c r="J18" s="2"/>
      <c r="K18" s="5"/>
      <c r="L18" s="5"/>
      <c r="N18" s="5">
        <f t="shared" si="1"/>
        <v>499</v>
      </c>
      <c r="O18" s="5"/>
      <c r="P18" s="5"/>
      <c r="Q18" s="5"/>
      <c r="R18" s="5"/>
      <c r="S18" s="66">
        <f t="shared" si="2"/>
        <v>24.9617068974506</v>
      </c>
      <c r="T18" s="15">
        <f t="shared" si="3"/>
        <v>25</v>
      </c>
      <c r="U18" s="15">
        <f t="shared" si="3"/>
        <v>25</v>
      </c>
    </row>
    <row r="19" spans="2:21">
      <c r="B19">
        <v>106</v>
      </c>
      <c r="C19" s="35" t="s">
        <v>76</v>
      </c>
      <c r="D19" s="2"/>
      <c r="E19" s="20"/>
      <c r="F19" s="5"/>
      <c r="G19" s="17">
        <v>499</v>
      </c>
      <c r="H19" s="3"/>
      <c r="J19" s="2"/>
      <c r="K19" s="5"/>
      <c r="L19" s="5"/>
      <c r="N19" s="5">
        <f t="shared" si="1"/>
        <v>499</v>
      </c>
      <c r="O19" s="5"/>
      <c r="P19" s="5"/>
      <c r="Q19" s="5"/>
      <c r="R19" s="5"/>
      <c r="S19" s="66">
        <f t="shared" si="2"/>
        <v>24.9617068974506</v>
      </c>
      <c r="T19" s="15">
        <f t="shared" si="3"/>
        <v>25</v>
      </c>
      <c r="U19" s="15">
        <f t="shared" si="3"/>
        <v>25</v>
      </c>
    </row>
    <row r="20" spans="2:21">
      <c r="B20">
        <v>107</v>
      </c>
      <c r="C20" s="35" t="s">
        <v>77</v>
      </c>
      <c r="D20" s="2">
        <v>499</v>
      </c>
      <c r="E20" s="20"/>
      <c r="F20" s="5"/>
      <c r="G20" s="17"/>
      <c r="H20" s="3"/>
      <c r="J20" s="2"/>
      <c r="K20" s="5"/>
      <c r="L20" s="5"/>
      <c r="N20" s="5">
        <f>D20</f>
        <v>499</v>
      </c>
      <c r="O20" s="5"/>
      <c r="P20" s="66">
        <f>D20*$T$2/$Q$2</f>
        <v>24.9617068974506</v>
      </c>
      <c r="Q20" s="15">
        <f>ROUNDUP(P20,0)</f>
        <v>25</v>
      </c>
      <c r="R20" s="15">
        <f>ROUNDUP(Q20,0)</f>
        <v>25</v>
      </c>
      <c r="S20" s="5"/>
      <c r="T20" s="5"/>
      <c r="U20" s="5"/>
    </row>
    <row r="21" spans="2:21">
      <c r="B21">
        <v>108</v>
      </c>
      <c r="C21" s="35" t="s">
        <v>78</v>
      </c>
      <c r="D21" s="2"/>
      <c r="E21" s="20"/>
      <c r="F21" s="5"/>
      <c r="G21" s="17">
        <v>499</v>
      </c>
      <c r="H21" s="3"/>
      <c r="J21" s="2"/>
      <c r="K21" s="5"/>
      <c r="L21" s="5"/>
      <c r="N21" s="5">
        <f t="shared" ref="N21:N33" si="4">G21</f>
        <v>499</v>
      </c>
      <c r="O21" s="5"/>
      <c r="P21" s="5"/>
      <c r="Q21" s="5"/>
      <c r="R21" s="5"/>
      <c r="S21" s="66">
        <f t="shared" ref="S21:S33" si="5">G21*$T$2/$Q$2</f>
        <v>24.9617068974506</v>
      </c>
      <c r="T21" s="15">
        <f t="shared" ref="T21:U33" si="6">ROUNDUP(S21,0)</f>
        <v>25</v>
      </c>
      <c r="U21" s="15">
        <f t="shared" si="6"/>
        <v>25</v>
      </c>
    </row>
    <row r="22" spans="2:21">
      <c r="B22">
        <v>109</v>
      </c>
      <c r="C22" s="35" t="s">
        <v>79</v>
      </c>
      <c r="D22" s="2"/>
      <c r="E22" s="20"/>
      <c r="F22" s="5"/>
      <c r="G22" s="17">
        <v>499</v>
      </c>
      <c r="H22" s="3"/>
      <c r="J22" s="2"/>
      <c r="K22" s="5"/>
      <c r="L22" s="5"/>
      <c r="N22" s="5">
        <f t="shared" si="4"/>
        <v>499</v>
      </c>
      <c r="O22" s="5"/>
      <c r="P22" s="5"/>
      <c r="Q22" s="5"/>
      <c r="R22" s="5"/>
      <c r="S22" s="66">
        <f t="shared" si="5"/>
        <v>24.9617068974506</v>
      </c>
      <c r="T22" s="15">
        <f t="shared" si="6"/>
        <v>25</v>
      </c>
      <c r="U22" s="15">
        <f t="shared" si="6"/>
        <v>25</v>
      </c>
    </row>
    <row r="23" spans="2:21">
      <c r="B23">
        <v>110</v>
      </c>
      <c r="C23" s="35" t="s">
        <v>80</v>
      </c>
      <c r="D23" s="2"/>
      <c r="E23" s="20"/>
      <c r="F23" s="5"/>
      <c r="G23" s="17">
        <v>499</v>
      </c>
      <c r="H23" s="3"/>
      <c r="J23" s="2"/>
      <c r="K23" s="5"/>
      <c r="L23" s="5"/>
      <c r="N23" s="5">
        <f t="shared" si="4"/>
        <v>499</v>
      </c>
      <c r="O23" s="5"/>
      <c r="P23" s="5"/>
      <c r="Q23" s="5"/>
      <c r="R23" s="5"/>
      <c r="S23" s="66">
        <f t="shared" si="5"/>
        <v>24.9617068974506</v>
      </c>
      <c r="T23" s="15">
        <f t="shared" si="6"/>
        <v>25</v>
      </c>
      <c r="U23" s="15">
        <f t="shared" si="6"/>
        <v>25</v>
      </c>
    </row>
    <row r="24" spans="2:21">
      <c r="B24">
        <v>111</v>
      </c>
      <c r="C24" s="35" t="s">
        <v>81</v>
      </c>
      <c r="D24" s="2"/>
      <c r="E24" s="20"/>
      <c r="F24" s="5"/>
      <c r="G24" s="17">
        <v>499</v>
      </c>
      <c r="H24" s="3"/>
      <c r="J24" s="2"/>
      <c r="K24" s="5"/>
      <c r="L24" s="5"/>
      <c r="N24" s="5">
        <f t="shared" si="4"/>
        <v>499</v>
      </c>
      <c r="O24" s="5"/>
      <c r="P24" s="5"/>
      <c r="Q24" s="5"/>
      <c r="R24" s="5"/>
      <c r="S24" s="66">
        <f t="shared" si="5"/>
        <v>24.9617068974506</v>
      </c>
      <c r="T24" s="15">
        <f t="shared" si="6"/>
        <v>25</v>
      </c>
      <c r="U24" s="15">
        <f t="shared" si="6"/>
        <v>25</v>
      </c>
    </row>
    <row r="25" spans="2:21">
      <c r="B25">
        <v>112</v>
      </c>
      <c r="C25" s="35" t="s">
        <v>82</v>
      </c>
      <c r="D25" s="2"/>
      <c r="E25" s="20"/>
      <c r="F25" s="5"/>
      <c r="G25" s="17">
        <v>499</v>
      </c>
      <c r="H25" s="3"/>
      <c r="J25" s="2"/>
      <c r="K25" s="5"/>
      <c r="L25" s="5"/>
      <c r="N25" s="5">
        <f t="shared" si="4"/>
        <v>499</v>
      </c>
      <c r="O25" s="5"/>
      <c r="P25" s="5"/>
      <c r="Q25" s="5"/>
      <c r="R25" s="5"/>
      <c r="S25" s="66">
        <f t="shared" si="5"/>
        <v>24.9617068974506</v>
      </c>
      <c r="T25" s="15">
        <f t="shared" si="6"/>
        <v>25</v>
      </c>
      <c r="U25" s="15">
        <f t="shared" si="6"/>
        <v>25</v>
      </c>
    </row>
    <row r="26" spans="2:21">
      <c r="B26">
        <v>113</v>
      </c>
      <c r="C26" s="35" t="s">
        <v>83</v>
      </c>
      <c r="D26" s="2"/>
      <c r="E26" s="20"/>
      <c r="F26" s="5"/>
      <c r="G26" s="17">
        <v>499</v>
      </c>
      <c r="H26" s="3"/>
      <c r="J26" s="2"/>
      <c r="K26" s="5"/>
      <c r="L26" s="5"/>
      <c r="N26" s="5">
        <f t="shared" si="4"/>
        <v>499</v>
      </c>
      <c r="O26" s="5"/>
      <c r="P26" s="5"/>
      <c r="Q26" s="5"/>
      <c r="R26" s="5"/>
      <c r="S26" s="66">
        <f t="shared" si="5"/>
        <v>24.9617068974506</v>
      </c>
      <c r="T26" s="15">
        <f t="shared" si="6"/>
        <v>25</v>
      </c>
      <c r="U26" s="15">
        <f t="shared" si="6"/>
        <v>25</v>
      </c>
    </row>
    <row r="27" spans="2:21">
      <c r="B27">
        <v>114</v>
      </c>
      <c r="C27" s="35" t="s">
        <v>84</v>
      </c>
      <c r="D27" s="2"/>
      <c r="E27" s="20"/>
      <c r="F27" s="5"/>
      <c r="G27" s="17">
        <v>499</v>
      </c>
      <c r="H27" s="3"/>
      <c r="J27" s="2"/>
      <c r="K27" s="5"/>
      <c r="L27" s="5"/>
      <c r="N27" s="5">
        <f t="shared" si="4"/>
        <v>499</v>
      </c>
      <c r="O27" s="5"/>
      <c r="P27" s="5"/>
      <c r="Q27" s="5"/>
      <c r="R27" s="5"/>
      <c r="S27" s="66">
        <f t="shared" si="5"/>
        <v>24.9617068974506</v>
      </c>
      <c r="T27" s="15">
        <f t="shared" si="6"/>
        <v>25</v>
      </c>
      <c r="U27" s="15">
        <f t="shared" si="6"/>
        <v>25</v>
      </c>
    </row>
    <row r="28" spans="2:21">
      <c r="B28">
        <v>115</v>
      </c>
      <c r="C28" s="35" t="s">
        <v>85</v>
      </c>
      <c r="D28" s="2"/>
      <c r="E28" s="20"/>
      <c r="F28" s="5"/>
      <c r="G28" s="17">
        <v>499</v>
      </c>
      <c r="H28" s="3"/>
      <c r="J28" s="2"/>
      <c r="K28" s="5"/>
      <c r="L28" s="5"/>
      <c r="N28" s="5">
        <f t="shared" si="4"/>
        <v>499</v>
      </c>
      <c r="O28" s="5"/>
      <c r="P28" s="5"/>
      <c r="Q28" s="5"/>
      <c r="R28" s="5"/>
      <c r="S28" s="66">
        <f t="shared" si="5"/>
        <v>24.9617068974506</v>
      </c>
      <c r="T28" s="15">
        <f t="shared" si="6"/>
        <v>25</v>
      </c>
      <c r="U28" s="15">
        <f t="shared" si="6"/>
        <v>25</v>
      </c>
    </row>
    <row r="29" spans="2:21">
      <c r="B29">
        <v>118</v>
      </c>
      <c r="C29" s="35" t="s">
        <v>86</v>
      </c>
      <c r="D29" s="2"/>
      <c r="E29" s="20"/>
      <c r="F29" s="5"/>
      <c r="G29" s="17">
        <v>499</v>
      </c>
      <c r="H29" s="3"/>
      <c r="J29" s="2"/>
      <c r="K29" s="5"/>
      <c r="L29" s="5"/>
      <c r="N29" s="5">
        <f t="shared" si="4"/>
        <v>499</v>
      </c>
      <c r="O29" s="5"/>
      <c r="P29" s="5"/>
      <c r="Q29" s="5"/>
      <c r="R29" s="5"/>
      <c r="S29" s="66">
        <f t="shared" si="5"/>
        <v>24.9617068974506</v>
      </c>
      <c r="T29" s="15">
        <f t="shared" si="6"/>
        <v>25</v>
      </c>
      <c r="U29" s="15">
        <f t="shared" si="6"/>
        <v>25</v>
      </c>
    </row>
    <row r="30" spans="2:21">
      <c r="B30">
        <v>119</v>
      </c>
      <c r="C30" s="35" t="s">
        <v>87</v>
      </c>
      <c r="D30" s="2"/>
      <c r="E30" s="20"/>
      <c r="F30" s="5"/>
      <c r="G30" s="17">
        <v>499</v>
      </c>
      <c r="H30" s="3"/>
      <c r="J30" s="2"/>
      <c r="K30" s="5"/>
      <c r="L30" s="5"/>
      <c r="N30" s="5">
        <f t="shared" si="4"/>
        <v>499</v>
      </c>
      <c r="O30" s="5"/>
      <c r="P30" s="5"/>
      <c r="Q30" s="5"/>
      <c r="R30" s="5"/>
      <c r="S30" s="66">
        <f t="shared" si="5"/>
        <v>24.9617068974506</v>
      </c>
      <c r="T30" s="15">
        <f t="shared" si="6"/>
        <v>25</v>
      </c>
      <c r="U30" s="15">
        <f t="shared" si="6"/>
        <v>25</v>
      </c>
    </row>
    <row r="31" spans="2:21">
      <c r="B31">
        <v>120</v>
      </c>
      <c r="C31" s="35" t="s">
        <v>88</v>
      </c>
      <c r="D31" s="2"/>
      <c r="E31" s="20"/>
      <c r="F31" s="5"/>
      <c r="G31" s="17">
        <v>499</v>
      </c>
      <c r="H31" s="3"/>
      <c r="J31" s="2"/>
      <c r="K31" s="5"/>
      <c r="L31" s="5"/>
      <c r="N31" s="5">
        <f t="shared" si="4"/>
        <v>499</v>
      </c>
      <c r="O31" s="5"/>
      <c r="P31" s="5"/>
      <c r="Q31" s="5"/>
      <c r="R31" s="5"/>
      <c r="S31" s="66">
        <f t="shared" si="5"/>
        <v>24.9617068974506</v>
      </c>
      <c r="T31" s="15">
        <f t="shared" si="6"/>
        <v>25</v>
      </c>
      <c r="U31" s="15">
        <f t="shared" si="6"/>
        <v>25</v>
      </c>
    </row>
    <row r="32" spans="2:21">
      <c r="B32">
        <v>121</v>
      </c>
      <c r="C32" s="35" t="s">
        <v>89</v>
      </c>
      <c r="D32" s="2"/>
      <c r="E32" s="20"/>
      <c r="F32" s="5"/>
      <c r="G32" s="17">
        <v>499</v>
      </c>
      <c r="H32" s="3"/>
      <c r="J32" s="2"/>
      <c r="K32" s="5"/>
      <c r="L32" s="5"/>
      <c r="N32" s="5">
        <f t="shared" si="4"/>
        <v>499</v>
      </c>
      <c r="O32" s="5"/>
      <c r="P32" s="5"/>
      <c r="Q32" s="5"/>
      <c r="R32" s="5"/>
      <c r="S32" s="66">
        <f t="shared" si="5"/>
        <v>24.9617068974506</v>
      </c>
      <c r="T32" s="15">
        <f t="shared" si="6"/>
        <v>25</v>
      </c>
      <c r="U32" s="15">
        <f t="shared" si="6"/>
        <v>25</v>
      </c>
    </row>
    <row r="33" spans="2:21">
      <c r="B33">
        <v>124</v>
      </c>
      <c r="C33" s="35" t="s">
        <v>90</v>
      </c>
      <c r="D33" s="2"/>
      <c r="E33" s="20"/>
      <c r="F33" s="5"/>
      <c r="G33" s="17">
        <v>499</v>
      </c>
      <c r="H33" s="3"/>
      <c r="J33" s="2"/>
      <c r="K33" s="5"/>
      <c r="L33" s="5"/>
      <c r="N33" s="5">
        <f t="shared" si="4"/>
        <v>499</v>
      </c>
      <c r="O33" s="5"/>
      <c r="P33" s="5"/>
      <c r="Q33" s="5"/>
      <c r="R33" s="5"/>
      <c r="S33" s="66">
        <f t="shared" si="5"/>
        <v>24.9617068974506</v>
      </c>
      <c r="T33" s="15">
        <f t="shared" si="6"/>
        <v>25</v>
      </c>
      <c r="U33" s="15">
        <f t="shared" si="6"/>
        <v>25</v>
      </c>
    </row>
    <row r="34" spans="2:21">
      <c r="B34">
        <v>125</v>
      </c>
      <c r="C34" s="35" t="s">
        <v>91</v>
      </c>
      <c r="D34" s="2">
        <v>499</v>
      </c>
      <c r="E34" s="20"/>
      <c r="F34" s="5"/>
      <c r="G34" s="17"/>
      <c r="H34" s="3"/>
      <c r="J34" s="2"/>
      <c r="K34" s="5"/>
      <c r="L34" s="5"/>
      <c r="N34" s="5">
        <f>D34</f>
        <v>499</v>
      </c>
      <c r="O34" s="5"/>
      <c r="P34" s="66">
        <f>D34*$T$2/$Q$2</f>
        <v>24.9617068974506</v>
      </c>
      <c r="Q34" s="15">
        <f t="shared" ref="Q34:R37" si="7">ROUNDUP(P34,0)</f>
        <v>25</v>
      </c>
      <c r="R34" s="15">
        <f t="shared" si="7"/>
        <v>25</v>
      </c>
      <c r="S34" s="5"/>
      <c r="T34" s="5"/>
      <c r="U34" s="5"/>
    </row>
    <row r="35" spans="2:21">
      <c r="B35">
        <v>126</v>
      </c>
      <c r="C35" s="35" t="s">
        <v>92</v>
      </c>
      <c r="D35" s="2">
        <v>499</v>
      </c>
      <c r="E35" s="20"/>
      <c r="F35" s="5"/>
      <c r="G35" s="17"/>
      <c r="H35" s="3"/>
      <c r="J35" s="2"/>
      <c r="K35" s="5"/>
      <c r="L35" s="5"/>
      <c r="N35" s="5">
        <f>D35</f>
        <v>499</v>
      </c>
      <c r="O35" s="5"/>
      <c r="P35" s="66">
        <f>D35*$T$2/$Q$2</f>
        <v>24.9617068974506</v>
      </c>
      <c r="Q35" s="15">
        <f t="shared" si="7"/>
        <v>25</v>
      </c>
      <c r="R35" s="15">
        <f t="shared" si="7"/>
        <v>25</v>
      </c>
      <c r="S35" s="5"/>
      <c r="T35" s="5"/>
      <c r="U35" s="5"/>
    </row>
    <row r="36" spans="2:21">
      <c r="B36">
        <v>128</v>
      </c>
      <c r="C36" s="35" t="s">
        <v>93</v>
      </c>
      <c r="D36" s="2">
        <v>499</v>
      </c>
      <c r="E36" s="20"/>
      <c r="F36" s="5"/>
      <c r="G36" s="17"/>
      <c r="H36" s="3"/>
      <c r="J36" s="2"/>
      <c r="K36" s="5"/>
      <c r="L36" s="5"/>
      <c r="N36" s="5">
        <f>D36</f>
        <v>499</v>
      </c>
      <c r="O36" s="5"/>
      <c r="P36" s="66">
        <f>D36*$T$2/$Q$2</f>
        <v>24.9617068974506</v>
      </c>
      <c r="Q36" s="15">
        <f t="shared" si="7"/>
        <v>25</v>
      </c>
      <c r="R36" s="15">
        <f t="shared" si="7"/>
        <v>25</v>
      </c>
      <c r="S36" s="5"/>
      <c r="T36" s="5"/>
      <c r="U36" s="5"/>
    </row>
    <row r="37" spans="2:21">
      <c r="B37">
        <v>129</v>
      </c>
      <c r="C37" s="35" t="s">
        <v>94</v>
      </c>
      <c r="D37" s="2">
        <v>499</v>
      </c>
      <c r="E37" s="20"/>
      <c r="F37" s="5"/>
      <c r="G37" s="17"/>
      <c r="H37" s="3"/>
      <c r="J37" s="2"/>
      <c r="K37" s="5"/>
      <c r="L37" s="5"/>
      <c r="N37" s="5">
        <f>D37</f>
        <v>499</v>
      </c>
      <c r="O37" s="5"/>
      <c r="P37" s="66">
        <f>D37*$T$2/$Q$2</f>
        <v>24.9617068974506</v>
      </c>
      <c r="Q37" s="15">
        <f t="shared" si="7"/>
        <v>25</v>
      </c>
      <c r="R37" s="15">
        <f t="shared" si="7"/>
        <v>25</v>
      </c>
      <c r="S37" s="5"/>
      <c r="T37" s="5"/>
      <c r="U37" s="5"/>
    </row>
    <row r="38" spans="2:21">
      <c r="B38">
        <v>130</v>
      </c>
      <c r="C38" s="35" t="s">
        <v>95</v>
      </c>
      <c r="D38" s="2"/>
      <c r="E38" s="20"/>
      <c r="F38" s="5"/>
      <c r="G38" s="17">
        <v>499</v>
      </c>
      <c r="H38" s="3"/>
      <c r="J38" s="2"/>
      <c r="K38" s="5"/>
      <c r="L38" s="5"/>
      <c r="N38" s="5">
        <f>G38</f>
        <v>499</v>
      </c>
      <c r="O38" s="5"/>
      <c r="P38" s="5"/>
      <c r="Q38" s="5"/>
      <c r="R38" s="5"/>
      <c r="S38" s="66">
        <f>G38*$T$2/$Q$2</f>
        <v>24.9617068974506</v>
      </c>
      <c r="T38" s="15">
        <f>ROUNDUP(S38,0)</f>
        <v>25</v>
      </c>
      <c r="U38" s="15">
        <f>ROUNDUP(T38,0)</f>
        <v>25</v>
      </c>
    </row>
    <row r="39" spans="2:21">
      <c r="B39">
        <v>19</v>
      </c>
      <c r="C39" s="35" t="s">
        <v>96</v>
      </c>
      <c r="D39" s="2">
        <v>480</v>
      </c>
      <c r="E39" s="20"/>
      <c r="F39" s="5"/>
      <c r="G39" s="17"/>
      <c r="H39" s="3"/>
      <c r="J39" s="2"/>
      <c r="K39" s="5"/>
      <c r="L39" s="5"/>
      <c r="N39" s="5">
        <f>D39</f>
        <v>480</v>
      </c>
      <c r="O39" s="5"/>
      <c r="P39" s="66">
        <f>D39*$T$2/$Q$2</f>
        <v>24.011261143840258</v>
      </c>
      <c r="Q39" s="15">
        <f>ROUNDUP(P39,0)</f>
        <v>25</v>
      </c>
      <c r="R39" s="15">
        <f>ROUNDUP(Q39,0)</f>
        <v>25</v>
      </c>
      <c r="S39" s="5"/>
      <c r="T39" s="5"/>
      <c r="U39" s="5"/>
    </row>
    <row r="40" spans="2:21">
      <c r="B40">
        <v>96</v>
      </c>
      <c r="C40" s="35" t="s">
        <v>97</v>
      </c>
      <c r="D40" s="2"/>
      <c r="E40" s="20"/>
      <c r="F40" s="5"/>
      <c r="G40" s="17">
        <v>479</v>
      </c>
      <c r="H40" s="3"/>
      <c r="J40" s="2"/>
      <c r="K40" s="5"/>
      <c r="L40" s="5"/>
      <c r="N40" s="5">
        <f t="shared" ref="N40:N52" si="8">G40</f>
        <v>479</v>
      </c>
      <c r="O40" s="5"/>
      <c r="P40" s="5"/>
      <c r="Q40" s="5"/>
      <c r="R40" s="5"/>
      <c r="S40" s="66">
        <f t="shared" ref="S40:S52" si="9">G40*$T$2/$Q$2</f>
        <v>23.961237683123926</v>
      </c>
      <c r="T40" s="15">
        <f t="shared" ref="T40:U52" si="10">ROUNDUP(S40,0)</f>
        <v>24</v>
      </c>
      <c r="U40" s="15">
        <f t="shared" si="10"/>
        <v>24</v>
      </c>
    </row>
    <row r="41" spans="2:21">
      <c r="B41">
        <v>49</v>
      </c>
      <c r="C41" s="35" t="s">
        <v>98</v>
      </c>
      <c r="D41" s="2"/>
      <c r="E41" s="20"/>
      <c r="F41" s="5"/>
      <c r="G41" s="17">
        <v>399</v>
      </c>
      <c r="H41" s="3"/>
      <c r="J41" s="2"/>
      <c r="K41" s="5"/>
      <c r="L41" s="5"/>
      <c r="N41" s="5">
        <f t="shared" si="8"/>
        <v>399</v>
      </c>
      <c r="O41" s="5"/>
      <c r="P41" s="5"/>
      <c r="Q41" s="5"/>
      <c r="R41" s="5"/>
      <c r="S41" s="66">
        <f t="shared" si="9"/>
        <v>19.959360825817214</v>
      </c>
      <c r="T41" s="15">
        <f t="shared" si="10"/>
        <v>20</v>
      </c>
      <c r="U41" s="15">
        <f t="shared" si="10"/>
        <v>20</v>
      </c>
    </row>
    <row r="42" spans="2:21">
      <c r="B42">
        <v>57</v>
      </c>
      <c r="C42" s="35" t="s">
        <v>99</v>
      </c>
      <c r="D42" s="2"/>
      <c r="E42" s="20"/>
      <c r="F42" s="5"/>
      <c r="G42" s="17">
        <v>399</v>
      </c>
      <c r="H42" s="3"/>
      <c r="J42" s="2"/>
      <c r="K42" s="5"/>
      <c r="L42" s="5"/>
      <c r="N42" s="5">
        <f t="shared" si="8"/>
        <v>399</v>
      </c>
      <c r="O42" s="5"/>
      <c r="P42" s="5"/>
      <c r="Q42" s="5"/>
      <c r="R42" s="5"/>
      <c r="S42" s="66">
        <f t="shared" si="9"/>
        <v>19.959360825817214</v>
      </c>
      <c r="T42" s="15">
        <f t="shared" si="10"/>
        <v>20</v>
      </c>
      <c r="U42" s="15">
        <f t="shared" si="10"/>
        <v>20</v>
      </c>
    </row>
    <row r="43" spans="2:21">
      <c r="B43">
        <v>210</v>
      </c>
      <c r="C43" s="35" t="s">
        <v>100</v>
      </c>
      <c r="D43" s="2"/>
      <c r="E43" s="20"/>
      <c r="F43" s="5"/>
      <c r="G43" s="23">
        <v>399</v>
      </c>
      <c r="H43" s="3"/>
      <c r="J43" s="2"/>
      <c r="K43" s="5"/>
      <c r="L43" s="5"/>
      <c r="N43" s="5">
        <f t="shared" si="8"/>
        <v>399</v>
      </c>
      <c r="O43" s="5"/>
      <c r="P43" s="5"/>
      <c r="Q43" s="5"/>
      <c r="R43" s="5"/>
      <c r="S43" s="66">
        <f t="shared" si="9"/>
        <v>19.959360825817214</v>
      </c>
      <c r="T43" s="15">
        <f t="shared" si="10"/>
        <v>20</v>
      </c>
      <c r="U43" s="15">
        <f t="shared" si="10"/>
        <v>20</v>
      </c>
    </row>
    <row r="44" spans="2:21">
      <c r="B44">
        <v>240</v>
      </c>
      <c r="C44" s="35" t="s">
        <v>101</v>
      </c>
      <c r="D44" s="2"/>
      <c r="E44" s="20"/>
      <c r="F44" s="5"/>
      <c r="G44" s="23">
        <v>398</v>
      </c>
      <c r="H44" s="3"/>
      <c r="J44" s="2"/>
      <c r="K44" s="5"/>
      <c r="L44" s="5"/>
      <c r="N44" s="5">
        <f t="shared" si="8"/>
        <v>398</v>
      </c>
      <c r="O44" s="5"/>
      <c r="P44" s="5"/>
      <c r="Q44" s="5"/>
      <c r="R44" s="5"/>
      <c r="S44" s="66">
        <f t="shared" si="9"/>
        <v>19.909337365100882</v>
      </c>
      <c r="T44" s="15">
        <f t="shared" si="10"/>
        <v>20</v>
      </c>
      <c r="U44" s="15">
        <f t="shared" si="10"/>
        <v>20</v>
      </c>
    </row>
    <row r="45" spans="2:21">
      <c r="B45">
        <v>192</v>
      </c>
      <c r="C45" s="35" t="s">
        <v>102</v>
      </c>
      <c r="D45" s="2"/>
      <c r="E45" s="20"/>
      <c r="F45" s="5"/>
      <c r="G45" s="23">
        <v>383</v>
      </c>
      <c r="H45" s="3"/>
      <c r="J45" s="2"/>
      <c r="K45" s="5"/>
      <c r="L45" s="5"/>
      <c r="N45" s="5">
        <f t="shared" si="8"/>
        <v>383</v>
      </c>
      <c r="O45" s="5"/>
      <c r="P45" s="5"/>
      <c r="Q45" s="5"/>
      <c r="R45" s="5"/>
      <c r="S45" s="66">
        <f t="shared" si="9"/>
        <v>19.158985454355872</v>
      </c>
      <c r="T45" s="15">
        <f t="shared" si="10"/>
        <v>20</v>
      </c>
      <c r="U45" s="15">
        <f t="shared" si="10"/>
        <v>20</v>
      </c>
    </row>
    <row r="46" spans="2:21">
      <c r="B46">
        <v>89</v>
      </c>
      <c r="C46" s="35" t="s">
        <v>103</v>
      </c>
      <c r="D46" s="2"/>
      <c r="E46" s="20"/>
      <c r="F46" s="5"/>
      <c r="G46" s="17">
        <v>359</v>
      </c>
      <c r="H46" s="3"/>
      <c r="J46" s="2"/>
      <c r="K46" s="5"/>
      <c r="L46" s="5"/>
      <c r="N46" s="5">
        <f t="shared" si="8"/>
        <v>359</v>
      </c>
      <c r="O46" s="5"/>
      <c r="P46" s="5"/>
      <c r="Q46" s="5"/>
      <c r="R46" s="5"/>
      <c r="S46" s="66">
        <f t="shared" si="9"/>
        <v>17.958422397163861</v>
      </c>
      <c r="T46" s="15">
        <f t="shared" si="10"/>
        <v>18</v>
      </c>
      <c r="U46" s="15">
        <f t="shared" si="10"/>
        <v>18</v>
      </c>
    </row>
    <row r="47" spans="2:21">
      <c r="B47">
        <v>183</v>
      </c>
      <c r="C47" s="35" t="s">
        <v>104</v>
      </c>
      <c r="D47" s="2"/>
      <c r="E47" s="20"/>
      <c r="F47" s="5"/>
      <c r="G47" s="23">
        <v>358</v>
      </c>
      <c r="H47" s="3"/>
      <c r="J47" s="2"/>
      <c r="K47" s="5"/>
      <c r="L47" s="5"/>
      <c r="N47" s="5">
        <f t="shared" si="8"/>
        <v>358</v>
      </c>
      <c r="O47" s="5"/>
      <c r="P47" s="5"/>
      <c r="Q47" s="5"/>
      <c r="R47" s="5"/>
      <c r="S47" s="66">
        <f t="shared" si="9"/>
        <v>17.908398936447526</v>
      </c>
      <c r="T47" s="15">
        <f t="shared" si="10"/>
        <v>18</v>
      </c>
      <c r="U47" s="15">
        <f t="shared" si="10"/>
        <v>18</v>
      </c>
    </row>
    <row r="48" spans="2:21">
      <c r="B48">
        <v>55</v>
      </c>
      <c r="C48" s="35" t="s">
        <v>105</v>
      </c>
      <c r="D48" s="2"/>
      <c r="E48" s="20"/>
      <c r="F48" s="5"/>
      <c r="G48" s="17">
        <v>349</v>
      </c>
      <c r="H48" s="3"/>
      <c r="J48" s="2"/>
      <c r="K48" s="5"/>
      <c r="L48" s="5"/>
      <c r="N48" s="5">
        <f t="shared" si="8"/>
        <v>349</v>
      </c>
      <c r="O48" s="5"/>
      <c r="P48" s="5"/>
      <c r="Q48" s="5"/>
      <c r="R48" s="5"/>
      <c r="S48" s="66">
        <f t="shared" si="9"/>
        <v>17.458187790000522</v>
      </c>
      <c r="T48" s="15">
        <f t="shared" si="10"/>
        <v>18</v>
      </c>
      <c r="U48" s="15">
        <f t="shared" si="10"/>
        <v>18</v>
      </c>
    </row>
    <row r="49" spans="2:21">
      <c r="B49">
        <v>213</v>
      </c>
      <c r="C49" s="35" t="s">
        <v>100</v>
      </c>
      <c r="D49" s="2"/>
      <c r="E49" s="20"/>
      <c r="F49" s="5"/>
      <c r="G49" s="23">
        <v>349</v>
      </c>
      <c r="H49" s="3"/>
      <c r="J49" s="2"/>
      <c r="K49" s="5"/>
      <c r="L49" s="5"/>
      <c r="N49" s="5">
        <f t="shared" si="8"/>
        <v>349</v>
      </c>
      <c r="O49" s="5"/>
      <c r="P49" s="5"/>
      <c r="Q49" s="5"/>
      <c r="R49" s="5"/>
      <c r="S49" s="66">
        <f t="shared" si="9"/>
        <v>17.458187790000522</v>
      </c>
      <c r="T49" s="15">
        <f t="shared" si="10"/>
        <v>18</v>
      </c>
      <c r="U49" s="15">
        <f t="shared" si="10"/>
        <v>18</v>
      </c>
    </row>
    <row r="50" spans="2:21">
      <c r="B50">
        <v>243</v>
      </c>
      <c r="C50" s="35" t="s">
        <v>101</v>
      </c>
      <c r="D50" s="2"/>
      <c r="E50" s="20"/>
      <c r="F50" s="5"/>
      <c r="G50" s="23">
        <v>348</v>
      </c>
      <c r="H50" s="3"/>
      <c r="J50" s="2"/>
      <c r="K50" s="5"/>
      <c r="L50" s="5"/>
      <c r="N50" s="5">
        <f t="shared" si="8"/>
        <v>348</v>
      </c>
      <c r="O50" s="5"/>
      <c r="P50" s="5"/>
      <c r="Q50" s="5"/>
      <c r="R50" s="5"/>
      <c r="S50" s="66">
        <f t="shared" si="9"/>
        <v>17.408164329284187</v>
      </c>
      <c r="T50" s="15">
        <f t="shared" si="10"/>
        <v>18</v>
      </c>
      <c r="U50" s="15">
        <f t="shared" si="10"/>
        <v>18</v>
      </c>
    </row>
    <row r="51" spans="2:21">
      <c r="B51">
        <v>195</v>
      </c>
      <c r="C51" s="35" t="s">
        <v>102</v>
      </c>
      <c r="D51" s="2"/>
      <c r="E51" s="20"/>
      <c r="F51" s="5"/>
      <c r="G51" s="23">
        <v>335</v>
      </c>
      <c r="H51" s="3"/>
      <c r="J51" s="2"/>
      <c r="K51" s="5"/>
      <c r="L51" s="5"/>
      <c r="N51" s="5">
        <f t="shared" si="8"/>
        <v>335</v>
      </c>
      <c r="O51" s="5"/>
      <c r="P51" s="5"/>
      <c r="Q51" s="5"/>
      <c r="R51" s="5"/>
      <c r="S51" s="66">
        <f t="shared" si="9"/>
        <v>16.757859339971848</v>
      </c>
      <c r="T51" s="15">
        <f t="shared" si="10"/>
        <v>17</v>
      </c>
      <c r="U51" s="15">
        <f t="shared" si="10"/>
        <v>17</v>
      </c>
    </row>
    <row r="52" spans="2:21">
      <c r="B52">
        <v>47</v>
      </c>
      <c r="C52" s="35" t="s">
        <v>106</v>
      </c>
      <c r="D52" s="2"/>
      <c r="E52" s="20"/>
      <c r="F52" s="5"/>
      <c r="G52" s="17">
        <v>329</v>
      </c>
      <c r="H52" s="3"/>
      <c r="J52" s="2"/>
      <c r="K52" s="5"/>
      <c r="L52" s="5"/>
      <c r="N52" s="5">
        <f t="shared" si="8"/>
        <v>329</v>
      </c>
      <c r="O52" s="5"/>
      <c r="P52" s="5"/>
      <c r="Q52" s="5"/>
      <c r="R52" s="5"/>
      <c r="S52" s="66">
        <f t="shared" si="9"/>
        <v>16.457718575673844</v>
      </c>
      <c r="T52" s="15">
        <f t="shared" si="10"/>
        <v>17</v>
      </c>
      <c r="U52" s="15">
        <f t="shared" si="10"/>
        <v>17</v>
      </c>
    </row>
    <row r="53" spans="2:21">
      <c r="B53">
        <v>63</v>
      </c>
      <c r="C53" s="35" t="s">
        <v>107</v>
      </c>
      <c r="D53" s="2">
        <v>329</v>
      </c>
      <c r="E53" s="20"/>
      <c r="F53" s="5"/>
      <c r="G53" s="17"/>
      <c r="H53" s="3"/>
      <c r="J53" s="2"/>
      <c r="K53" s="5"/>
      <c r="L53" s="5"/>
      <c r="N53" s="5">
        <f>D53</f>
        <v>329</v>
      </c>
      <c r="O53" s="5"/>
      <c r="P53" s="66">
        <f>D53*$T$2/$Q$2</f>
        <v>16.457718575673844</v>
      </c>
      <c r="Q53" s="15">
        <f>ROUNDUP(P53,0)</f>
        <v>17</v>
      </c>
      <c r="R53" s="15">
        <f>ROUNDUP(Q53,0)</f>
        <v>17</v>
      </c>
      <c r="S53" s="5"/>
      <c r="T53" s="5"/>
      <c r="U53" s="5"/>
    </row>
    <row r="54" spans="2:21">
      <c r="B54">
        <v>186</v>
      </c>
      <c r="C54" s="35" t="s">
        <v>104</v>
      </c>
      <c r="D54" s="2"/>
      <c r="E54" s="20"/>
      <c r="F54" s="5"/>
      <c r="G54" s="23">
        <v>318</v>
      </c>
      <c r="H54" s="3"/>
      <c r="J54" s="2"/>
      <c r="K54" s="5"/>
      <c r="L54" s="5"/>
      <c r="N54" s="5">
        <f t="shared" ref="N54:N62" si="11">G54</f>
        <v>318</v>
      </c>
      <c r="O54" s="5"/>
      <c r="P54" s="5"/>
      <c r="Q54" s="5"/>
      <c r="R54" s="5"/>
      <c r="S54" s="66">
        <f t="shared" ref="S54:S62" si="12">G54*$T$2/$Q$2</f>
        <v>15.907460507794172</v>
      </c>
      <c r="T54" s="15">
        <f t="shared" ref="T54:U62" si="13">ROUNDUP(S54,0)</f>
        <v>16</v>
      </c>
      <c r="U54" s="15">
        <f t="shared" si="13"/>
        <v>16</v>
      </c>
    </row>
    <row r="55" spans="2:21">
      <c r="B55">
        <v>42</v>
      </c>
      <c r="C55" s="35" t="s">
        <v>108</v>
      </c>
      <c r="D55" s="2"/>
      <c r="E55" s="20"/>
      <c r="F55" s="5"/>
      <c r="G55" s="17">
        <v>290</v>
      </c>
      <c r="H55" s="3"/>
      <c r="J55" s="2"/>
      <c r="K55" s="5"/>
      <c r="L55" s="5"/>
      <c r="N55" s="5">
        <f t="shared" si="11"/>
        <v>290</v>
      </c>
      <c r="O55" s="5"/>
      <c r="P55" s="5"/>
      <c r="Q55" s="5"/>
      <c r="R55" s="5"/>
      <c r="S55" s="66">
        <f t="shared" si="12"/>
        <v>14.506803607736822</v>
      </c>
      <c r="T55" s="15">
        <f t="shared" si="13"/>
        <v>15</v>
      </c>
      <c r="U55" s="15">
        <f t="shared" si="13"/>
        <v>15</v>
      </c>
    </row>
    <row r="56" spans="2:21">
      <c r="B56">
        <v>51</v>
      </c>
      <c r="C56" s="35" t="s">
        <v>109</v>
      </c>
      <c r="D56" s="2"/>
      <c r="E56" s="20"/>
      <c r="F56" s="5"/>
      <c r="G56" s="17">
        <v>290</v>
      </c>
      <c r="H56" s="3"/>
      <c r="J56" s="2"/>
      <c r="K56" s="5"/>
      <c r="L56" s="5"/>
      <c r="N56" s="5">
        <f t="shared" si="11"/>
        <v>290</v>
      </c>
      <c r="O56" s="5"/>
      <c r="P56" s="5"/>
      <c r="Q56" s="5"/>
      <c r="R56" s="5"/>
      <c r="S56" s="66">
        <f t="shared" si="12"/>
        <v>14.506803607736822</v>
      </c>
      <c r="T56" s="15">
        <f t="shared" si="13"/>
        <v>15</v>
      </c>
      <c r="U56" s="15">
        <f t="shared" si="13"/>
        <v>15</v>
      </c>
    </row>
    <row r="57" spans="2:21">
      <c r="B57">
        <v>93</v>
      </c>
      <c r="C57" s="35" t="s">
        <v>110</v>
      </c>
      <c r="D57" s="2"/>
      <c r="E57" s="20"/>
      <c r="F57" s="5"/>
      <c r="G57" s="17">
        <v>263</v>
      </c>
      <c r="H57" s="3"/>
      <c r="J57" s="2"/>
      <c r="K57" s="5"/>
      <c r="L57" s="5"/>
      <c r="N57" s="5">
        <f t="shared" si="11"/>
        <v>263</v>
      </c>
      <c r="O57" s="5"/>
      <c r="P57" s="5"/>
      <c r="Q57" s="5"/>
      <c r="R57" s="5"/>
      <c r="S57" s="66">
        <f t="shared" si="12"/>
        <v>13.156170168395809</v>
      </c>
      <c r="T57" s="15">
        <f t="shared" si="13"/>
        <v>14</v>
      </c>
      <c r="U57" s="15">
        <f t="shared" si="13"/>
        <v>14</v>
      </c>
    </row>
    <row r="58" spans="2:21">
      <c r="B58">
        <v>61</v>
      </c>
      <c r="C58" s="35" t="s">
        <v>111</v>
      </c>
      <c r="D58" s="2"/>
      <c r="E58" s="20"/>
      <c r="F58" s="5"/>
      <c r="G58" s="17">
        <v>249</v>
      </c>
      <c r="H58" s="3"/>
      <c r="J58" s="2"/>
      <c r="K58" s="5"/>
      <c r="L58" s="5"/>
      <c r="N58" s="5">
        <f t="shared" si="11"/>
        <v>249</v>
      </c>
      <c r="O58" s="5"/>
      <c r="P58" s="5"/>
      <c r="Q58" s="5"/>
      <c r="R58" s="5"/>
      <c r="S58" s="66">
        <f t="shared" si="12"/>
        <v>12.455841718367134</v>
      </c>
      <c r="T58" s="15">
        <f t="shared" si="13"/>
        <v>13</v>
      </c>
      <c r="U58" s="15">
        <f t="shared" si="13"/>
        <v>13</v>
      </c>
    </row>
    <row r="59" spans="2:21">
      <c r="B59">
        <v>216</v>
      </c>
      <c r="C59" s="35" t="s">
        <v>100</v>
      </c>
      <c r="D59" s="2"/>
      <c r="E59" s="20"/>
      <c r="F59" s="5"/>
      <c r="G59" s="23">
        <v>249</v>
      </c>
      <c r="H59" s="3"/>
      <c r="J59" s="2"/>
      <c r="K59" s="5"/>
      <c r="L59" s="5"/>
      <c r="N59" s="5">
        <f t="shared" si="11"/>
        <v>249</v>
      </c>
      <c r="O59" s="5"/>
      <c r="P59" s="5"/>
      <c r="Q59" s="5"/>
      <c r="R59" s="5"/>
      <c r="S59" s="66">
        <f t="shared" si="12"/>
        <v>12.455841718367134</v>
      </c>
      <c r="T59" s="15">
        <f t="shared" si="13"/>
        <v>13</v>
      </c>
      <c r="U59" s="15">
        <f t="shared" si="13"/>
        <v>13</v>
      </c>
    </row>
    <row r="60" spans="2:21">
      <c r="B60">
        <v>246</v>
      </c>
      <c r="C60" s="35" t="s">
        <v>101</v>
      </c>
      <c r="D60" s="2"/>
      <c r="E60" s="20"/>
      <c r="F60" s="5"/>
      <c r="G60" s="23">
        <v>249</v>
      </c>
      <c r="H60" s="3"/>
      <c r="J60" s="2"/>
      <c r="K60" s="5"/>
      <c r="L60" s="5"/>
      <c r="N60" s="5">
        <f t="shared" si="11"/>
        <v>249</v>
      </c>
      <c r="O60" s="5"/>
      <c r="P60" s="5"/>
      <c r="Q60" s="5"/>
      <c r="R60" s="5"/>
      <c r="S60" s="66">
        <f t="shared" si="12"/>
        <v>12.455841718367134</v>
      </c>
      <c r="T60" s="15">
        <f t="shared" si="13"/>
        <v>13</v>
      </c>
      <c r="U60" s="15">
        <f t="shared" si="13"/>
        <v>13</v>
      </c>
    </row>
    <row r="61" spans="2:21">
      <c r="B61">
        <v>198</v>
      </c>
      <c r="C61" s="35" t="s">
        <v>102</v>
      </c>
      <c r="D61" s="2"/>
      <c r="E61" s="20"/>
      <c r="F61" s="5"/>
      <c r="G61" s="23">
        <v>239</v>
      </c>
      <c r="H61" s="3"/>
      <c r="J61" s="2"/>
      <c r="K61" s="5"/>
      <c r="L61" s="5"/>
      <c r="N61" s="5">
        <f t="shared" si="11"/>
        <v>239</v>
      </c>
      <c r="O61" s="5"/>
      <c r="P61" s="5"/>
      <c r="Q61" s="5"/>
      <c r="R61" s="5"/>
      <c r="S61" s="66">
        <f t="shared" si="12"/>
        <v>11.955607111203795</v>
      </c>
      <c r="T61" s="15">
        <f t="shared" si="13"/>
        <v>12</v>
      </c>
      <c r="U61" s="15">
        <f t="shared" si="13"/>
        <v>12</v>
      </c>
    </row>
    <row r="62" spans="2:21">
      <c r="B62">
        <v>45</v>
      </c>
      <c r="C62" s="35" t="s">
        <v>112</v>
      </c>
      <c r="D62" s="2"/>
      <c r="E62" s="20"/>
      <c r="F62" s="5"/>
      <c r="G62" s="17">
        <v>200</v>
      </c>
      <c r="H62" s="3"/>
      <c r="J62" s="2"/>
      <c r="K62" s="5"/>
      <c r="L62" s="5"/>
      <c r="N62" s="5">
        <f t="shared" si="11"/>
        <v>200</v>
      </c>
      <c r="O62" s="5"/>
      <c r="P62" s="5"/>
      <c r="Q62" s="5"/>
      <c r="R62" s="5"/>
      <c r="S62" s="66">
        <f t="shared" si="12"/>
        <v>10.004692143266775</v>
      </c>
      <c r="T62" s="15">
        <f t="shared" si="13"/>
        <v>11</v>
      </c>
      <c r="U62" s="15">
        <f t="shared" si="13"/>
        <v>11</v>
      </c>
    </row>
    <row r="63" spans="2:21">
      <c r="B63">
        <v>7</v>
      </c>
      <c r="C63" s="35" t="s">
        <v>113</v>
      </c>
      <c r="D63" s="2">
        <v>199</v>
      </c>
      <c r="E63" s="20"/>
      <c r="F63" s="5"/>
      <c r="G63" s="17"/>
      <c r="H63" s="3"/>
      <c r="J63" s="2"/>
      <c r="K63" s="5"/>
      <c r="L63" s="5"/>
      <c r="N63" s="5">
        <f>D63</f>
        <v>199</v>
      </c>
      <c r="O63" s="5"/>
      <c r="P63" s="66">
        <f>D63*$T$2/$Q$2</f>
        <v>9.9546686825504409</v>
      </c>
      <c r="Q63" s="15">
        <f>ROUNDUP(P63,0)</f>
        <v>10</v>
      </c>
      <c r="R63" s="15">
        <f>ROUNDUP(Q63,0)</f>
        <v>10</v>
      </c>
      <c r="S63" s="5"/>
      <c r="T63" s="5"/>
      <c r="U63" s="5"/>
    </row>
    <row r="64" spans="2:21">
      <c r="B64">
        <v>24</v>
      </c>
      <c r="C64" s="35" t="s">
        <v>114</v>
      </c>
      <c r="D64" s="2"/>
      <c r="E64" s="20"/>
      <c r="F64" s="5"/>
      <c r="G64" s="17">
        <v>199</v>
      </c>
      <c r="H64" s="3"/>
      <c r="J64" s="2"/>
      <c r="K64" s="5"/>
      <c r="L64" s="5"/>
      <c r="N64" s="5">
        <f t="shared" ref="N64:N75" si="14">G64</f>
        <v>199</v>
      </c>
      <c r="O64" s="5"/>
      <c r="P64" s="5"/>
      <c r="Q64" s="5"/>
      <c r="R64" s="5"/>
      <c r="S64" s="66">
        <f t="shared" ref="S64:S75" si="15">G64*$T$2/$Q$2</f>
        <v>9.9546686825504409</v>
      </c>
      <c r="T64" s="15">
        <f t="shared" ref="T64:U78" si="16">ROUNDUP(S64,0)</f>
        <v>10</v>
      </c>
      <c r="U64" s="15">
        <f t="shared" si="16"/>
        <v>10</v>
      </c>
    </row>
    <row r="65" spans="2:21">
      <c r="B65">
        <v>189</v>
      </c>
      <c r="C65" s="35" t="s">
        <v>104</v>
      </c>
      <c r="D65" s="2"/>
      <c r="E65" s="20"/>
      <c r="F65" s="5"/>
      <c r="G65" s="23">
        <v>199</v>
      </c>
      <c r="H65" s="3"/>
      <c r="J65" s="2"/>
      <c r="K65" s="5"/>
      <c r="L65" s="5"/>
      <c r="N65" s="5">
        <f t="shared" si="14"/>
        <v>199</v>
      </c>
      <c r="O65" s="5"/>
      <c r="P65" s="5"/>
      <c r="Q65" s="5"/>
      <c r="R65" s="5"/>
      <c r="S65" s="66">
        <f t="shared" si="15"/>
        <v>9.9546686825504409</v>
      </c>
      <c r="T65" s="15">
        <f t="shared" si="16"/>
        <v>10</v>
      </c>
      <c r="U65" s="15">
        <f t="shared" si="16"/>
        <v>10</v>
      </c>
    </row>
    <row r="66" spans="2:21">
      <c r="B66">
        <v>28</v>
      </c>
      <c r="C66" s="35" t="s">
        <v>115</v>
      </c>
      <c r="D66" s="2"/>
      <c r="E66" s="20"/>
      <c r="F66" s="5"/>
      <c r="G66" s="17">
        <v>198</v>
      </c>
      <c r="H66" s="3"/>
      <c r="J66" s="2"/>
      <c r="K66" s="5"/>
      <c r="L66" s="5"/>
      <c r="N66" s="5">
        <f t="shared" si="14"/>
        <v>198</v>
      </c>
      <c r="O66" s="5"/>
      <c r="P66" s="5"/>
      <c r="Q66" s="5"/>
      <c r="R66" s="5"/>
      <c r="S66" s="66">
        <f t="shared" si="15"/>
        <v>9.904645221834107</v>
      </c>
      <c r="T66" s="15">
        <f t="shared" si="16"/>
        <v>10</v>
      </c>
      <c r="U66" s="15">
        <f t="shared" si="16"/>
        <v>10</v>
      </c>
    </row>
    <row r="67" spans="2:21">
      <c r="B67">
        <v>34</v>
      </c>
      <c r="C67" s="35" t="s">
        <v>116</v>
      </c>
      <c r="D67" s="2"/>
      <c r="E67" s="20"/>
      <c r="F67" s="5"/>
      <c r="G67" s="17">
        <v>198</v>
      </c>
      <c r="H67" s="3"/>
      <c r="J67" s="2"/>
      <c r="K67" s="5"/>
      <c r="L67" s="5"/>
      <c r="N67" s="5">
        <f t="shared" si="14"/>
        <v>198</v>
      </c>
      <c r="O67" s="5"/>
      <c r="P67" s="5"/>
      <c r="Q67" s="5"/>
      <c r="R67" s="5"/>
      <c r="S67" s="66">
        <f t="shared" si="15"/>
        <v>9.904645221834107</v>
      </c>
      <c r="T67" s="15">
        <f t="shared" si="16"/>
        <v>10</v>
      </c>
      <c r="U67" s="15">
        <f t="shared" si="16"/>
        <v>10</v>
      </c>
    </row>
    <row r="68" spans="2:21">
      <c r="B68">
        <v>228</v>
      </c>
      <c r="C68" s="35" t="s">
        <v>117</v>
      </c>
      <c r="D68" s="2"/>
      <c r="E68" s="20"/>
      <c r="F68" s="5"/>
      <c r="G68" s="23">
        <v>189</v>
      </c>
      <c r="H68" s="3"/>
      <c r="J68" s="2"/>
      <c r="K68" s="5"/>
      <c r="L68" s="5"/>
      <c r="N68" s="5">
        <f t="shared" si="14"/>
        <v>189</v>
      </c>
      <c r="O68" s="5"/>
      <c r="P68" s="5"/>
      <c r="Q68" s="5"/>
      <c r="R68" s="5"/>
      <c r="S68" s="66">
        <f t="shared" si="15"/>
        <v>9.4544340753871019</v>
      </c>
      <c r="T68" s="15">
        <f t="shared" si="16"/>
        <v>10</v>
      </c>
      <c r="U68" s="15">
        <f t="shared" si="16"/>
        <v>10</v>
      </c>
    </row>
    <row r="69" spans="2:21">
      <c r="B69">
        <v>261</v>
      </c>
      <c r="C69" s="35" t="s">
        <v>118</v>
      </c>
      <c r="D69" s="2"/>
      <c r="E69" s="20"/>
      <c r="F69" s="5"/>
      <c r="G69" s="17">
        <v>189</v>
      </c>
      <c r="H69" s="3"/>
      <c r="J69" s="2"/>
      <c r="K69" s="5"/>
      <c r="L69" s="5"/>
      <c r="N69" s="5">
        <f t="shared" si="14"/>
        <v>189</v>
      </c>
      <c r="O69" s="5"/>
      <c r="P69" s="5"/>
      <c r="Q69" s="5"/>
      <c r="R69" s="5"/>
      <c r="S69" s="66">
        <f t="shared" si="15"/>
        <v>9.4544340753871019</v>
      </c>
      <c r="T69" s="15">
        <f t="shared" si="16"/>
        <v>10</v>
      </c>
      <c r="U69" s="15">
        <f t="shared" si="16"/>
        <v>10</v>
      </c>
    </row>
    <row r="70" spans="2:21">
      <c r="B70">
        <v>264</v>
      </c>
      <c r="C70" s="35" t="s">
        <v>119</v>
      </c>
      <c r="D70" s="2"/>
      <c r="E70" s="20"/>
      <c r="F70" s="5"/>
      <c r="G70" s="17">
        <v>189</v>
      </c>
      <c r="H70" s="3"/>
      <c r="J70" s="2"/>
      <c r="K70" s="5"/>
      <c r="L70" s="5"/>
      <c r="N70" s="5">
        <f t="shared" si="14"/>
        <v>189</v>
      </c>
      <c r="O70" s="5"/>
      <c r="P70" s="5"/>
      <c r="Q70" s="5"/>
      <c r="R70" s="5"/>
      <c r="S70" s="66">
        <f t="shared" si="15"/>
        <v>9.4544340753871019</v>
      </c>
      <c r="T70" s="15">
        <f t="shared" si="16"/>
        <v>10</v>
      </c>
      <c r="U70" s="15">
        <f t="shared" si="16"/>
        <v>10</v>
      </c>
    </row>
    <row r="71" spans="2:21">
      <c r="B71">
        <v>267</v>
      </c>
      <c r="C71" s="35" t="s">
        <v>120</v>
      </c>
      <c r="D71" s="2"/>
      <c r="E71" s="20"/>
      <c r="F71" s="5"/>
      <c r="G71" s="17">
        <v>169</v>
      </c>
      <c r="H71" s="3"/>
      <c r="J71" s="2"/>
      <c r="K71" s="5"/>
      <c r="L71" s="5"/>
      <c r="N71" s="5">
        <f t="shared" si="14"/>
        <v>169</v>
      </c>
      <c r="O71" s="5"/>
      <c r="P71" s="5"/>
      <c r="Q71" s="5"/>
      <c r="R71" s="5"/>
      <c r="S71" s="66">
        <f t="shared" si="15"/>
        <v>8.4539648610604239</v>
      </c>
      <c r="T71" s="15">
        <f t="shared" si="16"/>
        <v>9</v>
      </c>
      <c r="U71" s="15">
        <f t="shared" si="16"/>
        <v>9</v>
      </c>
    </row>
    <row r="72" spans="2:21">
      <c r="B72">
        <v>270</v>
      </c>
      <c r="C72" s="35" t="s">
        <v>121</v>
      </c>
      <c r="D72" s="2"/>
      <c r="E72" s="20"/>
      <c r="F72" s="5"/>
      <c r="G72" s="17">
        <v>169</v>
      </c>
      <c r="H72" s="3"/>
      <c r="J72" s="2"/>
      <c r="K72" s="5"/>
      <c r="L72" s="5"/>
      <c r="N72" s="5">
        <f t="shared" si="14"/>
        <v>169</v>
      </c>
      <c r="O72" s="5"/>
      <c r="P72" s="5"/>
      <c r="Q72" s="5"/>
      <c r="R72" s="5"/>
      <c r="S72" s="66">
        <f t="shared" si="15"/>
        <v>8.4539648610604239</v>
      </c>
      <c r="T72" s="15">
        <f t="shared" si="16"/>
        <v>9</v>
      </c>
      <c r="U72" s="15">
        <f t="shared" si="16"/>
        <v>9</v>
      </c>
    </row>
    <row r="73" spans="2:21">
      <c r="B73">
        <v>232</v>
      </c>
      <c r="C73" s="35" t="s">
        <v>117</v>
      </c>
      <c r="D73" s="2"/>
      <c r="E73" s="20"/>
      <c r="F73" s="5"/>
      <c r="G73" s="23">
        <v>165</v>
      </c>
      <c r="H73" s="3"/>
      <c r="J73" s="2"/>
      <c r="K73" s="5"/>
      <c r="L73" s="5"/>
      <c r="N73" s="5">
        <f t="shared" si="14"/>
        <v>165</v>
      </c>
      <c r="O73" s="5"/>
      <c r="P73" s="5"/>
      <c r="Q73" s="5"/>
      <c r="R73" s="5"/>
      <c r="S73" s="66">
        <f t="shared" si="15"/>
        <v>8.2538710181950883</v>
      </c>
      <c r="T73" s="15">
        <f t="shared" si="16"/>
        <v>9</v>
      </c>
      <c r="U73" s="15">
        <f t="shared" si="16"/>
        <v>9</v>
      </c>
    </row>
    <row r="74" spans="2:21">
      <c r="B74">
        <v>26</v>
      </c>
      <c r="C74" s="35" t="s">
        <v>122</v>
      </c>
      <c r="D74" s="2"/>
      <c r="E74" s="20"/>
      <c r="F74" s="5"/>
      <c r="G74" s="17">
        <v>150</v>
      </c>
      <c r="H74" s="3"/>
      <c r="J74" s="2"/>
      <c r="K74" s="5"/>
      <c r="L74" s="5"/>
      <c r="N74" s="5">
        <f t="shared" si="14"/>
        <v>150</v>
      </c>
      <c r="O74" s="5"/>
      <c r="P74" s="5"/>
      <c r="Q74" s="5"/>
      <c r="R74" s="5"/>
      <c r="S74" s="66">
        <f t="shared" si="15"/>
        <v>7.5035191074500807</v>
      </c>
      <c r="T74" s="15">
        <f t="shared" si="16"/>
        <v>8</v>
      </c>
      <c r="U74" s="15">
        <f t="shared" si="16"/>
        <v>8</v>
      </c>
    </row>
    <row r="75" spans="2:21">
      <c r="B75">
        <v>53</v>
      </c>
      <c r="C75" s="35" t="s">
        <v>123</v>
      </c>
      <c r="D75" s="2"/>
      <c r="E75" s="20"/>
      <c r="F75" s="5"/>
      <c r="G75" s="17">
        <v>149</v>
      </c>
      <c r="H75" s="3"/>
      <c r="J75" s="2"/>
      <c r="K75" s="5"/>
      <c r="L75" s="5"/>
      <c r="N75" s="5">
        <f t="shared" si="14"/>
        <v>149</v>
      </c>
      <c r="O75" s="5"/>
      <c r="P75" s="5"/>
      <c r="Q75" s="5"/>
      <c r="R75" s="5"/>
      <c r="S75" s="66">
        <f t="shared" si="15"/>
        <v>7.4534956467337468</v>
      </c>
      <c r="T75" s="15">
        <f t="shared" si="16"/>
        <v>8</v>
      </c>
      <c r="U75" s="15">
        <f t="shared" si="16"/>
        <v>8</v>
      </c>
    </row>
    <row r="76" spans="2:21">
      <c r="B76">
        <v>5</v>
      </c>
      <c r="C76" s="80" t="s">
        <v>124</v>
      </c>
      <c r="D76" s="2"/>
      <c r="E76" s="20"/>
      <c r="F76" s="5"/>
      <c r="G76" s="21">
        <f>779-636</f>
        <v>143</v>
      </c>
      <c r="H76" s="3"/>
      <c r="J76" s="2"/>
      <c r="K76" s="5"/>
      <c r="L76" s="5"/>
      <c r="N76" s="5">
        <f>G76</f>
        <v>143</v>
      </c>
      <c r="O76" s="5"/>
      <c r="P76" s="5"/>
      <c r="Q76" s="5"/>
      <c r="R76" s="5"/>
      <c r="S76" s="66">
        <f>(G76)*$T$2/$Q$2</f>
        <v>7.1533548824357434</v>
      </c>
      <c r="T76" s="15">
        <f t="shared" si="16"/>
        <v>8</v>
      </c>
      <c r="U76" s="15">
        <f t="shared" si="16"/>
        <v>8</v>
      </c>
    </row>
    <row r="77" spans="2:21">
      <c r="B77">
        <v>236</v>
      </c>
      <c r="C77" s="35" t="s">
        <v>117</v>
      </c>
      <c r="D77" s="2"/>
      <c r="E77" s="20"/>
      <c r="F77" s="5"/>
      <c r="G77" s="23">
        <v>118</v>
      </c>
      <c r="H77" s="3"/>
      <c r="J77" s="2"/>
      <c r="K77" s="5"/>
      <c r="L77" s="5"/>
      <c r="N77" s="5">
        <f>G77</f>
        <v>118</v>
      </c>
      <c r="O77" s="5"/>
      <c r="P77" s="5"/>
      <c r="Q77" s="5"/>
      <c r="R77" s="5"/>
      <c r="S77" s="66">
        <f>G77*$T$2/$Q$2</f>
        <v>5.9027683645273967</v>
      </c>
      <c r="T77" s="15">
        <f t="shared" si="16"/>
        <v>6</v>
      </c>
      <c r="U77" s="15">
        <f t="shared" si="16"/>
        <v>6</v>
      </c>
    </row>
    <row r="78" spans="2:21">
      <c r="B78">
        <v>21</v>
      </c>
      <c r="C78" s="35" t="s">
        <v>125</v>
      </c>
      <c r="D78" s="2"/>
      <c r="E78" s="20"/>
      <c r="F78" s="5"/>
      <c r="G78" s="17">
        <v>111</v>
      </c>
      <c r="H78" s="3"/>
      <c r="J78" s="2"/>
      <c r="K78" s="5"/>
      <c r="L78" s="5"/>
      <c r="N78" s="5">
        <f>G78</f>
        <v>111</v>
      </c>
      <c r="O78" s="5"/>
      <c r="P78" s="5"/>
      <c r="Q78" s="5"/>
      <c r="R78" s="5"/>
      <c r="S78" s="66">
        <f>G78*$T$2/$Q$2</f>
        <v>5.5526041395130594</v>
      </c>
      <c r="T78" s="15">
        <f t="shared" si="16"/>
        <v>6</v>
      </c>
      <c r="U78" s="15">
        <f t="shared" si="16"/>
        <v>6</v>
      </c>
    </row>
    <row r="79" spans="2:21">
      <c r="B79">
        <v>3</v>
      </c>
      <c r="C79" s="35" t="s">
        <v>126</v>
      </c>
      <c r="D79" s="2">
        <v>109</v>
      </c>
      <c r="E79" s="20"/>
      <c r="F79" s="5"/>
      <c r="G79" s="17"/>
      <c r="H79" s="3"/>
      <c r="J79" s="2"/>
      <c r="K79" s="5"/>
      <c r="L79" s="5"/>
      <c r="N79" s="5">
        <f>D79</f>
        <v>109</v>
      </c>
      <c r="O79" s="5"/>
      <c r="P79" s="66">
        <f>D79*$T$2/$Q$2</f>
        <v>5.4525572180803916</v>
      </c>
      <c r="Q79" s="15">
        <f>ROUNDUP(P79,0)</f>
        <v>6</v>
      </c>
      <c r="R79" s="15">
        <v>6</v>
      </c>
      <c r="S79" s="5"/>
      <c r="T79" s="5"/>
      <c r="U79" s="5"/>
    </row>
    <row r="80" spans="2:21">
      <c r="B80">
        <v>32</v>
      </c>
      <c r="C80" s="35" t="s">
        <v>127</v>
      </c>
      <c r="D80" s="2"/>
      <c r="E80" s="20"/>
      <c r="F80" s="5"/>
      <c r="G80" s="17">
        <v>100</v>
      </c>
      <c r="H80" s="3"/>
      <c r="J80" s="2"/>
      <c r="K80" s="5"/>
      <c r="L80" s="5"/>
      <c r="N80" s="5">
        <f>G80</f>
        <v>100</v>
      </c>
      <c r="O80" s="5"/>
      <c r="P80" s="5"/>
      <c r="Q80" s="5"/>
      <c r="R80" s="5"/>
      <c r="S80" s="66">
        <f>G80*$T$2/$Q$2</f>
        <v>5.0023460716333874</v>
      </c>
      <c r="T80" s="15">
        <f>ROUNDUP(S80,0)</f>
        <v>6</v>
      </c>
      <c r="U80" s="15">
        <v>3</v>
      </c>
    </row>
    <row r="81" spans="2:21">
      <c r="B81">
        <v>38</v>
      </c>
      <c r="C81" s="35" t="s">
        <v>128</v>
      </c>
      <c r="D81" s="2"/>
      <c r="E81" s="20"/>
      <c r="F81" s="5"/>
      <c r="G81" s="17">
        <v>100</v>
      </c>
      <c r="H81" s="3"/>
      <c r="J81" s="2"/>
      <c r="K81" s="5"/>
      <c r="L81" s="5"/>
      <c r="N81" s="5">
        <f>G81</f>
        <v>100</v>
      </c>
      <c r="O81" s="5"/>
      <c r="P81" s="5"/>
      <c r="Q81" s="5"/>
      <c r="R81" s="5"/>
      <c r="S81" s="66">
        <f>G81*$T$2/$Q$2</f>
        <v>5.0023460716333874</v>
      </c>
      <c r="T81" s="15">
        <f>ROUNDUP(S81,0)</f>
        <v>6</v>
      </c>
      <c r="U81" s="15"/>
    </row>
    <row r="82" spans="2:21">
      <c r="B82">
        <v>13</v>
      </c>
      <c r="C82" s="80" t="s">
        <v>129</v>
      </c>
      <c r="D82" s="7">
        <f>499-407</f>
        <v>92</v>
      </c>
      <c r="E82" s="20"/>
      <c r="F82" s="5"/>
      <c r="G82" s="17"/>
      <c r="H82" s="3"/>
      <c r="J82" s="2"/>
      <c r="K82" s="5"/>
      <c r="L82" s="5"/>
      <c r="N82" s="5">
        <f>D82</f>
        <v>92</v>
      </c>
      <c r="O82" s="5"/>
      <c r="P82" s="66">
        <f>(D82)*$T$2/$Q$2</f>
        <v>4.6021583859027162</v>
      </c>
      <c r="Q82" s="15">
        <f>ROUNDUP(P82,0)</f>
        <v>5</v>
      </c>
      <c r="R82" s="15"/>
      <c r="S82" s="5"/>
      <c r="T82" s="5"/>
      <c r="U82" s="5"/>
    </row>
    <row r="83" spans="2:21">
      <c r="B83">
        <v>1</v>
      </c>
      <c r="C83" s="80" t="s">
        <v>130</v>
      </c>
      <c r="D83" s="2"/>
      <c r="E83" s="20"/>
      <c r="F83" s="5"/>
      <c r="G83" s="21">
        <f>229-186</f>
        <v>43</v>
      </c>
      <c r="H83" s="3"/>
      <c r="J83" s="2"/>
      <c r="K83" s="5"/>
      <c r="L83" s="5"/>
      <c r="N83" s="5">
        <f>G83</f>
        <v>43</v>
      </c>
      <c r="O83" s="5"/>
      <c r="P83" s="5"/>
      <c r="Q83" s="5"/>
      <c r="R83" s="5"/>
      <c r="S83" s="66">
        <f>(G83)*$T$2/$Q$2</f>
        <v>2.1510088108023564</v>
      </c>
      <c r="T83" s="15">
        <f>ROUNDUP(S83,0)</f>
        <v>3</v>
      </c>
      <c r="U83" s="15"/>
    </row>
    <row r="84" spans="2:21">
      <c r="B84">
        <v>30</v>
      </c>
      <c r="C84" s="35" t="s">
        <v>131</v>
      </c>
      <c r="D84" s="2"/>
      <c r="E84" s="20"/>
      <c r="F84" s="5"/>
      <c r="G84" s="17">
        <v>39</v>
      </c>
      <c r="H84" s="3"/>
      <c r="J84" s="2"/>
      <c r="K84" s="5"/>
      <c r="L84" s="5"/>
      <c r="N84" s="5">
        <f>G84</f>
        <v>39</v>
      </c>
      <c r="O84" s="5"/>
      <c r="P84" s="5"/>
      <c r="Q84" s="5"/>
      <c r="R84" s="5"/>
      <c r="S84" s="66">
        <f>G84*$T$2/$Q$2</f>
        <v>1.950914967937021</v>
      </c>
      <c r="T84" s="15">
        <f>ROUNDUP(S84,0)</f>
        <v>2</v>
      </c>
      <c r="U84" s="15"/>
    </row>
    <row r="85" spans="2:21">
      <c r="B85">
        <v>201</v>
      </c>
      <c r="C85" s="35" t="s">
        <v>132</v>
      </c>
      <c r="D85" s="2"/>
      <c r="E85" s="20"/>
      <c r="F85" s="5"/>
      <c r="G85" s="23">
        <v>39</v>
      </c>
      <c r="H85" s="3"/>
      <c r="J85" s="2"/>
      <c r="K85" s="5"/>
      <c r="L85" s="5"/>
      <c r="N85" s="5">
        <f>G85</f>
        <v>39</v>
      </c>
      <c r="O85" s="5"/>
      <c r="P85" s="5"/>
      <c r="Q85" s="5"/>
      <c r="R85" s="5"/>
      <c r="S85" s="66">
        <f>G85*$T$2/$Q$2</f>
        <v>1.950914967937021</v>
      </c>
      <c r="T85" s="15">
        <f>ROUNDUP(S85,0)</f>
        <v>2</v>
      </c>
      <c r="U85" s="15"/>
    </row>
    <row r="86" spans="2:21">
      <c r="B86">
        <v>204</v>
      </c>
      <c r="C86" s="35" t="s">
        <v>132</v>
      </c>
      <c r="D86" s="2"/>
      <c r="E86" s="20"/>
      <c r="F86" s="5"/>
      <c r="G86" s="23">
        <v>34</v>
      </c>
      <c r="H86" s="3"/>
      <c r="J86" s="2"/>
      <c r="K86" s="5"/>
      <c r="L86" s="5"/>
      <c r="N86" s="5">
        <f>G86</f>
        <v>34</v>
      </c>
      <c r="O86" s="5"/>
      <c r="P86" s="5"/>
      <c r="Q86" s="5"/>
      <c r="R86" s="5"/>
      <c r="S86" s="66">
        <f>G86*$T$2/$Q$2</f>
        <v>1.7007976643553517</v>
      </c>
      <c r="T86" s="15">
        <f>ROUNDUP(S86,0)</f>
        <v>2</v>
      </c>
      <c r="U86" s="15"/>
    </row>
    <row r="87" spans="2:21">
      <c r="B87">
        <v>207</v>
      </c>
      <c r="C87" s="35" t="s">
        <v>132</v>
      </c>
      <c r="D87" s="2"/>
      <c r="E87" s="20"/>
      <c r="F87" s="5"/>
      <c r="G87" s="23">
        <v>24</v>
      </c>
      <c r="H87" s="3"/>
      <c r="J87" s="2"/>
      <c r="K87" s="5"/>
      <c r="L87" s="5"/>
      <c r="N87" s="5">
        <f>G87</f>
        <v>24</v>
      </c>
      <c r="O87" s="5"/>
      <c r="P87" s="5"/>
      <c r="Q87" s="5"/>
      <c r="R87" s="5"/>
      <c r="S87" s="66">
        <f>G87*$T$2/$Q$2</f>
        <v>1.200563057192013</v>
      </c>
      <c r="T87" s="15">
        <f>ROUNDUP(S87,0)</f>
        <v>2</v>
      </c>
      <c r="U87" s="15"/>
    </row>
    <row r="88" spans="2:21">
      <c r="B88">
        <v>91</v>
      </c>
      <c r="C88" s="35" t="s">
        <v>133</v>
      </c>
      <c r="D88" s="2">
        <v>5</v>
      </c>
      <c r="E88" s="20"/>
      <c r="F88" s="5"/>
      <c r="G88" s="17"/>
      <c r="H88" s="3"/>
      <c r="J88" s="2"/>
      <c r="K88" s="5"/>
      <c r="L88" s="5"/>
      <c r="N88" s="5">
        <f>D88</f>
        <v>5</v>
      </c>
      <c r="O88" s="5"/>
      <c r="P88" s="66">
        <f>D88*$T$2/$Q$2</f>
        <v>0.25011730358166934</v>
      </c>
      <c r="Q88" s="15">
        <f>ROUNDUP(P88,0)</f>
        <v>1</v>
      </c>
      <c r="R88" s="15"/>
      <c r="S88" s="5"/>
      <c r="T88" s="5"/>
      <c r="U88" s="5"/>
    </row>
    <row r="89" spans="2:21">
      <c r="B89">
        <v>2</v>
      </c>
      <c r="C89" s="35">
        <v>4901035115133</v>
      </c>
      <c r="D89" s="2"/>
      <c r="E89" s="20"/>
      <c r="F89" s="5"/>
      <c r="G89" s="17"/>
      <c r="H89" s="3"/>
      <c r="J89" s="2"/>
      <c r="K89" s="5"/>
      <c r="L89" s="5"/>
      <c r="N89" s="5"/>
      <c r="O89" s="5"/>
      <c r="P89" s="5"/>
      <c r="Q89" s="5"/>
      <c r="R89" s="5"/>
      <c r="S89" s="5"/>
      <c r="T89" s="5"/>
      <c r="U89" s="5"/>
    </row>
    <row r="90" spans="2:21">
      <c r="B90">
        <v>4</v>
      </c>
      <c r="C90" s="35">
        <v>4901330903084</v>
      </c>
      <c r="D90" s="2"/>
      <c r="E90" s="20"/>
      <c r="F90" s="5"/>
      <c r="G90" s="17"/>
      <c r="H90" s="3"/>
      <c r="J90" s="2"/>
      <c r="K90" s="5"/>
      <c r="L90" s="5"/>
      <c r="N90" s="5"/>
      <c r="O90" s="5"/>
      <c r="P90" s="5"/>
      <c r="Q90" s="5"/>
      <c r="R90" s="5"/>
      <c r="S90" s="5"/>
      <c r="T90" s="5"/>
      <c r="U90" s="5"/>
    </row>
    <row r="91" spans="2:21">
      <c r="B91">
        <v>6</v>
      </c>
      <c r="C91" s="35">
        <v>4973360286819</v>
      </c>
      <c r="D91" s="2"/>
      <c r="E91" s="20"/>
      <c r="F91" s="5"/>
      <c r="G91" s="17"/>
      <c r="H91" s="3"/>
      <c r="J91" s="2"/>
      <c r="K91" s="5"/>
      <c r="L91" s="5"/>
      <c r="N91" s="5"/>
      <c r="O91" s="5"/>
      <c r="P91" s="5"/>
      <c r="Q91" s="5"/>
      <c r="R91" s="5"/>
      <c r="S91" s="5"/>
      <c r="T91" s="5"/>
      <c r="U91" s="5"/>
    </row>
    <row r="92" spans="2:21">
      <c r="B92">
        <v>8</v>
      </c>
      <c r="C92" s="35">
        <v>4901372279703</v>
      </c>
      <c r="D92" s="2"/>
      <c r="E92" s="20"/>
      <c r="F92" s="5"/>
      <c r="G92" s="17"/>
      <c r="H92" s="3"/>
      <c r="J92" s="2"/>
      <c r="K92" s="5"/>
      <c r="L92" s="5"/>
      <c r="N92" s="5"/>
      <c r="O92" s="5"/>
      <c r="P92" s="5"/>
      <c r="Q92" s="5"/>
      <c r="R92" s="5"/>
      <c r="S92" s="5"/>
      <c r="T92" s="5"/>
      <c r="U92" s="5"/>
    </row>
    <row r="93" spans="2:21">
      <c r="B93">
        <v>10</v>
      </c>
      <c r="C93" s="35">
        <v>4901734000280</v>
      </c>
      <c r="D93" s="2"/>
      <c r="E93" s="20"/>
      <c r="F93" s="5"/>
      <c r="G93" s="17"/>
      <c r="H93" s="3"/>
      <c r="J93" s="2"/>
      <c r="K93" s="5"/>
      <c r="L93" s="5"/>
      <c r="N93" s="5"/>
      <c r="O93" s="5"/>
      <c r="P93" s="5"/>
      <c r="Q93" s="5"/>
      <c r="R93" s="5"/>
      <c r="S93" s="5"/>
      <c r="T93" s="5"/>
      <c r="U93" s="5"/>
    </row>
    <row r="94" spans="2:21">
      <c r="B94">
        <v>12</v>
      </c>
      <c r="C94" s="35">
        <v>4931849100452</v>
      </c>
      <c r="D94" s="2"/>
      <c r="E94" s="20"/>
      <c r="F94" s="5"/>
      <c r="G94" s="17"/>
      <c r="H94" s="3"/>
      <c r="J94" s="2"/>
      <c r="K94" s="5"/>
      <c r="L94" s="5"/>
      <c r="N94" s="5"/>
      <c r="O94" s="5"/>
      <c r="P94" s="5"/>
      <c r="Q94" s="5"/>
      <c r="R94" s="5"/>
      <c r="S94" s="5"/>
      <c r="T94" s="5"/>
      <c r="U94" s="5"/>
    </row>
    <row r="95" spans="2:21">
      <c r="B95">
        <v>14</v>
      </c>
      <c r="C95" s="35">
        <v>4901301379894</v>
      </c>
      <c r="D95" s="2"/>
      <c r="E95" s="20"/>
      <c r="F95" s="5"/>
      <c r="G95" s="17"/>
      <c r="H95" s="3"/>
      <c r="J95" s="2"/>
      <c r="K95" s="5"/>
      <c r="L95" s="5"/>
      <c r="N95" s="5"/>
      <c r="O95" s="5"/>
      <c r="P95" s="5"/>
      <c r="Q95" s="5"/>
      <c r="R95" s="5"/>
      <c r="S95" s="5"/>
      <c r="T95" s="5"/>
      <c r="U95" s="5"/>
    </row>
    <row r="96" spans="2:21">
      <c r="B96">
        <v>16</v>
      </c>
      <c r="C96" s="35">
        <v>4902508139434</v>
      </c>
      <c r="D96" s="2"/>
      <c r="E96" s="20"/>
      <c r="F96" s="5"/>
      <c r="G96" s="17"/>
      <c r="H96" s="3"/>
      <c r="J96" s="2"/>
      <c r="K96" s="5"/>
      <c r="L96" s="5"/>
      <c r="N96" s="5"/>
      <c r="O96" s="5"/>
      <c r="P96" s="5"/>
      <c r="Q96" s="5"/>
      <c r="R96" s="5"/>
      <c r="S96" s="5"/>
      <c r="T96" s="5"/>
      <c r="U96" s="5"/>
    </row>
    <row r="97" spans="2:21">
      <c r="B97">
        <v>18</v>
      </c>
      <c r="C97" s="35">
        <v>4901126128684</v>
      </c>
      <c r="D97" s="2"/>
      <c r="E97" s="20"/>
      <c r="F97" s="5"/>
      <c r="G97" s="17"/>
      <c r="H97" s="3"/>
      <c r="J97" s="2"/>
      <c r="K97" s="5"/>
      <c r="L97" s="5"/>
      <c r="N97" s="5"/>
      <c r="O97" s="5"/>
      <c r="P97" s="5"/>
      <c r="Q97" s="5"/>
      <c r="R97" s="5"/>
      <c r="S97" s="5"/>
      <c r="T97" s="5"/>
      <c r="U97" s="5"/>
    </row>
    <row r="98" spans="2:21">
      <c r="B98">
        <v>20</v>
      </c>
      <c r="C98" s="35">
        <v>4571315752206</v>
      </c>
      <c r="D98" s="2"/>
      <c r="E98" s="20"/>
      <c r="F98" s="5"/>
      <c r="G98" s="17"/>
      <c r="H98" s="3"/>
      <c r="J98" s="2"/>
      <c r="K98" s="5"/>
      <c r="L98" s="5"/>
      <c r="N98" s="5"/>
      <c r="O98" s="5"/>
      <c r="P98" s="5"/>
      <c r="Q98" s="5"/>
      <c r="R98" s="5"/>
      <c r="S98" s="5"/>
      <c r="T98" s="5"/>
      <c r="U98" s="5"/>
    </row>
    <row r="99" spans="2:21">
      <c r="B99">
        <v>22</v>
      </c>
      <c r="C99" s="35">
        <v>4901160110188</v>
      </c>
      <c r="D99" s="2"/>
      <c r="E99" s="20"/>
      <c r="F99" s="5"/>
      <c r="G99" s="17"/>
      <c r="H99" s="3"/>
      <c r="J99" s="2"/>
      <c r="K99" s="5"/>
      <c r="L99" s="5"/>
      <c r="N99" s="5"/>
      <c r="O99" s="5"/>
      <c r="P99" s="5"/>
      <c r="Q99" s="5"/>
      <c r="R99" s="5"/>
      <c r="S99" s="5"/>
      <c r="T99" s="5"/>
      <c r="U99" s="5"/>
    </row>
    <row r="100" spans="2:21">
      <c r="B100">
        <v>23</v>
      </c>
      <c r="C100" s="35" t="s">
        <v>134</v>
      </c>
      <c r="D100" s="2"/>
      <c r="E100" s="20"/>
      <c r="F100" s="5"/>
      <c r="G100" s="17"/>
      <c r="H100" s="3"/>
      <c r="J100" s="2"/>
      <c r="K100" s="5"/>
      <c r="L100" s="5"/>
      <c r="N100" s="5"/>
      <c r="O100" s="5"/>
      <c r="P100" s="5"/>
      <c r="Q100" s="5"/>
      <c r="R100" s="5"/>
      <c r="S100" s="5"/>
      <c r="T100" s="5"/>
      <c r="U100" s="5"/>
    </row>
    <row r="101" spans="2:21">
      <c r="B101">
        <v>25</v>
      </c>
      <c r="C101" s="35">
        <v>4903110002222</v>
      </c>
      <c r="D101" s="2"/>
      <c r="E101" s="20"/>
      <c r="F101" s="5"/>
      <c r="G101" s="17"/>
      <c r="H101" s="3"/>
      <c r="J101" s="2"/>
      <c r="K101" s="5"/>
      <c r="L101" s="5"/>
      <c r="N101" s="5"/>
      <c r="O101" s="5"/>
      <c r="P101" s="5"/>
      <c r="Q101" s="5"/>
      <c r="R101" s="5"/>
      <c r="S101" s="5"/>
      <c r="T101" s="5"/>
      <c r="U101" s="5"/>
    </row>
    <row r="102" spans="2:21">
      <c r="B102">
        <v>27</v>
      </c>
      <c r="C102" s="35">
        <v>4908011510906</v>
      </c>
      <c r="D102" s="2"/>
      <c r="E102" s="20"/>
      <c r="F102" s="5"/>
      <c r="G102" s="17"/>
      <c r="H102" s="3"/>
      <c r="J102" s="2"/>
      <c r="K102" s="5"/>
      <c r="L102" s="5"/>
      <c r="N102" s="5"/>
      <c r="O102" s="5"/>
      <c r="P102" s="5"/>
      <c r="Q102" s="5"/>
      <c r="R102" s="5"/>
      <c r="S102" s="5"/>
      <c r="T102" s="5"/>
      <c r="U102" s="5"/>
    </row>
    <row r="103" spans="2:21">
      <c r="B103">
        <v>29</v>
      </c>
      <c r="C103" s="35">
        <v>4515848152034</v>
      </c>
      <c r="D103" s="2"/>
      <c r="E103" s="20"/>
      <c r="F103" s="5"/>
      <c r="G103" s="17"/>
      <c r="H103" s="3"/>
      <c r="J103" s="2"/>
      <c r="K103" s="5"/>
      <c r="L103" s="5"/>
      <c r="N103" s="5"/>
      <c r="O103" s="5"/>
      <c r="P103" s="5"/>
      <c r="Q103" s="5"/>
      <c r="R103" s="5"/>
      <c r="S103" s="5"/>
      <c r="T103" s="5"/>
      <c r="U103" s="5"/>
    </row>
    <row r="104" spans="2:21">
      <c r="B104">
        <v>31</v>
      </c>
      <c r="C104" s="35">
        <v>6161927</v>
      </c>
      <c r="D104" s="2"/>
      <c r="E104" s="20"/>
      <c r="F104" s="5"/>
      <c r="G104" s="17"/>
      <c r="H104" s="3"/>
      <c r="J104" s="2"/>
      <c r="K104" s="5"/>
      <c r="L104" s="5"/>
      <c r="N104" s="5"/>
      <c r="O104" s="5"/>
      <c r="P104" s="5"/>
      <c r="Q104" s="5"/>
      <c r="R104" s="5"/>
      <c r="S104" s="5"/>
      <c r="T104" s="5"/>
      <c r="U104" s="5"/>
    </row>
    <row r="105" spans="2:21">
      <c r="B105">
        <v>33</v>
      </c>
      <c r="C105" s="35">
        <v>224307701006</v>
      </c>
      <c r="D105" s="2"/>
      <c r="E105" s="20"/>
      <c r="F105" s="5"/>
      <c r="G105" s="17"/>
      <c r="H105" s="3"/>
      <c r="J105" s="2"/>
      <c r="K105" s="5"/>
      <c r="L105" s="5"/>
      <c r="N105" s="5"/>
      <c r="O105" s="5"/>
      <c r="P105" s="5"/>
      <c r="Q105" s="5"/>
      <c r="R105" s="5"/>
      <c r="S105" s="5"/>
      <c r="T105" s="5"/>
      <c r="U105" s="5"/>
    </row>
    <row r="106" spans="2:21">
      <c r="B106">
        <v>35</v>
      </c>
      <c r="C106" s="35">
        <v>4975612534068</v>
      </c>
      <c r="D106" s="2"/>
      <c r="E106" s="20"/>
      <c r="F106" s="5"/>
      <c r="G106" s="17"/>
      <c r="H106" s="3"/>
      <c r="J106" s="2"/>
      <c r="K106" s="5"/>
      <c r="L106" s="5"/>
      <c r="N106" s="5"/>
      <c r="O106" s="5"/>
      <c r="P106" s="5"/>
      <c r="Q106" s="5"/>
      <c r="R106" s="5"/>
      <c r="S106" s="5"/>
      <c r="T106" s="5"/>
      <c r="U106" s="5"/>
    </row>
    <row r="107" spans="2:21">
      <c r="B107">
        <v>37</v>
      </c>
      <c r="C107" s="35">
        <v>4570561</v>
      </c>
      <c r="D107" s="2"/>
      <c r="E107" s="20"/>
      <c r="F107" s="5"/>
      <c r="G107" s="17"/>
      <c r="H107" s="3"/>
      <c r="J107" s="2"/>
      <c r="K107" s="5"/>
      <c r="L107" s="5"/>
      <c r="N107" s="5"/>
      <c r="O107" s="5"/>
      <c r="P107" s="5"/>
      <c r="Q107" s="5"/>
      <c r="R107" s="5"/>
      <c r="S107" s="5"/>
      <c r="T107" s="5"/>
      <c r="U107" s="5"/>
    </row>
    <row r="108" spans="2:21">
      <c r="B108">
        <v>39</v>
      </c>
      <c r="C108" s="35">
        <v>285005001003</v>
      </c>
      <c r="D108" s="2"/>
      <c r="E108" s="20"/>
      <c r="F108" s="5"/>
      <c r="G108" s="17"/>
      <c r="H108" s="3"/>
      <c r="J108" s="2"/>
      <c r="K108" s="5"/>
      <c r="L108" s="5"/>
      <c r="N108" s="5"/>
      <c r="O108" s="5"/>
      <c r="P108" s="5"/>
      <c r="Q108" s="5"/>
      <c r="R108" s="5"/>
      <c r="S108" s="5"/>
      <c r="T108" s="5"/>
      <c r="U108" s="5"/>
    </row>
    <row r="109" spans="2:21">
      <c r="B109">
        <v>41</v>
      </c>
      <c r="C109" s="35">
        <v>4963646020169</v>
      </c>
      <c r="D109" s="2"/>
      <c r="E109" s="20"/>
      <c r="F109" s="5"/>
      <c r="G109" s="17"/>
      <c r="H109" s="3"/>
      <c r="J109" s="2"/>
      <c r="K109" s="5"/>
      <c r="L109" s="5"/>
      <c r="N109" s="5"/>
      <c r="O109" s="5"/>
      <c r="P109" s="5"/>
      <c r="Q109" s="5"/>
      <c r="R109" s="5"/>
      <c r="S109" s="5"/>
      <c r="T109" s="5"/>
      <c r="U109" s="5"/>
    </row>
    <row r="110" spans="2:21">
      <c r="B110">
        <v>43</v>
      </c>
      <c r="C110" s="35">
        <v>281021705802</v>
      </c>
      <c r="D110" s="2"/>
      <c r="E110" s="20"/>
      <c r="F110" s="5"/>
      <c r="G110" s="17"/>
      <c r="H110" s="3"/>
      <c r="J110" s="2"/>
      <c r="K110" s="5"/>
      <c r="L110" s="5"/>
      <c r="N110" s="5"/>
      <c r="O110" s="5"/>
      <c r="P110" s="5"/>
      <c r="Q110" s="5"/>
      <c r="R110" s="5"/>
      <c r="S110" s="5"/>
      <c r="T110" s="5"/>
      <c r="U110" s="5"/>
    </row>
    <row r="111" spans="2:21">
      <c r="B111">
        <v>44</v>
      </c>
      <c r="C111" s="35" t="s">
        <v>135</v>
      </c>
      <c r="D111" s="2"/>
      <c r="E111" s="20"/>
      <c r="F111" s="5"/>
      <c r="G111" s="17"/>
      <c r="H111" s="3"/>
      <c r="J111" s="2"/>
      <c r="K111" s="5"/>
      <c r="L111" s="5"/>
      <c r="N111" s="5"/>
      <c r="O111" s="5"/>
      <c r="P111" s="5"/>
      <c r="Q111" s="5"/>
      <c r="R111" s="5"/>
      <c r="S111" s="5"/>
      <c r="T111" s="5"/>
      <c r="U111" s="5"/>
    </row>
    <row r="112" spans="2:21">
      <c r="B112">
        <v>46</v>
      </c>
      <c r="C112" s="35">
        <v>4902150131718</v>
      </c>
      <c r="D112" s="2"/>
      <c r="E112" s="20"/>
      <c r="F112" s="5"/>
      <c r="G112" s="17"/>
      <c r="H112" s="3"/>
      <c r="J112" s="2"/>
      <c r="K112" s="5"/>
      <c r="L112" s="5"/>
      <c r="N112" s="5"/>
      <c r="O112" s="5"/>
      <c r="P112" s="5"/>
      <c r="Q112" s="5"/>
      <c r="R112" s="5"/>
      <c r="S112" s="5"/>
      <c r="T112" s="5"/>
      <c r="U112" s="5"/>
    </row>
    <row r="113" spans="2:21">
      <c r="B113">
        <v>48</v>
      </c>
      <c r="C113" s="35">
        <v>292187403297</v>
      </c>
      <c r="D113" s="2"/>
      <c r="E113" s="20"/>
      <c r="F113" s="5"/>
      <c r="G113" s="17"/>
      <c r="H113" s="3"/>
      <c r="J113" s="2"/>
      <c r="K113" s="5"/>
      <c r="L113" s="5"/>
      <c r="N113" s="5"/>
      <c r="O113" s="5"/>
      <c r="P113" s="5"/>
      <c r="Q113" s="5"/>
      <c r="R113" s="5"/>
      <c r="S113" s="5"/>
      <c r="T113" s="5"/>
      <c r="U113" s="5"/>
    </row>
    <row r="114" spans="2:21">
      <c r="B114">
        <v>50</v>
      </c>
      <c r="C114" s="35">
        <v>4902115379551</v>
      </c>
      <c r="D114" s="2"/>
      <c r="E114" s="20"/>
      <c r="F114" s="5"/>
      <c r="G114" s="17"/>
      <c r="H114" s="3"/>
      <c r="J114" s="2"/>
      <c r="K114" s="5"/>
      <c r="L114" s="5"/>
      <c r="N114" s="5"/>
      <c r="O114" s="5"/>
      <c r="P114" s="5"/>
      <c r="Q114" s="5"/>
      <c r="R114" s="5"/>
      <c r="S114" s="5"/>
      <c r="T114" s="5"/>
      <c r="U114" s="5"/>
    </row>
    <row r="115" spans="2:21">
      <c r="B115">
        <v>52</v>
      </c>
      <c r="C115" s="35">
        <v>211281405808</v>
      </c>
      <c r="D115" s="2"/>
      <c r="E115" s="20"/>
      <c r="F115" s="5"/>
      <c r="G115" s="17"/>
      <c r="H115" s="3"/>
      <c r="J115" s="2"/>
      <c r="K115" s="5"/>
      <c r="L115" s="5"/>
      <c r="N115" s="5"/>
      <c r="O115" s="5"/>
      <c r="P115" s="5"/>
      <c r="Q115" s="5"/>
      <c r="R115" s="5"/>
      <c r="S115" s="5"/>
      <c r="T115" s="5"/>
      <c r="U115" s="5"/>
    </row>
    <row r="116" spans="2:21">
      <c r="B116">
        <v>54</v>
      </c>
      <c r="C116" s="35">
        <v>4517888134469</v>
      </c>
      <c r="D116" s="2"/>
      <c r="E116" s="20"/>
      <c r="F116" s="5"/>
      <c r="G116" s="17"/>
      <c r="H116" s="3"/>
      <c r="J116" s="2"/>
      <c r="K116" s="5"/>
      <c r="L116" s="5"/>
      <c r="N116" s="5"/>
      <c r="O116" s="5"/>
      <c r="P116" s="5"/>
      <c r="Q116" s="5"/>
      <c r="R116" s="5"/>
      <c r="S116" s="5"/>
      <c r="T116" s="5"/>
      <c r="U116" s="5"/>
    </row>
    <row r="117" spans="2:21">
      <c r="B117">
        <v>56</v>
      </c>
      <c r="C117" s="35">
        <v>248954603995</v>
      </c>
      <c r="D117" s="2"/>
      <c r="E117" s="20"/>
      <c r="F117" s="5"/>
      <c r="G117" s="17"/>
      <c r="H117" s="3"/>
      <c r="J117" s="2"/>
      <c r="K117" s="5"/>
      <c r="L117" s="5"/>
      <c r="N117" s="5"/>
      <c r="O117" s="5"/>
      <c r="P117" s="5"/>
      <c r="Q117" s="5"/>
      <c r="R117" s="5"/>
      <c r="S117" s="5"/>
      <c r="T117" s="5"/>
      <c r="U117" s="5"/>
    </row>
    <row r="118" spans="2:21">
      <c r="B118">
        <v>58</v>
      </c>
      <c r="C118" s="35">
        <v>4945224356181</v>
      </c>
      <c r="D118" s="2"/>
      <c r="E118" s="20"/>
      <c r="F118" s="5"/>
      <c r="G118" s="17"/>
      <c r="H118" s="3"/>
      <c r="J118" s="2"/>
      <c r="K118" s="5"/>
      <c r="L118" s="5"/>
      <c r="N118" s="5"/>
      <c r="O118" s="5"/>
      <c r="P118" s="5"/>
      <c r="Q118" s="5"/>
      <c r="R118" s="5"/>
      <c r="S118" s="5"/>
      <c r="T118" s="5"/>
      <c r="U118" s="5"/>
    </row>
    <row r="119" spans="2:21">
      <c r="B119">
        <v>60</v>
      </c>
      <c r="C119" s="35">
        <v>224847807992</v>
      </c>
      <c r="D119" s="2"/>
      <c r="E119" s="20"/>
      <c r="F119" s="5"/>
      <c r="G119" s="17"/>
      <c r="H119" s="3"/>
      <c r="J119" s="2"/>
      <c r="K119" s="5"/>
      <c r="L119" s="5"/>
      <c r="N119" s="5"/>
      <c r="O119" s="5"/>
      <c r="P119" s="5"/>
      <c r="Q119" s="5"/>
      <c r="R119" s="5"/>
      <c r="S119" s="5"/>
      <c r="T119" s="5"/>
      <c r="U119" s="5"/>
    </row>
    <row r="120" spans="2:21">
      <c r="B120">
        <v>62</v>
      </c>
      <c r="C120" s="35">
        <v>4971573</v>
      </c>
      <c r="D120" s="2"/>
      <c r="E120" s="20"/>
      <c r="F120" s="5"/>
      <c r="G120" s="17"/>
      <c r="H120" s="3"/>
      <c r="J120" s="2"/>
      <c r="K120" s="5"/>
      <c r="L120" s="5"/>
      <c r="N120" s="5"/>
      <c r="O120" s="5"/>
      <c r="P120" s="5"/>
      <c r="Q120" s="5"/>
      <c r="R120" s="5"/>
      <c r="S120" s="5"/>
      <c r="T120" s="5"/>
      <c r="U120" s="5"/>
    </row>
    <row r="121" spans="2:21">
      <c r="B121">
        <v>64</v>
      </c>
      <c r="C121" s="35">
        <v>4901515001536</v>
      </c>
      <c r="D121" s="2"/>
      <c r="E121" s="20"/>
      <c r="F121" s="5"/>
      <c r="G121" s="17"/>
      <c r="H121" s="3"/>
      <c r="J121" s="2"/>
      <c r="K121" s="5"/>
      <c r="L121" s="5"/>
      <c r="N121" s="5"/>
      <c r="O121" s="5"/>
      <c r="P121" s="5"/>
      <c r="Q121" s="5"/>
      <c r="R121" s="5"/>
      <c r="S121" s="5"/>
      <c r="T121" s="5"/>
      <c r="U121" s="5"/>
    </row>
    <row r="122" spans="2:21">
      <c r="B122">
        <v>65</v>
      </c>
      <c r="C122" s="35" t="s">
        <v>136</v>
      </c>
      <c r="D122" s="2"/>
      <c r="E122" s="20"/>
      <c r="F122" s="5"/>
      <c r="G122" s="17"/>
      <c r="H122" s="3"/>
      <c r="J122" s="2"/>
      <c r="K122" s="5"/>
      <c r="L122" s="5"/>
      <c r="N122" s="5"/>
      <c r="O122" s="5"/>
      <c r="P122" s="5"/>
      <c r="Q122" s="5"/>
      <c r="R122" s="5"/>
      <c r="S122" s="5"/>
      <c r="T122" s="5"/>
      <c r="U122" s="5"/>
    </row>
    <row r="123" spans="2:21">
      <c r="B123">
        <v>66</v>
      </c>
      <c r="C123" s="35" t="s">
        <v>137</v>
      </c>
      <c r="D123" s="2"/>
      <c r="E123" s="22">
        <v>1055</v>
      </c>
      <c r="F123" s="5"/>
      <c r="G123" s="17"/>
      <c r="H123" s="3"/>
      <c r="J123" s="2"/>
      <c r="K123" s="5"/>
      <c r="L123" s="5"/>
      <c r="N123" s="5"/>
      <c r="O123" s="5"/>
      <c r="P123" s="5"/>
      <c r="Q123" s="5"/>
      <c r="R123" s="5"/>
      <c r="S123" s="5"/>
      <c r="T123" s="5"/>
      <c r="U123" s="5"/>
    </row>
    <row r="124" spans="2:21">
      <c r="B124">
        <v>67</v>
      </c>
      <c r="C124" s="35">
        <v>4901004006721</v>
      </c>
      <c r="D124" s="2"/>
      <c r="E124" s="20"/>
      <c r="F124" s="5"/>
      <c r="G124" s="17"/>
      <c r="H124" s="3"/>
      <c r="J124" s="2"/>
      <c r="K124" s="5"/>
      <c r="L124" s="5"/>
      <c r="N124" s="5"/>
      <c r="O124" s="5"/>
      <c r="P124" s="5"/>
      <c r="Q124" s="5"/>
      <c r="R124" s="5"/>
      <c r="S124" s="5"/>
      <c r="T124" s="5"/>
      <c r="U124" s="5"/>
    </row>
    <row r="125" spans="2:21">
      <c r="B125">
        <v>68</v>
      </c>
      <c r="C125" s="35" t="s">
        <v>136</v>
      </c>
      <c r="D125" s="2"/>
      <c r="E125" s="20"/>
      <c r="F125" s="5"/>
      <c r="G125" s="17"/>
      <c r="H125" s="3"/>
      <c r="J125" s="2"/>
      <c r="K125" s="5"/>
      <c r="L125" s="5"/>
      <c r="N125" s="5"/>
      <c r="O125" s="5"/>
      <c r="P125" s="5"/>
      <c r="Q125" s="5"/>
      <c r="R125" s="5"/>
      <c r="S125" s="5"/>
      <c r="T125" s="5"/>
      <c r="U125" s="5"/>
    </row>
    <row r="126" spans="2:21">
      <c r="B126">
        <v>70</v>
      </c>
      <c r="C126" s="35">
        <v>4904230030010</v>
      </c>
      <c r="D126" s="2"/>
      <c r="E126" s="20"/>
      <c r="F126" s="5"/>
      <c r="G126" s="17"/>
      <c r="H126" s="3"/>
      <c r="J126" s="2"/>
      <c r="K126" s="5"/>
      <c r="L126" s="5"/>
      <c r="N126" s="5"/>
      <c r="O126" s="5"/>
      <c r="P126" s="5"/>
      <c r="Q126" s="5"/>
      <c r="R126" s="5"/>
      <c r="S126" s="5"/>
      <c r="T126" s="5"/>
      <c r="U126" s="5"/>
    </row>
    <row r="127" spans="2:21">
      <c r="B127">
        <v>71</v>
      </c>
      <c r="C127" s="35" t="s">
        <v>138</v>
      </c>
      <c r="D127" s="2"/>
      <c r="E127" s="20"/>
      <c r="F127" s="5"/>
      <c r="G127" s="17"/>
      <c r="H127" s="3"/>
      <c r="J127" s="4">
        <v>600</v>
      </c>
      <c r="K127" s="5"/>
      <c r="L127" s="5"/>
      <c r="N127" s="5"/>
      <c r="O127" s="5"/>
      <c r="P127" s="5"/>
      <c r="Q127" s="5"/>
      <c r="R127" s="5"/>
      <c r="S127" s="5"/>
      <c r="T127" s="5"/>
      <c r="U127" s="5"/>
    </row>
    <row r="128" spans="2:21">
      <c r="B128">
        <v>72</v>
      </c>
      <c r="C128" s="35">
        <v>49400397</v>
      </c>
      <c r="D128" s="2"/>
      <c r="E128" s="20"/>
      <c r="F128" s="5"/>
      <c r="G128" s="17"/>
      <c r="H128" s="3"/>
      <c r="J128" s="2"/>
      <c r="K128" s="5"/>
      <c r="L128" s="5"/>
      <c r="N128" s="5"/>
      <c r="O128" s="5"/>
      <c r="P128" s="5"/>
      <c r="Q128" s="5"/>
      <c r="R128" s="5"/>
      <c r="S128" s="5"/>
      <c r="T128" s="5"/>
      <c r="U128" s="5"/>
    </row>
    <row r="129" spans="2:21">
      <c r="B129">
        <v>73</v>
      </c>
      <c r="C129" s="35" t="s">
        <v>136</v>
      </c>
      <c r="D129" s="2"/>
      <c r="E129" s="20"/>
      <c r="F129" s="5"/>
      <c r="G129" s="17"/>
      <c r="H129" s="3"/>
      <c r="J129" s="2"/>
      <c r="K129" s="5"/>
      <c r="L129" s="5"/>
      <c r="N129" s="5"/>
      <c r="O129" s="5"/>
      <c r="P129" s="5"/>
      <c r="Q129" s="5"/>
      <c r="R129" s="5"/>
      <c r="S129" s="5"/>
      <c r="T129" s="5"/>
      <c r="U129" s="5"/>
    </row>
    <row r="130" spans="2:21">
      <c r="B130">
        <v>74</v>
      </c>
      <c r="C130" s="35" t="s">
        <v>139</v>
      </c>
      <c r="D130" s="2"/>
      <c r="E130" s="20"/>
      <c r="F130" s="5"/>
      <c r="G130" s="17"/>
      <c r="H130" s="3"/>
      <c r="J130" s="4">
        <v>580</v>
      </c>
      <c r="K130" s="5"/>
      <c r="L130" s="5"/>
      <c r="N130" s="5"/>
      <c r="O130" s="5"/>
      <c r="P130" s="5"/>
      <c r="Q130" s="5"/>
      <c r="R130" s="5"/>
      <c r="S130" s="5"/>
      <c r="T130" s="5"/>
      <c r="U130" s="5"/>
    </row>
    <row r="131" spans="2:21">
      <c r="B131">
        <v>75</v>
      </c>
      <c r="C131" s="35">
        <v>7622100832898</v>
      </c>
      <c r="D131" s="2"/>
      <c r="E131" s="20"/>
      <c r="F131" s="5"/>
      <c r="G131" s="17"/>
      <c r="H131" s="3"/>
      <c r="J131" s="2"/>
      <c r="K131" s="5"/>
      <c r="L131" s="5"/>
      <c r="N131" s="5"/>
      <c r="O131" s="5"/>
      <c r="P131" s="5"/>
      <c r="Q131" s="5"/>
      <c r="R131" s="5"/>
      <c r="S131" s="5"/>
      <c r="T131" s="5"/>
      <c r="U131" s="5"/>
    </row>
    <row r="132" spans="2:21">
      <c r="B132">
        <v>76</v>
      </c>
      <c r="C132" s="35" t="s">
        <v>136</v>
      </c>
      <c r="D132" s="2"/>
      <c r="E132" s="20"/>
      <c r="F132" s="5"/>
      <c r="G132" s="17"/>
      <c r="H132" s="3"/>
      <c r="J132" s="2"/>
      <c r="K132" s="5"/>
      <c r="L132" s="5"/>
      <c r="N132" s="5"/>
      <c r="O132" s="5"/>
      <c r="P132" s="5"/>
      <c r="Q132" s="5"/>
      <c r="R132" s="5"/>
      <c r="S132" s="5"/>
      <c r="T132" s="5"/>
      <c r="U132" s="5"/>
    </row>
    <row r="133" spans="2:21">
      <c r="B133">
        <v>77</v>
      </c>
      <c r="C133" s="35" t="s">
        <v>140</v>
      </c>
      <c r="D133" s="2"/>
      <c r="E133" s="20"/>
      <c r="F133" s="5"/>
      <c r="G133" s="17"/>
      <c r="H133" s="3"/>
      <c r="J133" s="4">
        <v>400</v>
      </c>
      <c r="K133" s="5"/>
      <c r="L133" s="5"/>
      <c r="N133" s="5"/>
      <c r="O133" s="5"/>
      <c r="P133" s="5"/>
      <c r="Q133" s="5"/>
      <c r="R133" s="5"/>
      <c r="S133" s="5"/>
      <c r="T133" s="5"/>
      <c r="U133" s="5"/>
    </row>
    <row r="134" spans="2:21">
      <c r="B134">
        <v>78</v>
      </c>
      <c r="C134" s="35">
        <v>4535508000086</v>
      </c>
      <c r="D134" s="2"/>
      <c r="E134" s="20"/>
      <c r="F134" s="5"/>
      <c r="G134" s="17"/>
      <c r="H134" s="3"/>
      <c r="J134" s="2"/>
      <c r="K134" s="5"/>
      <c r="L134" s="5"/>
      <c r="N134" s="5"/>
      <c r="O134" s="5"/>
      <c r="P134" s="5"/>
      <c r="Q134" s="5"/>
      <c r="R134" s="5"/>
      <c r="S134" s="5"/>
      <c r="T134" s="5"/>
      <c r="U134" s="5"/>
    </row>
    <row r="135" spans="2:21">
      <c r="B135">
        <v>79</v>
      </c>
      <c r="C135" s="35" t="s">
        <v>141</v>
      </c>
      <c r="D135" s="2"/>
      <c r="E135" s="20"/>
      <c r="F135" s="5"/>
      <c r="G135" s="17"/>
      <c r="H135" s="3"/>
      <c r="J135" s="2"/>
      <c r="K135" s="5"/>
      <c r="L135" s="6">
        <v>85</v>
      </c>
      <c r="N135" s="5"/>
      <c r="O135" s="5"/>
      <c r="P135" s="5"/>
      <c r="Q135" s="5"/>
      <c r="R135" s="5"/>
      <c r="S135" s="5"/>
      <c r="T135" s="5"/>
      <c r="U135" s="5"/>
    </row>
    <row r="136" spans="2:21">
      <c r="B136">
        <v>80</v>
      </c>
      <c r="C136" s="35">
        <v>5341801</v>
      </c>
      <c r="D136" s="2"/>
      <c r="E136" s="20"/>
      <c r="F136" s="5"/>
      <c r="G136" s="17"/>
      <c r="H136" s="3"/>
      <c r="J136" s="2"/>
      <c r="K136" s="5"/>
      <c r="L136" s="5"/>
      <c r="N136" s="5"/>
      <c r="O136" s="5"/>
      <c r="P136" s="5"/>
      <c r="Q136" s="5"/>
      <c r="R136" s="5"/>
      <c r="S136" s="5"/>
      <c r="T136" s="5"/>
      <c r="U136" s="5"/>
    </row>
    <row r="137" spans="2:21" hidden="1">
      <c r="B137">
        <v>132</v>
      </c>
      <c r="C137" s="35" t="s">
        <v>142</v>
      </c>
      <c r="D137" s="2"/>
      <c r="E137" s="20"/>
      <c r="F137" s="5"/>
      <c r="G137" s="17"/>
      <c r="H137" s="3"/>
      <c r="J137" s="2"/>
      <c r="K137" s="5"/>
      <c r="L137" s="5"/>
      <c r="N137" s="5"/>
      <c r="O137" s="5"/>
      <c r="P137" s="5"/>
      <c r="Q137" s="5"/>
      <c r="R137" s="5"/>
      <c r="S137" s="5"/>
      <c r="T137" s="5"/>
      <c r="U137" s="5"/>
    </row>
    <row r="138" spans="2:21" hidden="1">
      <c r="B138">
        <v>133</v>
      </c>
      <c r="C138" s="35" t="s">
        <v>143</v>
      </c>
      <c r="D138" s="2"/>
      <c r="E138" s="20"/>
      <c r="F138" s="5"/>
      <c r="G138" s="17"/>
      <c r="H138" s="3"/>
      <c r="J138" s="2"/>
      <c r="K138" s="5"/>
      <c r="L138" s="5"/>
      <c r="N138" s="5"/>
      <c r="O138" s="5"/>
      <c r="P138" s="5"/>
      <c r="Q138" s="5"/>
      <c r="R138" s="5"/>
      <c r="S138" s="5"/>
      <c r="T138" s="5"/>
      <c r="U138" s="5"/>
    </row>
    <row r="139" spans="2:21" hidden="1">
      <c r="B139">
        <v>134</v>
      </c>
      <c r="C139" s="35">
        <v>226642624804</v>
      </c>
      <c r="D139" s="2"/>
      <c r="E139" s="20"/>
      <c r="F139" s="5"/>
      <c r="G139" s="17"/>
      <c r="H139" s="3"/>
      <c r="J139" s="2"/>
      <c r="K139" s="5"/>
      <c r="L139" s="5"/>
      <c r="N139" s="5"/>
      <c r="O139" s="5"/>
      <c r="P139" s="5"/>
      <c r="Q139" s="5"/>
      <c r="R139" s="5"/>
      <c r="S139" s="5"/>
      <c r="T139" s="5"/>
      <c r="U139" s="5"/>
    </row>
    <row r="140" spans="2:21" hidden="1">
      <c r="B140">
        <v>135</v>
      </c>
      <c r="C140" s="35" t="s">
        <v>144</v>
      </c>
      <c r="D140" s="2"/>
      <c r="E140" s="20"/>
      <c r="F140" s="5"/>
      <c r="G140" s="17"/>
      <c r="H140" s="3"/>
      <c r="J140" s="2"/>
      <c r="K140" s="5"/>
      <c r="L140" s="5"/>
      <c r="N140" s="5"/>
      <c r="O140" s="5"/>
      <c r="P140" s="5"/>
      <c r="Q140" s="5"/>
      <c r="R140" s="5"/>
      <c r="S140" s="5"/>
      <c r="T140" s="5"/>
      <c r="U140" s="5"/>
    </row>
    <row r="141" spans="2:21" hidden="1">
      <c r="B141">
        <v>136</v>
      </c>
      <c r="C141" s="35" t="s">
        <v>142</v>
      </c>
      <c r="D141" s="2"/>
      <c r="E141" s="20"/>
      <c r="F141" s="5"/>
      <c r="G141" s="17"/>
      <c r="H141" s="3"/>
      <c r="J141" s="2"/>
      <c r="K141" s="5"/>
      <c r="L141" s="5"/>
      <c r="N141" s="5"/>
      <c r="O141" s="5"/>
      <c r="P141" s="5"/>
      <c r="Q141" s="5"/>
      <c r="R141" s="5"/>
      <c r="S141" s="5"/>
      <c r="T141" s="5"/>
      <c r="U141" s="5"/>
    </row>
    <row r="142" spans="2:21" hidden="1">
      <c r="B142">
        <v>137</v>
      </c>
      <c r="C142" s="35" t="s">
        <v>143</v>
      </c>
      <c r="D142" s="2"/>
      <c r="E142" s="20"/>
      <c r="F142" s="5"/>
      <c r="G142" s="17"/>
      <c r="H142" s="3"/>
      <c r="J142" s="2"/>
      <c r="K142" s="5"/>
      <c r="L142" s="5"/>
      <c r="N142" s="5"/>
      <c r="O142" s="5"/>
      <c r="P142" s="5"/>
      <c r="Q142" s="5"/>
      <c r="R142" s="5"/>
      <c r="S142" s="5"/>
      <c r="T142" s="5"/>
      <c r="U142" s="5"/>
    </row>
    <row r="143" spans="2:21" hidden="1">
      <c r="B143">
        <v>138</v>
      </c>
      <c r="C143" s="35">
        <v>226642624804</v>
      </c>
      <c r="D143" s="2"/>
      <c r="E143" s="20"/>
      <c r="F143" s="5"/>
      <c r="G143" s="17"/>
      <c r="H143" s="3"/>
      <c r="J143" s="2"/>
      <c r="K143" s="5"/>
      <c r="L143" s="5"/>
      <c r="N143" s="5"/>
      <c r="O143" s="5"/>
      <c r="P143" s="5"/>
      <c r="Q143" s="5"/>
      <c r="R143" s="5"/>
      <c r="S143" s="5"/>
      <c r="T143" s="5"/>
      <c r="U143" s="5"/>
    </row>
    <row r="144" spans="2:21" hidden="1">
      <c r="B144">
        <v>139</v>
      </c>
      <c r="C144" s="35" t="s">
        <v>144</v>
      </c>
      <c r="D144" s="2"/>
      <c r="E144" s="20"/>
      <c r="F144" s="5"/>
      <c r="G144" s="17"/>
      <c r="H144" s="3"/>
      <c r="J144" s="2"/>
      <c r="K144" s="5"/>
      <c r="L144" s="5"/>
      <c r="N144" s="5"/>
      <c r="O144" s="5"/>
      <c r="P144" s="5"/>
      <c r="Q144" s="5"/>
      <c r="R144" s="5"/>
      <c r="S144" s="5"/>
      <c r="T144" s="5"/>
      <c r="U144" s="5"/>
    </row>
    <row r="145" spans="2:21" hidden="1">
      <c r="B145">
        <v>140</v>
      </c>
      <c r="C145" s="35" t="s">
        <v>142</v>
      </c>
      <c r="D145" s="2"/>
      <c r="E145" s="20"/>
      <c r="F145" s="5"/>
      <c r="G145" s="17"/>
      <c r="H145" s="3"/>
      <c r="J145" s="2"/>
      <c r="K145" s="5"/>
      <c r="L145" s="5"/>
      <c r="N145" s="5"/>
      <c r="O145" s="5"/>
      <c r="P145" s="5"/>
      <c r="Q145" s="5"/>
      <c r="R145" s="5"/>
      <c r="S145" s="5"/>
      <c r="T145" s="5"/>
      <c r="U145" s="5"/>
    </row>
    <row r="146" spans="2:21" hidden="1">
      <c r="B146">
        <v>141</v>
      </c>
      <c r="C146" s="35" t="s">
        <v>143</v>
      </c>
      <c r="D146" s="2"/>
      <c r="E146" s="20"/>
      <c r="F146" s="5"/>
      <c r="G146" s="17"/>
      <c r="H146" s="3"/>
      <c r="J146" s="2"/>
      <c r="K146" s="5"/>
      <c r="L146" s="5"/>
      <c r="N146" s="5"/>
      <c r="O146" s="5"/>
      <c r="P146" s="5"/>
      <c r="Q146" s="5"/>
      <c r="R146" s="5"/>
      <c r="S146" s="5"/>
      <c r="T146" s="5"/>
      <c r="U146" s="5"/>
    </row>
    <row r="147" spans="2:21" hidden="1">
      <c r="B147">
        <v>142</v>
      </c>
      <c r="C147" s="35">
        <v>226642624804</v>
      </c>
      <c r="D147" s="2"/>
      <c r="E147" s="20"/>
      <c r="F147" s="5"/>
      <c r="G147" s="17"/>
      <c r="H147" s="3"/>
      <c r="J147" s="2"/>
      <c r="K147" s="5"/>
      <c r="L147" s="5"/>
      <c r="N147" s="5"/>
      <c r="O147" s="5"/>
      <c r="P147" s="5"/>
      <c r="Q147" s="5"/>
      <c r="R147" s="5"/>
      <c r="S147" s="5"/>
      <c r="T147" s="5"/>
      <c r="U147" s="5"/>
    </row>
    <row r="148" spans="2:21" hidden="1">
      <c r="B148">
        <v>143</v>
      </c>
      <c r="C148" s="35" t="s">
        <v>144</v>
      </c>
      <c r="D148" s="2"/>
      <c r="E148" s="20"/>
      <c r="F148" s="5"/>
      <c r="G148" s="17"/>
      <c r="H148" s="3"/>
      <c r="J148" s="2"/>
      <c r="K148" s="5"/>
      <c r="L148" s="5"/>
      <c r="N148" s="5"/>
      <c r="O148" s="5"/>
      <c r="P148" s="5"/>
      <c r="Q148" s="5"/>
      <c r="R148" s="5"/>
      <c r="S148" s="5"/>
      <c r="T148" s="5"/>
      <c r="U148" s="5"/>
    </row>
    <row r="149" spans="2:21" hidden="1">
      <c r="B149">
        <v>144</v>
      </c>
      <c r="C149" s="35" t="s">
        <v>142</v>
      </c>
      <c r="D149" s="2"/>
      <c r="E149" s="20"/>
      <c r="F149" s="5"/>
      <c r="G149" s="17"/>
      <c r="H149" s="3"/>
      <c r="J149" s="2"/>
      <c r="K149" s="5"/>
      <c r="L149" s="5"/>
      <c r="N149" s="5"/>
      <c r="O149" s="5"/>
      <c r="P149" s="5"/>
      <c r="Q149" s="5"/>
      <c r="R149" s="5"/>
      <c r="S149" s="5"/>
      <c r="T149" s="5"/>
      <c r="U149" s="5"/>
    </row>
    <row r="150" spans="2:21" hidden="1">
      <c r="B150">
        <v>145</v>
      </c>
      <c r="C150" s="35" t="s">
        <v>145</v>
      </c>
      <c r="D150" s="2"/>
      <c r="E150" s="20"/>
      <c r="F150" s="5"/>
      <c r="G150" s="17"/>
      <c r="H150" s="3"/>
      <c r="J150" s="2"/>
      <c r="K150" s="5"/>
      <c r="L150" s="5"/>
      <c r="N150" s="5"/>
      <c r="O150" s="5"/>
      <c r="P150" s="5"/>
      <c r="Q150" s="5"/>
      <c r="R150" s="5"/>
      <c r="S150" s="5"/>
      <c r="T150" s="5"/>
      <c r="U150" s="5"/>
    </row>
    <row r="151" spans="2:21" hidden="1">
      <c r="B151">
        <v>146</v>
      </c>
      <c r="C151" s="35">
        <v>269406704756</v>
      </c>
      <c r="D151" s="2"/>
      <c r="E151" s="20"/>
      <c r="F151" s="5"/>
      <c r="G151" s="17"/>
      <c r="H151" s="3"/>
      <c r="J151" s="2"/>
      <c r="K151" s="5"/>
      <c r="L151" s="5"/>
      <c r="N151" s="5"/>
      <c r="O151" s="5"/>
      <c r="P151" s="5"/>
      <c r="Q151" s="5"/>
      <c r="R151" s="5"/>
      <c r="S151" s="5"/>
      <c r="T151" s="5"/>
      <c r="U151" s="5"/>
    </row>
    <row r="152" spans="2:21" hidden="1">
      <c r="B152">
        <v>147</v>
      </c>
      <c r="C152" s="35" t="s">
        <v>144</v>
      </c>
      <c r="D152" s="2"/>
      <c r="E152" s="20"/>
      <c r="F152" s="5"/>
      <c r="G152" s="17"/>
      <c r="H152" s="3"/>
      <c r="J152" s="2"/>
      <c r="K152" s="5"/>
      <c r="L152" s="5"/>
      <c r="N152" s="5"/>
      <c r="O152" s="5"/>
      <c r="P152" s="5"/>
      <c r="Q152" s="5"/>
      <c r="R152" s="5"/>
      <c r="S152" s="5"/>
      <c r="T152" s="5"/>
      <c r="U152" s="5"/>
    </row>
    <row r="153" spans="2:21" hidden="1">
      <c r="B153">
        <v>148</v>
      </c>
      <c r="C153" s="35" t="s">
        <v>142</v>
      </c>
      <c r="D153" s="2"/>
      <c r="E153" s="20"/>
      <c r="F153" s="5"/>
      <c r="G153" s="17"/>
      <c r="H153" s="3"/>
      <c r="J153" s="2"/>
      <c r="K153" s="5"/>
      <c r="L153" s="5"/>
      <c r="N153" s="5"/>
      <c r="O153" s="5"/>
      <c r="P153" s="5"/>
      <c r="Q153" s="5"/>
      <c r="R153" s="5"/>
      <c r="S153" s="5"/>
      <c r="T153" s="5"/>
      <c r="U153" s="5"/>
    </row>
    <row r="154" spans="2:21" hidden="1">
      <c r="B154">
        <v>149</v>
      </c>
      <c r="C154" s="35" t="s">
        <v>145</v>
      </c>
      <c r="D154" s="2"/>
      <c r="E154" s="20"/>
      <c r="F154" s="5"/>
      <c r="G154" s="17"/>
      <c r="H154" s="3"/>
      <c r="J154" s="2"/>
      <c r="K154" s="5"/>
      <c r="L154" s="5"/>
      <c r="N154" s="5"/>
      <c r="O154" s="5"/>
      <c r="P154" s="5"/>
      <c r="Q154" s="5"/>
      <c r="R154" s="5"/>
      <c r="S154" s="5"/>
      <c r="T154" s="5"/>
      <c r="U154" s="5"/>
    </row>
    <row r="155" spans="2:21" hidden="1">
      <c r="B155">
        <v>150</v>
      </c>
      <c r="C155" s="35">
        <v>269406704756</v>
      </c>
      <c r="D155" s="2"/>
      <c r="E155" s="20"/>
      <c r="F155" s="5"/>
      <c r="G155" s="17"/>
      <c r="H155" s="3"/>
      <c r="J155" s="2"/>
      <c r="K155" s="5"/>
      <c r="L155" s="5"/>
      <c r="N155" s="5"/>
      <c r="O155" s="5"/>
      <c r="P155" s="5"/>
      <c r="Q155" s="5"/>
      <c r="R155" s="5"/>
      <c r="S155" s="5"/>
      <c r="T155" s="5"/>
      <c r="U155" s="5"/>
    </row>
    <row r="156" spans="2:21" hidden="1">
      <c r="B156">
        <v>151</v>
      </c>
      <c r="C156" s="35" t="s">
        <v>144</v>
      </c>
      <c r="D156" s="2"/>
      <c r="E156" s="20"/>
      <c r="F156" s="5"/>
      <c r="G156" s="17"/>
      <c r="H156" s="3"/>
      <c r="J156" s="2"/>
      <c r="K156" s="5"/>
      <c r="L156" s="5"/>
      <c r="N156" s="5"/>
      <c r="O156" s="5"/>
      <c r="P156" s="5"/>
      <c r="Q156" s="5"/>
      <c r="R156" s="5"/>
      <c r="S156" s="5"/>
      <c r="T156" s="5"/>
      <c r="U156" s="5"/>
    </row>
    <row r="157" spans="2:21" hidden="1">
      <c r="B157">
        <v>152</v>
      </c>
      <c r="C157" s="35" t="s">
        <v>142</v>
      </c>
      <c r="D157" s="2"/>
      <c r="E157" s="20"/>
      <c r="F157" s="5"/>
      <c r="G157" s="17"/>
      <c r="H157" s="3"/>
      <c r="J157" s="2"/>
      <c r="K157" s="5"/>
      <c r="L157" s="5"/>
      <c r="N157" s="5"/>
      <c r="O157" s="5"/>
      <c r="P157" s="5"/>
      <c r="Q157" s="5"/>
      <c r="R157" s="5"/>
      <c r="S157" s="5"/>
      <c r="T157" s="5"/>
      <c r="U157" s="5"/>
    </row>
    <row r="158" spans="2:21" hidden="1">
      <c r="B158">
        <v>153</v>
      </c>
      <c r="C158" s="35" t="s">
        <v>145</v>
      </c>
      <c r="D158" s="2"/>
      <c r="E158" s="20"/>
      <c r="F158" s="5"/>
      <c r="G158" s="17"/>
      <c r="H158" s="3"/>
      <c r="J158" s="2"/>
      <c r="K158" s="5"/>
      <c r="L158" s="5"/>
      <c r="N158" s="5"/>
      <c r="O158" s="5"/>
      <c r="P158" s="5"/>
      <c r="Q158" s="5"/>
      <c r="R158" s="5"/>
      <c r="S158" s="5"/>
      <c r="T158" s="5"/>
      <c r="U158" s="5"/>
    </row>
    <row r="159" spans="2:21" hidden="1">
      <c r="B159">
        <v>154</v>
      </c>
      <c r="C159" s="35">
        <v>269406704756</v>
      </c>
      <c r="D159" s="2"/>
      <c r="E159" s="20"/>
      <c r="F159" s="5"/>
      <c r="G159" s="17"/>
      <c r="H159" s="3"/>
      <c r="J159" s="2"/>
      <c r="K159" s="5"/>
      <c r="L159" s="5"/>
      <c r="N159" s="5"/>
      <c r="O159" s="5"/>
      <c r="P159" s="5"/>
      <c r="Q159" s="5"/>
      <c r="R159" s="5"/>
      <c r="S159" s="5"/>
      <c r="T159" s="5"/>
      <c r="U159" s="5"/>
    </row>
    <row r="160" spans="2:21" hidden="1">
      <c r="B160">
        <v>155</v>
      </c>
      <c r="C160" s="35" t="s">
        <v>144</v>
      </c>
      <c r="D160" s="2"/>
      <c r="E160" s="20"/>
      <c r="F160" s="5"/>
      <c r="G160" s="17"/>
      <c r="H160" s="3"/>
      <c r="J160" s="2"/>
      <c r="K160" s="5"/>
      <c r="L160" s="5"/>
      <c r="N160" s="5"/>
      <c r="O160" s="5"/>
      <c r="P160" s="5"/>
      <c r="Q160" s="5"/>
      <c r="R160" s="5"/>
      <c r="S160" s="5"/>
      <c r="T160" s="5"/>
      <c r="U160" s="5"/>
    </row>
    <row r="161" spans="2:21" hidden="1">
      <c r="B161">
        <v>156</v>
      </c>
      <c r="C161" s="35" t="s">
        <v>142</v>
      </c>
      <c r="D161" s="2"/>
      <c r="E161" s="20"/>
      <c r="F161" s="5"/>
      <c r="G161" s="17"/>
      <c r="H161" s="3"/>
      <c r="J161" s="2"/>
      <c r="K161" s="5"/>
      <c r="L161" s="5"/>
      <c r="N161" s="5"/>
      <c r="O161" s="5"/>
      <c r="P161" s="5"/>
      <c r="Q161" s="5"/>
      <c r="R161" s="5"/>
      <c r="S161" s="5"/>
      <c r="T161" s="5"/>
      <c r="U161" s="5"/>
    </row>
    <row r="162" spans="2:21" hidden="1">
      <c r="B162">
        <v>157</v>
      </c>
      <c r="C162" s="35" t="s">
        <v>146</v>
      </c>
      <c r="D162" s="2"/>
      <c r="E162" s="20"/>
      <c r="F162" s="5"/>
      <c r="G162" s="17"/>
      <c r="H162" s="3"/>
      <c r="J162" s="2"/>
      <c r="K162" s="5"/>
      <c r="L162" s="5"/>
      <c r="N162" s="5"/>
      <c r="O162" s="5"/>
      <c r="P162" s="5"/>
      <c r="Q162" s="5"/>
      <c r="R162" s="5"/>
      <c r="S162" s="5"/>
      <c r="T162" s="5"/>
      <c r="U162" s="5"/>
    </row>
    <row r="163" spans="2:21" hidden="1">
      <c r="B163">
        <v>158</v>
      </c>
      <c r="C163" s="35">
        <v>237962604988</v>
      </c>
      <c r="D163" s="2"/>
      <c r="E163" s="20"/>
      <c r="F163" s="5"/>
      <c r="G163" s="17"/>
      <c r="H163" s="3"/>
      <c r="J163" s="2"/>
      <c r="K163" s="5"/>
      <c r="L163" s="5"/>
      <c r="N163" s="5"/>
      <c r="O163" s="5"/>
      <c r="P163" s="5"/>
      <c r="Q163" s="5"/>
      <c r="R163" s="5"/>
      <c r="S163" s="5"/>
      <c r="T163" s="5"/>
      <c r="U163" s="5"/>
    </row>
    <row r="164" spans="2:21" hidden="1">
      <c r="B164">
        <v>159</v>
      </c>
      <c r="C164" s="35" t="s">
        <v>144</v>
      </c>
      <c r="D164" s="2"/>
      <c r="E164" s="20"/>
      <c r="F164" s="5"/>
      <c r="G164" s="17"/>
      <c r="H164" s="3"/>
      <c r="J164" s="2"/>
      <c r="K164" s="5"/>
      <c r="L164" s="5"/>
      <c r="N164" s="5"/>
      <c r="O164" s="5"/>
      <c r="P164" s="5"/>
      <c r="Q164" s="5"/>
      <c r="R164" s="5"/>
      <c r="S164" s="5"/>
      <c r="T164" s="5"/>
      <c r="U164" s="5"/>
    </row>
    <row r="165" spans="2:21" hidden="1">
      <c r="B165">
        <v>160</v>
      </c>
      <c r="C165" s="35" t="s">
        <v>142</v>
      </c>
      <c r="D165" s="2"/>
      <c r="E165" s="20"/>
      <c r="F165" s="5"/>
      <c r="G165" s="17"/>
      <c r="H165" s="3"/>
      <c r="J165" s="2"/>
      <c r="K165" s="5"/>
      <c r="L165" s="5"/>
      <c r="N165" s="5"/>
      <c r="O165" s="5"/>
      <c r="P165" s="5"/>
      <c r="Q165" s="5"/>
      <c r="R165" s="5"/>
      <c r="S165" s="5"/>
      <c r="T165" s="5"/>
      <c r="U165" s="5"/>
    </row>
    <row r="166" spans="2:21" hidden="1">
      <c r="B166">
        <v>161</v>
      </c>
      <c r="C166" s="35" t="s">
        <v>146</v>
      </c>
      <c r="D166" s="2"/>
      <c r="E166" s="20"/>
      <c r="F166" s="5"/>
      <c r="G166" s="17"/>
      <c r="H166" s="3"/>
      <c r="J166" s="2"/>
      <c r="K166" s="5"/>
      <c r="L166" s="5"/>
      <c r="N166" s="5"/>
      <c r="O166" s="5"/>
      <c r="P166" s="5"/>
      <c r="Q166" s="5"/>
      <c r="R166" s="5"/>
      <c r="S166" s="5"/>
      <c r="T166" s="5"/>
      <c r="U166" s="5"/>
    </row>
    <row r="167" spans="2:21" hidden="1">
      <c r="B167">
        <v>162</v>
      </c>
      <c r="C167" s="35">
        <v>237962604988</v>
      </c>
      <c r="D167" s="2"/>
      <c r="E167" s="20"/>
      <c r="F167" s="5"/>
      <c r="G167" s="17"/>
      <c r="H167" s="3"/>
      <c r="J167" s="2"/>
      <c r="K167" s="5"/>
      <c r="L167" s="5"/>
      <c r="N167" s="5"/>
      <c r="O167" s="5"/>
      <c r="P167" s="5"/>
      <c r="Q167" s="5"/>
      <c r="R167" s="5"/>
      <c r="S167" s="5"/>
      <c r="T167" s="5"/>
      <c r="U167" s="5"/>
    </row>
    <row r="168" spans="2:21" hidden="1">
      <c r="B168">
        <v>163</v>
      </c>
      <c r="C168" s="35" t="s">
        <v>144</v>
      </c>
      <c r="D168" s="2"/>
      <c r="E168" s="20"/>
      <c r="F168" s="5"/>
      <c r="G168" s="17"/>
      <c r="H168" s="3"/>
      <c r="J168" s="2"/>
      <c r="K168" s="5"/>
      <c r="L168" s="5"/>
      <c r="N168" s="5"/>
      <c r="O168" s="5"/>
      <c r="P168" s="5"/>
      <c r="Q168" s="5"/>
      <c r="R168" s="5"/>
      <c r="S168" s="5"/>
      <c r="T168" s="5"/>
      <c r="U168" s="5"/>
    </row>
    <row r="169" spans="2:21" hidden="1">
      <c r="B169">
        <v>164</v>
      </c>
      <c r="C169" s="35" t="s">
        <v>142</v>
      </c>
      <c r="D169" s="2"/>
      <c r="E169" s="20"/>
      <c r="F169" s="5"/>
      <c r="G169" s="17"/>
      <c r="H169" s="3"/>
      <c r="J169" s="2"/>
      <c r="K169" s="5"/>
      <c r="L169" s="5"/>
      <c r="N169" s="5"/>
      <c r="O169" s="5"/>
      <c r="P169" s="5"/>
      <c r="Q169" s="5"/>
      <c r="R169" s="5"/>
      <c r="S169" s="5"/>
      <c r="T169" s="5"/>
      <c r="U169" s="5"/>
    </row>
    <row r="170" spans="2:21" hidden="1">
      <c r="B170">
        <v>165</v>
      </c>
      <c r="C170" s="35" t="s">
        <v>146</v>
      </c>
      <c r="D170" s="2"/>
      <c r="E170" s="20"/>
      <c r="F170" s="5"/>
      <c r="G170" s="17"/>
      <c r="H170" s="3"/>
      <c r="J170" s="2"/>
      <c r="K170" s="5"/>
      <c r="L170" s="5"/>
      <c r="N170" s="5"/>
      <c r="O170" s="5"/>
      <c r="P170" s="5"/>
      <c r="Q170" s="5"/>
      <c r="R170" s="5"/>
      <c r="S170" s="5"/>
      <c r="T170" s="5"/>
      <c r="U170" s="5"/>
    </row>
    <row r="171" spans="2:21" hidden="1">
      <c r="B171">
        <v>166</v>
      </c>
      <c r="C171" s="35">
        <v>237962604988</v>
      </c>
      <c r="D171" s="2"/>
      <c r="E171" s="20"/>
      <c r="F171" s="5"/>
      <c r="G171" s="17"/>
      <c r="H171" s="3"/>
      <c r="J171" s="2"/>
      <c r="K171" s="5"/>
      <c r="L171" s="5"/>
      <c r="N171" s="5"/>
      <c r="O171" s="5"/>
      <c r="P171" s="5"/>
      <c r="Q171" s="5"/>
      <c r="R171" s="5"/>
      <c r="S171" s="5"/>
      <c r="T171" s="5"/>
      <c r="U171" s="5"/>
    </row>
    <row r="172" spans="2:21" hidden="1">
      <c r="B172">
        <v>167</v>
      </c>
      <c r="C172" s="35" t="s">
        <v>144</v>
      </c>
      <c r="D172" s="2"/>
      <c r="E172" s="20"/>
      <c r="F172" s="5"/>
      <c r="G172" s="17"/>
      <c r="H172" s="3"/>
      <c r="J172" s="2"/>
      <c r="K172" s="5"/>
      <c r="L172" s="5"/>
      <c r="N172" s="5"/>
      <c r="O172" s="5"/>
      <c r="P172" s="5"/>
      <c r="Q172" s="5"/>
      <c r="R172" s="5"/>
      <c r="S172" s="5"/>
      <c r="T172" s="5"/>
      <c r="U172" s="5"/>
    </row>
    <row r="173" spans="2:21" hidden="1">
      <c r="B173">
        <v>168</v>
      </c>
      <c r="C173" s="35" t="s">
        <v>142</v>
      </c>
      <c r="D173" s="2"/>
      <c r="E173" s="20"/>
      <c r="F173" s="5"/>
      <c r="G173" s="17"/>
      <c r="H173" s="3"/>
      <c r="J173" s="2"/>
      <c r="K173" s="5"/>
      <c r="L173" s="5"/>
      <c r="N173" s="5"/>
      <c r="O173" s="5"/>
      <c r="P173" s="5"/>
      <c r="Q173" s="5"/>
      <c r="R173" s="5"/>
      <c r="S173" s="5"/>
      <c r="T173" s="5"/>
      <c r="U173" s="5"/>
    </row>
    <row r="174" spans="2:21" hidden="1">
      <c r="B174">
        <v>169</v>
      </c>
      <c r="C174" s="35" t="s">
        <v>147</v>
      </c>
      <c r="D174" s="2"/>
      <c r="E174" s="20"/>
      <c r="F174" s="5"/>
      <c r="G174" s="17"/>
      <c r="H174" s="3"/>
      <c r="J174" s="2"/>
      <c r="K174" s="5"/>
      <c r="L174" s="5"/>
      <c r="N174" s="5"/>
      <c r="O174" s="5"/>
      <c r="P174" s="5"/>
      <c r="Q174" s="5"/>
      <c r="R174" s="5"/>
      <c r="S174" s="5"/>
      <c r="T174" s="5"/>
      <c r="U174" s="5"/>
    </row>
    <row r="175" spans="2:21" hidden="1">
      <c r="B175">
        <v>170</v>
      </c>
      <c r="C175" s="35">
        <v>4901004006714</v>
      </c>
      <c r="D175" s="2"/>
      <c r="E175" s="20"/>
      <c r="F175" s="5"/>
      <c r="G175" s="17"/>
      <c r="H175" s="3"/>
      <c r="J175" s="2"/>
      <c r="K175" s="5"/>
      <c r="L175" s="5"/>
      <c r="N175" s="5"/>
      <c r="O175" s="5"/>
      <c r="P175" s="5"/>
      <c r="Q175" s="5"/>
      <c r="R175" s="5"/>
      <c r="S175" s="5"/>
      <c r="T175" s="5"/>
      <c r="U175" s="5"/>
    </row>
    <row r="176" spans="2:21" hidden="1">
      <c r="B176">
        <v>171</v>
      </c>
      <c r="C176" s="35" t="s">
        <v>136</v>
      </c>
      <c r="D176" s="2"/>
      <c r="E176" s="20"/>
      <c r="F176" s="5"/>
      <c r="G176" s="17"/>
      <c r="H176" s="3"/>
      <c r="J176" s="2"/>
      <c r="K176" s="5"/>
      <c r="L176" s="5"/>
      <c r="N176" s="5"/>
      <c r="O176" s="5"/>
      <c r="P176" s="5"/>
      <c r="Q176" s="5"/>
      <c r="R176" s="5"/>
      <c r="S176" s="5"/>
      <c r="T176" s="5"/>
      <c r="U176" s="5"/>
    </row>
    <row r="177" spans="2:21" hidden="1">
      <c r="B177">
        <v>172</v>
      </c>
      <c r="C177" s="35" t="s">
        <v>144</v>
      </c>
      <c r="D177" s="2"/>
      <c r="E177" s="20"/>
      <c r="F177" s="5"/>
      <c r="G177" s="17"/>
      <c r="H177" s="3"/>
      <c r="J177" s="2"/>
      <c r="K177" s="5"/>
      <c r="L177" s="5"/>
      <c r="N177" s="5"/>
      <c r="O177" s="5"/>
      <c r="P177" s="5"/>
      <c r="Q177" s="5"/>
      <c r="R177" s="5"/>
      <c r="S177" s="5"/>
      <c r="T177" s="5"/>
      <c r="U177" s="5"/>
    </row>
    <row r="178" spans="2:21" hidden="1">
      <c r="B178">
        <v>173</v>
      </c>
      <c r="C178" s="35" t="s">
        <v>142</v>
      </c>
      <c r="D178" s="2"/>
      <c r="E178" s="20"/>
      <c r="F178" s="5"/>
      <c r="G178" s="17"/>
      <c r="H178" s="3"/>
      <c r="J178" s="2"/>
      <c r="K178" s="5"/>
      <c r="L178" s="5"/>
      <c r="N178" s="5"/>
      <c r="O178" s="5"/>
      <c r="P178" s="5"/>
      <c r="Q178" s="5"/>
      <c r="R178" s="5"/>
      <c r="S178" s="5"/>
      <c r="T178" s="5"/>
      <c r="U178" s="5"/>
    </row>
    <row r="179" spans="2:21" hidden="1">
      <c r="B179">
        <v>174</v>
      </c>
      <c r="C179" s="35" t="s">
        <v>147</v>
      </c>
      <c r="D179" s="2"/>
      <c r="E179" s="20"/>
      <c r="F179" s="5"/>
      <c r="G179" s="17"/>
      <c r="H179" s="3"/>
      <c r="J179" s="2"/>
      <c r="K179" s="5"/>
      <c r="L179" s="5"/>
      <c r="N179" s="5"/>
      <c r="O179" s="5"/>
      <c r="P179" s="5"/>
      <c r="Q179" s="5"/>
      <c r="R179" s="5"/>
      <c r="S179" s="5"/>
      <c r="T179" s="5"/>
      <c r="U179" s="5"/>
    </row>
    <row r="180" spans="2:21" hidden="1">
      <c r="B180">
        <v>175</v>
      </c>
      <c r="C180" s="35">
        <v>4901004006714</v>
      </c>
      <c r="D180" s="2"/>
      <c r="E180" s="20"/>
      <c r="F180" s="5"/>
      <c r="G180" s="17"/>
      <c r="H180" s="3"/>
      <c r="J180" s="2"/>
      <c r="K180" s="5"/>
      <c r="L180" s="5"/>
      <c r="N180" s="5"/>
      <c r="O180" s="5"/>
      <c r="P180" s="5"/>
      <c r="Q180" s="5"/>
      <c r="R180" s="5"/>
      <c r="S180" s="5"/>
      <c r="T180" s="5"/>
      <c r="U180" s="5"/>
    </row>
    <row r="181" spans="2:21" hidden="1">
      <c r="B181">
        <v>176</v>
      </c>
      <c r="C181" s="35" t="s">
        <v>136</v>
      </c>
      <c r="D181" s="2"/>
      <c r="E181" s="20"/>
      <c r="F181" s="5"/>
      <c r="G181" s="17"/>
      <c r="H181" s="3"/>
      <c r="J181" s="2"/>
      <c r="K181" s="5"/>
      <c r="L181" s="5"/>
      <c r="N181" s="5"/>
      <c r="O181" s="5"/>
      <c r="P181" s="5"/>
      <c r="Q181" s="5"/>
      <c r="R181" s="5"/>
      <c r="S181" s="5"/>
      <c r="T181" s="5"/>
      <c r="U181" s="5"/>
    </row>
    <row r="182" spans="2:21" hidden="1">
      <c r="B182">
        <v>177</v>
      </c>
      <c r="C182" s="35" t="s">
        <v>144</v>
      </c>
      <c r="D182" s="2"/>
      <c r="E182" s="20"/>
      <c r="F182" s="5"/>
      <c r="G182" s="17"/>
      <c r="H182" s="3"/>
      <c r="J182" s="2"/>
      <c r="K182" s="5"/>
      <c r="L182" s="5"/>
      <c r="N182" s="5"/>
      <c r="O182" s="5"/>
      <c r="P182" s="5"/>
      <c r="Q182" s="5"/>
      <c r="R182" s="5"/>
      <c r="S182" s="5"/>
      <c r="T182" s="5"/>
      <c r="U182" s="5"/>
    </row>
    <row r="183" spans="2:21" hidden="1">
      <c r="B183">
        <v>178</v>
      </c>
      <c r="C183" s="35" t="s">
        <v>142</v>
      </c>
      <c r="D183" s="2"/>
      <c r="E183" s="20"/>
      <c r="F183" s="5"/>
      <c r="G183" s="17"/>
      <c r="H183" s="3"/>
      <c r="J183" s="2"/>
      <c r="K183" s="5"/>
      <c r="L183" s="5"/>
      <c r="N183" s="5"/>
      <c r="O183" s="5"/>
      <c r="P183" s="5"/>
      <c r="Q183" s="5"/>
      <c r="R183" s="5"/>
      <c r="S183" s="5"/>
      <c r="T183" s="5"/>
      <c r="U183" s="5"/>
    </row>
    <row r="184" spans="2:21" hidden="1">
      <c r="B184">
        <v>179</v>
      </c>
      <c r="C184" s="35" t="s">
        <v>147</v>
      </c>
      <c r="D184" s="2"/>
      <c r="E184" s="20"/>
      <c r="F184" s="5"/>
      <c r="G184" s="17"/>
      <c r="H184" s="3"/>
      <c r="J184" s="2"/>
      <c r="K184" s="5"/>
      <c r="L184" s="5"/>
      <c r="N184" s="5"/>
      <c r="O184" s="5"/>
      <c r="P184" s="5"/>
      <c r="Q184" s="5"/>
      <c r="R184" s="5"/>
      <c r="S184" s="5"/>
      <c r="T184" s="5"/>
      <c r="U184" s="5"/>
    </row>
    <row r="185" spans="2:21" hidden="1">
      <c r="B185">
        <v>180</v>
      </c>
      <c r="C185" s="35">
        <v>4901004006714</v>
      </c>
      <c r="D185" s="2"/>
      <c r="E185" s="20"/>
      <c r="F185" s="5"/>
      <c r="G185" s="17"/>
      <c r="H185" s="3"/>
      <c r="J185" s="2"/>
      <c r="K185" s="5"/>
      <c r="L185" s="5"/>
      <c r="N185" s="5"/>
      <c r="O185" s="5"/>
      <c r="P185" s="5"/>
      <c r="Q185" s="5"/>
      <c r="R185" s="5"/>
      <c r="S185" s="5"/>
      <c r="T185" s="5"/>
      <c r="U185" s="5"/>
    </row>
    <row r="186" spans="2:21" hidden="1">
      <c r="B186">
        <v>181</v>
      </c>
      <c r="C186" s="35" t="s">
        <v>136</v>
      </c>
      <c r="D186" s="2"/>
      <c r="E186" s="20"/>
      <c r="F186" s="5"/>
      <c r="G186" s="17"/>
      <c r="H186" s="3"/>
      <c r="J186" s="2"/>
      <c r="K186" s="5"/>
      <c r="L186" s="5"/>
      <c r="N186" s="5"/>
      <c r="O186" s="5"/>
      <c r="P186" s="5"/>
      <c r="Q186" s="5"/>
      <c r="R186" s="5"/>
      <c r="S186" s="5"/>
      <c r="T186" s="5"/>
      <c r="U186" s="5"/>
    </row>
    <row r="187" spans="2:21" hidden="1">
      <c r="B187">
        <v>182</v>
      </c>
      <c r="C187" s="35" t="s">
        <v>144</v>
      </c>
      <c r="D187" s="2"/>
      <c r="E187" s="20"/>
      <c r="F187" s="5"/>
      <c r="G187" s="17"/>
      <c r="H187" s="3"/>
      <c r="J187" s="2"/>
      <c r="K187" s="5"/>
      <c r="L187" s="5"/>
      <c r="N187" s="5"/>
      <c r="O187" s="5"/>
      <c r="P187" s="5"/>
      <c r="Q187" s="5"/>
      <c r="R187" s="5"/>
      <c r="S187" s="5"/>
      <c r="T187" s="5"/>
      <c r="U187" s="5"/>
    </row>
    <row r="188" spans="2:21">
      <c r="B188">
        <v>81</v>
      </c>
      <c r="C188" s="35" t="s">
        <v>148</v>
      </c>
      <c r="D188" s="2"/>
      <c r="E188" s="20"/>
      <c r="F188" s="5"/>
      <c r="G188" s="17"/>
      <c r="H188" s="3"/>
      <c r="J188" s="2"/>
      <c r="K188" s="5"/>
      <c r="L188" s="6">
        <v>1000</v>
      </c>
      <c r="N188" s="5"/>
      <c r="O188" s="5"/>
      <c r="P188" s="5"/>
      <c r="Q188" s="5"/>
      <c r="R188" s="5"/>
      <c r="S188" s="5"/>
      <c r="T188" s="5"/>
      <c r="U188" s="5"/>
    </row>
    <row r="189" spans="2:21">
      <c r="B189">
        <v>82</v>
      </c>
      <c r="C189" s="35">
        <v>3801000</v>
      </c>
      <c r="D189" s="2"/>
      <c r="E189" s="20"/>
      <c r="F189" s="5"/>
      <c r="G189" s="17"/>
      <c r="H189" s="3"/>
      <c r="J189" s="2"/>
      <c r="K189" s="5"/>
      <c r="L189" s="5"/>
      <c r="N189" s="5"/>
      <c r="O189" s="5"/>
      <c r="P189" s="5"/>
      <c r="Q189" s="5"/>
      <c r="R189" s="5"/>
      <c r="S189" s="5"/>
      <c r="T189" s="5"/>
      <c r="U189" s="5"/>
    </row>
    <row r="190" spans="2:21">
      <c r="B190">
        <v>83</v>
      </c>
      <c r="C190" s="35" t="s">
        <v>149</v>
      </c>
      <c r="D190" s="2"/>
      <c r="E190" s="20"/>
      <c r="F190" s="5"/>
      <c r="G190" s="17"/>
      <c r="H190" s="3"/>
      <c r="J190" s="2"/>
      <c r="K190" s="5"/>
      <c r="L190" s="6">
        <v>560</v>
      </c>
      <c r="N190" s="5"/>
      <c r="O190" s="5"/>
      <c r="P190" s="5"/>
      <c r="Q190" s="5"/>
      <c r="R190" s="5"/>
      <c r="S190" s="5"/>
      <c r="T190" s="5"/>
      <c r="U190" s="5"/>
    </row>
    <row r="191" spans="2:21">
      <c r="B191">
        <v>84</v>
      </c>
      <c r="C191" s="35">
        <v>4959092600109</v>
      </c>
      <c r="D191" s="2"/>
      <c r="E191" s="20"/>
      <c r="F191" s="5"/>
      <c r="G191" s="17"/>
      <c r="H191" s="3"/>
      <c r="J191" s="2"/>
      <c r="K191" s="5"/>
      <c r="L191" s="5"/>
      <c r="N191" s="5"/>
      <c r="O191" s="5"/>
      <c r="P191" s="5"/>
      <c r="Q191" s="5"/>
      <c r="R191" s="5"/>
      <c r="S191" s="5"/>
      <c r="T191" s="5"/>
      <c r="U191" s="5"/>
    </row>
    <row r="192" spans="2:21">
      <c r="B192">
        <v>85</v>
      </c>
      <c r="C192" s="35" t="s">
        <v>150</v>
      </c>
      <c r="D192" s="2"/>
      <c r="E192" s="20"/>
      <c r="F192" s="5"/>
      <c r="G192" s="17"/>
      <c r="H192" s="3"/>
      <c r="J192" s="2"/>
      <c r="K192" s="5"/>
      <c r="L192" s="6">
        <v>915</v>
      </c>
      <c r="N192" s="5"/>
      <c r="O192" s="5"/>
      <c r="P192" s="5"/>
      <c r="Q192" s="5"/>
      <c r="R192" s="5"/>
      <c r="S192" s="5"/>
      <c r="T192" s="5"/>
      <c r="U192" s="5"/>
    </row>
    <row r="193" spans="2:21">
      <c r="B193">
        <v>86</v>
      </c>
      <c r="C193" s="35">
        <v>4959092100159</v>
      </c>
      <c r="D193" s="2"/>
      <c r="E193" s="20"/>
      <c r="F193" s="5"/>
      <c r="G193" s="17"/>
      <c r="H193" s="3"/>
      <c r="J193" s="2"/>
      <c r="K193" s="5"/>
      <c r="L193" s="5"/>
      <c r="N193" s="5"/>
      <c r="O193" s="5"/>
      <c r="P193" s="5"/>
      <c r="Q193" s="5"/>
      <c r="R193" s="5"/>
      <c r="S193" s="5"/>
      <c r="T193" s="5"/>
      <c r="U193" s="5"/>
    </row>
    <row r="194" spans="2:21">
      <c r="B194">
        <v>87</v>
      </c>
      <c r="C194" s="35" t="s">
        <v>151</v>
      </c>
      <c r="D194" s="2"/>
      <c r="E194" s="20"/>
      <c r="F194" s="5"/>
      <c r="G194" s="17"/>
      <c r="H194" s="3"/>
      <c r="J194" s="2"/>
      <c r="K194" s="5"/>
      <c r="L194" s="6">
        <v>500</v>
      </c>
      <c r="N194" s="5"/>
      <c r="O194" s="5"/>
      <c r="P194" s="5"/>
      <c r="Q194" s="5"/>
      <c r="R194" s="5"/>
      <c r="S194" s="5"/>
      <c r="T194" s="5"/>
      <c r="U194" s="5"/>
    </row>
    <row r="195" spans="2:21">
      <c r="B195">
        <v>88</v>
      </c>
      <c r="C195" s="35">
        <v>4908010721006</v>
      </c>
      <c r="D195" s="2"/>
      <c r="E195" s="20"/>
      <c r="F195" s="5"/>
      <c r="G195" s="17"/>
      <c r="H195" s="3"/>
      <c r="J195" s="2"/>
      <c r="K195" s="5"/>
      <c r="L195" s="5"/>
      <c r="N195" s="5"/>
      <c r="O195" s="5"/>
      <c r="P195" s="5"/>
      <c r="Q195" s="5"/>
      <c r="R195" s="5"/>
      <c r="S195" s="5"/>
      <c r="T195" s="5"/>
      <c r="U195" s="5"/>
    </row>
    <row r="196" spans="2:21">
      <c r="B196">
        <v>90</v>
      </c>
      <c r="C196" s="35">
        <v>4967777017173</v>
      </c>
      <c r="D196" s="2"/>
      <c r="E196" s="20"/>
      <c r="F196" s="5"/>
      <c r="G196" s="17"/>
      <c r="H196" s="3"/>
      <c r="J196" s="2"/>
      <c r="K196" s="5"/>
      <c r="L196" s="5"/>
      <c r="N196" s="5"/>
      <c r="O196" s="5"/>
      <c r="P196" s="5"/>
      <c r="Q196" s="5"/>
      <c r="R196" s="5"/>
      <c r="S196" s="5"/>
      <c r="T196" s="5"/>
      <c r="U196" s="5"/>
    </row>
    <row r="197" spans="2:21">
      <c r="B197">
        <v>92</v>
      </c>
      <c r="C197" s="35">
        <v>4901683053108</v>
      </c>
      <c r="D197" s="2"/>
      <c r="E197" s="20"/>
      <c r="F197" s="5"/>
      <c r="G197" s="17"/>
      <c r="H197" s="3"/>
      <c r="J197" s="2"/>
      <c r="K197" s="5"/>
      <c r="L197" s="5"/>
      <c r="N197" s="5"/>
      <c r="O197" s="5"/>
      <c r="P197" s="5"/>
      <c r="Q197" s="5"/>
      <c r="R197" s="5"/>
      <c r="S197" s="5"/>
      <c r="T197" s="5"/>
      <c r="U197" s="5"/>
    </row>
    <row r="198" spans="2:21">
      <c r="B198">
        <v>94</v>
      </c>
      <c r="C198" s="35">
        <v>4902016151478</v>
      </c>
      <c r="D198" s="2"/>
      <c r="E198" s="20"/>
      <c r="F198" s="5"/>
      <c r="G198" s="17"/>
      <c r="H198" s="3"/>
      <c r="J198" s="2"/>
      <c r="K198" s="5"/>
      <c r="L198" s="5"/>
      <c r="N198" s="5"/>
      <c r="O198" s="5"/>
      <c r="P198" s="5"/>
      <c r="Q198" s="5"/>
      <c r="R198" s="5"/>
      <c r="S198" s="5"/>
      <c r="T198" s="5"/>
      <c r="U198" s="5"/>
    </row>
    <row r="199" spans="2:21">
      <c r="B199">
        <v>95</v>
      </c>
      <c r="C199" s="35" t="s">
        <v>152</v>
      </c>
      <c r="D199" s="2"/>
      <c r="E199" s="20"/>
      <c r="F199" s="5"/>
      <c r="G199" s="17"/>
      <c r="H199" s="3"/>
      <c r="J199" s="2"/>
      <c r="K199" s="5"/>
      <c r="L199" s="5"/>
      <c r="N199" s="5"/>
      <c r="O199" s="5"/>
      <c r="P199" s="5"/>
      <c r="Q199" s="5"/>
      <c r="R199" s="5"/>
      <c r="S199" s="5"/>
      <c r="T199" s="5"/>
      <c r="U199" s="5"/>
    </row>
    <row r="200" spans="2:21">
      <c r="B200">
        <v>97</v>
      </c>
      <c r="C200" s="35">
        <v>4904962014548</v>
      </c>
      <c r="D200" s="2"/>
      <c r="E200" s="20"/>
      <c r="F200" s="5"/>
      <c r="G200" s="17"/>
      <c r="H200" s="3"/>
      <c r="J200" s="2"/>
      <c r="K200" s="5"/>
      <c r="L200" s="5"/>
      <c r="N200" s="5"/>
      <c r="O200" s="5"/>
      <c r="P200" s="5"/>
      <c r="Q200" s="5"/>
      <c r="R200" s="5"/>
      <c r="S200" s="5"/>
      <c r="T200" s="5"/>
      <c r="U200" s="5"/>
    </row>
    <row r="201" spans="2:21">
      <c r="B201">
        <v>98</v>
      </c>
      <c r="C201" s="35" t="s">
        <v>153</v>
      </c>
      <c r="D201" s="2"/>
      <c r="E201" s="20"/>
      <c r="F201" s="5"/>
      <c r="G201" s="17"/>
      <c r="H201" s="3"/>
      <c r="J201" s="2"/>
      <c r="K201" s="5"/>
      <c r="L201" s="5"/>
      <c r="N201" s="5"/>
      <c r="O201" s="5"/>
      <c r="P201" s="5"/>
      <c r="Q201" s="5"/>
      <c r="R201" s="5"/>
      <c r="S201" s="5"/>
      <c r="T201" s="5"/>
      <c r="U201" s="5"/>
    </row>
    <row r="202" spans="2:21">
      <c r="B202">
        <v>100</v>
      </c>
      <c r="C202" s="35">
        <v>4549077899057</v>
      </c>
      <c r="D202" s="2"/>
      <c r="E202" s="20"/>
      <c r="F202" s="5"/>
      <c r="G202" s="17"/>
      <c r="H202" s="3"/>
      <c r="J202" s="2"/>
      <c r="K202" s="5"/>
      <c r="L202" s="5"/>
      <c r="N202" s="5"/>
      <c r="O202" s="5"/>
      <c r="P202" s="5"/>
      <c r="Q202" s="5"/>
      <c r="R202" s="5"/>
      <c r="S202" s="5"/>
      <c r="T202" s="5"/>
      <c r="U202" s="5"/>
    </row>
    <row r="203" spans="2:21">
      <c r="B203">
        <v>101</v>
      </c>
      <c r="C203" s="35" t="s">
        <v>154</v>
      </c>
      <c r="D203" s="2"/>
      <c r="E203" s="22">
        <v>1980</v>
      </c>
      <c r="F203" s="5"/>
      <c r="G203" s="17"/>
      <c r="H203" s="3"/>
      <c r="J203" s="2"/>
      <c r="K203" s="5"/>
      <c r="L203" s="5"/>
      <c r="N203" s="5"/>
      <c r="O203" s="5"/>
      <c r="P203" s="5"/>
      <c r="Q203" s="5"/>
      <c r="R203" s="5"/>
      <c r="S203" s="5"/>
      <c r="T203" s="5"/>
      <c r="U203" s="5"/>
    </row>
    <row r="204" spans="2:21">
      <c r="B204">
        <v>102</v>
      </c>
      <c r="C204" s="35" t="s">
        <v>155</v>
      </c>
      <c r="D204" s="2"/>
      <c r="E204" s="20"/>
      <c r="F204" s="5"/>
      <c r="G204" s="17"/>
      <c r="H204" s="3"/>
      <c r="J204" s="2"/>
      <c r="K204" s="5"/>
      <c r="L204" s="5"/>
      <c r="N204" s="5"/>
      <c r="O204" s="5"/>
      <c r="P204" s="5"/>
      <c r="Q204" s="5"/>
      <c r="R204" s="5"/>
      <c r="S204" s="5"/>
      <c r="T204" s="5"/>
      <c r="U204" s="5"/>
    </row>
    <row r="205" spans="2:21">
      <c r="B205">
        <v>103</v>
      </c>
      <c r="C205" s="35" t="s">
        <v>156</v>
      </c>
      <c r="D205" s="2"/>
      <c r="E205" s="22">
        <v>1100</v>
      </c>
      <c r="F205" s="5"/>
      <c r="G205" s="17"/>
      <c r="H205" s="3"/>
      <c r="J205" s="2"/>
      <c r="K205" s="5"/>
      <c r="L205" s="5"/>
      <c r="N205" s="5"/>
      <c r="O205" s="5"/>
      <c r="P205" s="5"/>
      <c r="Q205" s="5"/>
      <c r="R205" s="5"/>
      <c r="S205" s="5"/>
      <c r="T205" s="5"/>
      <c r="U205" s="5"/>
    </row>
    <row r="206" spans="2:21">
      <c r="B206">
        <v>104</v>
      </c>
      <c r="C206" s="35" t="s">
        <v>157</v>
      </c>
      <c r="D206" s="2"/>
      <c r="E206" s="20"/>
      <c r="F206" s="5"/>
      <c r="G206" s="17"/>
      <c r="H206" s="3"/>
      <c r="J206" s="2"/>
      <c r="K206" s="5"/>
      <c r="L206" s="5"/>
      <c r="N206" s="5"/>
      <c r="O206" s="5"/>
      <c r="P206" s="5"/>
      <c r="Q206" s="5"/>
      <c r="R206" s="5"/>
      <c r="S206" s="5"/>
      <c r="T206" s="5"/>
      <c r="U206" s="5"/>
    </row>
    <row r="207" spans="2:21">
      <c r="B207">
        <v>116</v>
      </c>
      <c r="C207" s="35" t="s">
        <v>158</v>
      </c>
      <c r="D207" s="2"/>
      <c r="E207" s="20"/>
      <c r="F207" s="5"/>
      <c r="G207" s="17"/>
      <c r="H207" s="3"/>
      <c r="J207" s="4">
        <v>499</v>
      </c>
      <c r="K207" s="5"/>
      <c r="L207" s="5"/>
      <c r="N207" s="5"/>
      <c r="O207" s="5"/>
      <c r="P207" s="5"/>
      <c r="Q207" s="5"/>
      <c r="R207" s="5"/>
      <c r="S207" s="5"/>
      <c r="T207" s="5"/>
      <c r="U207" s="5"/>
    </row>
    <row r="208" spans="2:21">
      <c r="B208">
        <v>117</v>
      </c>
      <c r="C208" s="35" t="s">
        <v>136</v>
      </c>
      <c r="D208" s="2"/>
      <c r="E208" s="20"/>
      <c r="F208" s="5"/>
      <c r="G208" s="17"/>
      <c r="H208" s="3"/>
      <c r="J208" s="2"/>
      <c r="K208" s="5"/>
      <c r="L208" s="5"/>
      <c r="N208" s="5"/>
      <c r="O208" s="5"/>
      <c r="P208" s="5"/>
      <c r="Q208" s="5"/>
      <c r="R208" s="5"/>
      <c r="S208" s="5"/>
      <c r="T208" s="5"/>
      <c r="U208" s="5"/>
    </row>
    <row r="209" spans="2:21">
      <c r="B209">
        <v>122</v>
      </c>
      <c r="C209" s="35" t="s">
        <v>159</v>
      </c>
      <c r="D209" s="2"/>
      <c r="E209" s="22">
        <v>499</v>
      </c>
      <c r="F209" s="5"/>
      <c r="G209" s="17"/>
      <c r="H209" s="3"/>
      <c r="J209" s="2"/>
      <c r="K209" s="5"/>
      <c r="L209" s="5"/>
      <c r="N209" s="5"/>
      <c r="O209" s="5"/>
      <c r="P209" s="5"/>
      <c r="Q209" s="5"/>
      <c r="R209" s="5"/>
      <c r="S209" s="5"/>
      <c r="T209" s="5"/>
      <c r="U209" s="5"/>
    </row>
    <row r="210" spans="2:21">
      <c r="B210">
        <v>123</v>
      </c>
      <c r="C210" s="35" t="s">
        <v>136</v>
      </c>
      <c r="D210" s="2"/>
      <c r="E210" s="20"/>
      <c r="F210" s="5"/>
      <c r="G210" s="17"/>
      <c r="H210" s="3"/>
      <c r="J210" s="2"/>
      <c r="K210" s="5"/>
      <c r="L210" s="5"/>
      <c r="N210" s="5"/>
      <c r="O210" s="5"/>
      <c r="P210" s="5"/>
      <c r="Q210" s="5"/>
      <c r="R210" s="5"/>
      <c r="S210" s="5"/>
      <c r="T210" s="5"/>
      <c r="U210" s="5"/>
    </row>
    <row r="211" spans="2:21">
      <c r="B211">
        <v>127</v>
      </c>
      <c r="C211" s="35" t="s">
        <v>160</v>
      </c>
      <c r="D211" s="2"/>
      <c r="E211" s="20"/>
      <c r="F211" s="5"/>
      <c r="G211" s="17"/>
      <c r="H211" s="3"/>
      <c r="J211" s="4">
        <v>499</v>
      </c>
      <c r="K211" s="5"/>
      <c r="L211" s="5"/>
      <c r="N211" s="5"/>
      <c r="O211" s="5"/>
      <c r="P211" s="66"/>
      <c r="Q211" s="5"/>
      <c r="R211" s="5"/>
      <c r="S211" s="5"/>
      <c r="T211" s="5"/>
      <c r="U211" s="5"/>
    </row>
    <row r="212" spans="2:21">
      <c r="B212">
        <v>131</v>
      </c>
      <c r="C212" s="35" t="s">
        <v>161</v>
      </c>
      <c r="D212" s="2"/>
      <c r="E212" s="22">
        <v>499</v>
      </c>
      <c r="F212" s="5"/>
      <c r="G212" s="17"/>
      <c r="H212" s="3"/>
      <c r="J212" s="2"/>
      <c r="K212" s="5"/>
      <c r="L212" s="5"/>
      <c r="N212" s="5"/>
      <c r="O212" s="5"/>
      <c r="P212" s="5"/>
      <c r="Q212" s="5"/>
      <c r="R212" s="5"/>
      <c r="S212" s="5"/>
      <c r="T212" s="5"/>
      <c r="U212" s="5"/>
    </row>
    <row r="213" spans="2:21">
      <c r="B213">
        <v>184</v>
      </c>
      <c r="C213" s="35">
        <v>714300114618</v>
      </c>
      <c r="D213" s="2"/>
      <c r="E213" s="20"/>
      <c r="F213" s="5"/>
      <c r="G213" s="17"/>
      <c r="H213" s="3"/>
      <c r="J213" s="2"/>
      <c r="K213" s="5"/>
      <c r="L213" s="5"/>
      <c r="N213" s="5"/>
      <c r="O213" s="5"/>
      <c r="P213" s="5"/>
      <c r="Q213" s="5"/>
      <c r="R213" s="5"/>
      <c r="S213" s="5"/>
      <c r="T213" s="5"/>
      <c r="U213" s="5"/>
    </row>
    <row r="214" spans="2:21">
      <c r="B214">
        <v>185</v>
      </c>
      <c r="C214" s="35" t="s">
        <v>162</v>
      </c>
      <c r="D214" s="2"/>
      <c r="E214" s="20"/>
      <c r="F214" s="5"/>
      <c r="G214" s="17"/>
      <c r="H214" s="3"/>
      <c r="J214" s="2"/>
      <c r="K214" s="5"/>
      <c r="L214" s="5"/>
      <c r="N214" s="5"/>
      <c r="O214" s="5"/>
      <c r="P214" s="5"/>
      <c r="Q214" s="5"/>
      <c r="R214" s="5"/>
      <c r="S214" s="5"/>
      <c r="T214" s="5"/>
      <c r="U214" s="5"/>
    </row>
    <row r="215" spans="2:21">
      <c r="B215">
        <v>187</v>
      </c>
      <c r="C215" s="35">
        <v>714300114618</v>
      </c>
      <c r="D215" s="2"/>
      <c r="E215" s="20"/>
      <c r="F215" s="5"/>
      <c r="G215" s="17"/>
      <c r="H215" s="3"/>
      <c r="J215" s="2"/>
      <c r="K215" s="5"/>
      <c r="L215" s="5"/>
      <c r="N215" s="5"/>
      <c r="O215" s="5"/>
      <c r="P215" s="5"/>
      <c r="Q215" s="5"/>
      <c r="R215" s="5"/>
      <c r="S215" s="5"/>
      <c r="T215" s="5"/>
      <c r="U215" s="5"/>
    </row>
    <row r="216" spans="2:21">
      <c r="B216">
        <v>188</v>
      </c>
      <c r="C216" s="35" t="s">
        <v>163</v>
      </c>
      <c r="D216" s="2"/>
      <c r="E216" s="20"/>
      <c r="F216" s="5"/>
      <c r="G216" s="17"/>
      <c r="H216" s="3"/>
      <c r="J216" s="2"/>
      <c r="K216" s="5"/>
      <c r="L216" s="5"/>
      <c r="N216" s="5"/>
      <c r="O216" s="5"/>
      <c r="P216" s="5"/>
      <c r="Q216" s="5"/>
      <c r="R216" s="5"/>
      <c r="S216" s="5"/>
      <c r="T216" s="5"/>
      <c r="U216" s="5"/>
    </row>
    <row r="217" spans="2:21">
      <c r="B217">
        <v>190</v>
      </c>
      <c r="C217" s="35">
        <v>714300114618</v>
      </c>
      <c r="D217" s="2"/>
      <c r="E217" s="20"/>
      <c r="F217" s="5"/>
      <c r="G217" s="17"/>
      <c r="H217" s="3"/>
      <c r="J217" s="2"/>
      <c r="K217" s="5"/>
      <c r="L217" s="5"/>
      <c r="N217" s="5"/>
      <c r="O217" s="5"/>
      <c r="P217" s="5"/>
      <c r="Q217" s="5"/>
      <c r="R217" s="5"/>
      <c r="S217" s="5"/>
      <c r="T217" s="5"/>
      <c r="U217" s="5"/>
    </row>
    <row r="218" spans="2:21">
      <c r="B218">
        <v>191</v>
      </c>
      <c r="C218" s="35" t="s">
        <v>164</v>
      </c>
      <c r="D218" s="2"/>
      <c r="E218" s="20"/>
      <c r="F218" s="5"/>
      <c r="G218" s="17"/>
      <c r="H218" s="3"/>
      <c r="J218" s="2"/>
      <c r="K218" s="5"/>
      <c r="L218" s="5"/>
      <c r="N218" s="5"/>
      <c r="O218" s="5"/>
      <c r="P218" s="5"/>
      <c r="Q218" s="5"/>
      <c r="R218" s="5"/>
      <c r="S218" s="5"/>
      <c r="T218" s="5"/>
      <c r="U218" s="5"/>
    </row>
    <row r="219" spans="2:21">
      <c r="B219">
        <v>193</v>
      </c>
      <c r="C219" s="35">
        <v>39047001152</v>
      </c>
      <c r="D219" s="2"/>
      <c r="E219" s="20"/>
      <c r="F219" s="5"/>
      <c r="G219" s="17"/>
      <c r="H219" s="3"/>
      <c r="J219" s="2"/>
      <c r="K219" s="5"/>
      <c r="L219" s="5"/>
      <c r="N219" s="5"/>
      <c r="O219" s="5"/>
      <c r="P219" s="5"/>
      <c r="Q219" s="5"/>
      <c r="R219" s="5"/>
      <c r="S219" s="5"/>
      <c r="T219" s="5"/>
      <c r="U219" s="5"/>
    </row>
    <row r="220" spans="2:21">
      <c r="B220">
        <v>194</v>
      </c>
      <c r="C220" s="35" t="s">
        <v>165</v>
      </c>
      <c r="D220" s="2"/>
      <c r="E220" s="20"/>
      <c r="F220" s="5"/>
      <c r="G220" s="17"/>
      <c r="H220" s="3"/>
      <c r="J220" s="2"/>
      <c r="K220" s="5"/>
      <c r="L220" s="5"/>
      <c r="N220" s="5"/>
      <c r="O220" s="5"/>
      <c r="P220" s="5"/>
      <c r="Q220" s="5"/>
      <c r="R220" s="5"/>
      <c r="S220" s="5"/>
      <c r="T220" s="5"/>
      <c r="U220" s="5"/>
    </row>
    <row r="221" spans="2:21">
      <c r="B221">
        <v>196</v>
      </c>
      <c r="C221" s="35">
        <v>39047001152</v>
      </c>
      <c r="D221" s="2"/>
      <c r="E221" s="20"/>
      <c r="F221" s="5"/>
      <c r="G221" s="17"/>
      <c r="H221" s="3"/>
      <c r="J221" s="2"/>
      <c r="K221" s="5"/>
      <c r="L221" s="5"/>
      <c r="N221" s="5"/>
      <c r="O221" s="5"/>
      <c r="P221" s="5"/>
      <c r="Q221" s="5"/>
      <c r="R221" s="5"/>
      <c r="S221" s="5"/>
      <c r="T221" s="5"/>
      <c r="U221" s="5"/>
    </row>
    <row r="222" spans="2:21">
      <c r="B222">
        <v>197</v>
      </c>
      <c r="C222" s="35" t="s">
        <v>166</v>
      </c>
      <c r="D222" s="2"/>
      <c r="E222" s="20"/>
      <c r="F222" s="5"/>
      <c r="G222" s="17"/>
      <c r="H222" s="3"/>
      <c r="J222" s="2"/>
      <c r="K222" s="5"/>
      <c r="L222" s="5"/>
      <c r="N222" s="5"/>
      <c r="O222" s="5"/>
      <c r="P222" s="5"/>
      <c r="Q222" s="5"/>
      <c r="R222" s="5"/>
      <c r="S222" s="5"/>
      <c r="T222" s="5"/>
      <c r="U222" s="5"/>
    </row>
    <row r="223" spans="2:21">
      <c r="B223">
        <v>199</v>
      </c>
      <c r="C223" s="35">
        <v>39047001152</v>
      </c>
      <c r="D223" s="2"/>
      <c r="E223" s="20"/>
      <c r="F223" s="5"/>
      <c r="G223" s="17"/>
      <c r="H223" s="3"/>
      <c r="J223" s="2"/>
      <c r="K223" s="5"/>
      <c r="L223" s="5"/>
      <c r="N223" s="5"/>
      <c r="O223" s="5"/>
      <c r="P223" s="5"/>
      <c r="Q223" s="5"/>
      <c r="R223" s="5"/>
      <c r="S223" s="5"/>
      <c r="T223" s="5"/>
      <c r="U223" s="5"/>
    </row>
    <row r="224" spans="2:21">
      <c r="B224">
        <v>200</v>
      </c>
      <c r="C224" s="35" t="s">
        <v>167</v>
      </c>
      <c r="D224" s="2"/>
      <c r="E224" s="20"/>
      <c r="F224" s="5"/>
      <c r="G224" s="17"/>
      <c r="H224" s="3"/>
      <c r="J224" s="2"/>
      <c r="K224" s="5"/>
      <c r="L224" s="5"/>
      <c r="N224" s="5"/>
      <c r="O224" s="5"/>
      <c r="P224" s="5"/>
      <c r="Q224" s="5"/>
      <c r="R224" s="5"/>
      <c r="S224" s="5"/>
      <c r="T224" s="5"/>
      <c r="U224" s="5"/>
    </row>
    <row r="225" spans="2:21">
      <c r="B225">
        <v>202</v>
      </c>
      <c r="C225" s="35">
        <v>45183553</v>
      </c>
      <c r="D225" s="2"/>
      <c r="E225" s="20"/>
      <c r="F225" s="5"/>
      <c r="G225" s="17"/>
      <c r="H225" s="3"/>
      <c r="J225" s="2"/>
      <c r="K225" s="5"/>
      <c r="L225" s="5"/>
      <c r="N225" s="5"/>
      <c r="O225" s="5"/>
      <c r="P225" s="5"/>
      <c r="Q225" s="5"/>
      <c r="R225" s="5"/>
      <c r="S225" s="5"/>
      <c r="T225" s="5"/>
      <c r="U225" s="5"/>
    </row>
    <row r="226" spans="2:21">
      <c r="B226">
        <v>203</v>
      </c>
      <c r="C226" s="35" t="s">
        <v>168</v>
      </c>
      <c r="D226" s="2"/>
      <c r="E226" s="20"/>
      <c r="F226" s="5"/>
      <c r="G226" s="17"/>
      <c r="H226" s="3"/>
      <c r="J226" s="2"/>
      <c r="K226" s="5"/>
      <c r="L226" s="5"/>
      <c r="N226" s="5"/>
      <c r="O226" s="5"/>
      <c r="P226" s="5"/>
      <c r="Q226" s="5"/>
      <c r="R226" s="5"/>
      <c r="S226" s="5"/>
      <c r="T226" s="5"/>
      <c r="U226" s="5"/>
    </row>
    <row r="227" spans="2:21">
      <c r="B227">
        <v>205</v>
      </c>
      <c r="C227" s="35">
        <v>45183553</v>
      </c>
      <c r="D227" s="2"/>
      <c r="E227" s="20"/>
      <c r="F227" s="5"/>
      <c r="G227" s="17"/>
      <c r="H227" s="3"/>
      <c r="J227" s="2"/>
      <c r="K227" s="5"/>
      <c r="L227" s="5"/>
      <c r="N227" s="5"/>
      <c r="O227" s="5"/>
      <c r="P227" s="5"/>
      <c r="Q227" s="5"/>
      <c r="R227" s="5"/>
      <c r="S227" s="5"/>
      <c r="T227" s="5"/>
      <c r="U227" s="5"/>
    </row>
    <row r="228" spans="2:21">
      <c r="B228">
        <v>206</v>
      </c>
      <c r="C228" s="35" t="s">
        <v>169</v>
      </c>
      <c r="D228" s="2"/>
      <c r="E228" s="20"/>
      <c r="F228" s="5"/>
      <c r="G228" s="17"/>
      <c r="H228" s="3"/>
      <c r="J228" s="2"/>
      <c r="K228" s="5"/>
      <c r="L228" s="5"/>
      <c r="N228" s="5"/>
      <c r="O228" s="5"/>
      <c r="P228" s="5"/>
      <c r="Q228" s="5"/>
      <c r="R228" s="5"/>
      <c r="S228" s="5"/>
      <c r="T228" s="5"/>
      <c r="U228" s="5"/>
    </row>
    <row r="229" spans="2:21">
      <c r="B229">
        <v>208</v>
      </c>
      <c r="C229" s="35">
        <v>45183553</v>
      </c>
      <c r="D229" s="2"/>
      <c r="E229" s="20"/>
      <c r="F229" s="5"/>
      <c r="G229" s="17"/>
      <c r="H229" s="3"/>
      <c r="J229" s="2"/>
      <c r="K229" s="5"/>
      <c r="L229" s="5"/>
      <c r="N229" s="5"/>
      <c r="O229" s="5"/>
      <c r="P229" s="5"/>
      <c r="Q229" s="5"/>
      <c r="R229" s="5"/>
      <c r="S229" s="5"/>
      <c r="T229" s="5"/>
      <c r="U229" s="5"/>
    </row>
    <row r="230" spans="2:21">
      <c r="B230">
        <v>209</v>
      </c>
      <c r="C230" s="35" t="s">
        <v>170</v>
      </c>
      <c r="D230" s="2"/>
      <c r="E230" s="20"/>
      <c r="F230" s="5"/>
      <c r="G230" s="17"/>
      <c r="H230" s="3"/>
      <c r="J230" s="2"/>
      <c r="K230" s="5"/>
      <c r="L230" s="5"/>
      <c r="N230" s="5"/>
      <c r="O230" s="5"/>
      <c r="P230" s="5"/>
      <c r="Q230" s="5"/>
      <c r="R230" s="5"/>
      <c r="S230" s="5"/>
      <c r="T230" s="5"/>
      <c r="U230" s="5"/>
    </row>
    <row r="231" spans="2:21">
      <c r="B231">
        <v>211</v>
      </c>
      <c r="C231" s="35">
        <v>8938535840032</v>
      </c>
      <c r="D231" s="2"/>
      <c r="E231" s="20"/>
      <c r="F231" s="5"/>
      <c r="G231" s="17"/>
      <c r="H231" s="3"/>
      <c r="J231" s="2"/>
      <c r="K231" s="5"/>
      <c r="L231" s="5"/>
      <c r="N231" s="5"/>
      <c r="O231" s="5"/>
      <c r="P231" s="5"/>
      <c r="Q231" s="5"/>
      <c r="R231" s="5"/>
      <c r="S231" s="5"/>
      <c r="T231" s="5"/>
      <c r="U231" s="5"/>
    </row>
    <row r="232" spans="2:21">
      <c r="B232">
        <v>212</v>
      </c>
      <c r="C232" s="35" t="s">
        <v>171</v>
      </c>
      <c r="D232" s="2"/>
      <c r="E232" s="20"/>
      <c r="F232" s="5"/>
      <c r="G232" s="17"/>
      <c r="H232" s="3"/>
      <c r="J232" s="2"/>
      <c r="K232" s="5"/>
      <c r="L232" s="5"/>
      <c r="N232" s="5"/>
      <c r="O232" s="5"/>
      <c r="P232" s="5"/>
      <c r="Q232" s="5"/>
      <c r="R232" s="5"/>
      <c r="S232" s="5"/>
      <c r="T232" s="5"/>
      <c r="U232" s="5"/>
    </row>
    <row r="233" spans="2:21">
      <c r="B233">
        <v>214</v>
      </c>
      <c r="C233" s="35">
        <v>8938535840032</v>
      </c>
      <c r="D233" s="2"/>
      <c r="E233" s="20"/>
      <c r="F233" s="5"/>
      <c r="G233" s="17"/>
      <c r="H233" s="3"/>
      <c r="J233" s="2"/>
      <c r="K233" s="5"/>
      <c r="L233" s="5"/>
      <c r="N233" s="5"/>
      <c r="O233" s="5"/>
      <c r="P233" s="5"/>
      <c r="Q233" s="5"/>
      <c r="R233" s="5"/>
      <c r="S233" s="5"/>
      <c r="T233" s="5"/>
      <c r="U233" s="5"/>
    </row>
    <row r="234" spans="2:21">
      <c r="B234">
        <v>215</v>
      </c>
      <c r="C234" s="35" t="s">
        <v>172</v>
      </c>
      <c r="D234" s="2"/>
      <c r="E234" s="20"/>
      <c r="F234" s="5"/>
      <c r="G234" s="17"/>
      <c r="H234" s="3"/>
      <c r="J234" s="2"/>
      <c r="K234" s="5"/>
      <c r="L234" s="5"/>
      <c r="N234" s="5"/>
      <c r="O234" s="5"/>
      <c r="P234" s="5"/>
      <c r="Q234" s="5"/>
      <c r="R234" s="5"/>
      <c r="S234" s="5"/>
      <c r="T234" s="5"/>
      <c r="U234" s="5"/>
    </row>
    <row r="235" spans="2:21">
      <c r="B235">
        <v>217</v>
      </c>
      <c r="C235" s="35">
        <v>8938535840032</v>
      </c>
      <c r="D235" s="2"/>
      <c r="E235" s="20"/>
      <c r="F235" s="5"/>
      <c r="G235" s="17"/>
      <c r="H235" s="3"/>
      <c r="J235" s="2"/>
      <c r="K235" s="5"/>
      <c r="L235" s="5"/>
      <c r="N235" s="5"/>
      <c r="O235" s="5"/>
      <c r="P235" s="5"/>
      <c r="Q235" s="5"/>
      <c r="R235" s="5"/>
      <c r="S235" s="5"/>
      <c r="T235" s="5"/>
      <c r="U235" s="5"/>
    </row>
    <row r="236" spans="2:21">
      <c r="B236">
        <v>218</v>
      </c>
      <c r="C236" s="35" t="s">
        <v>173</v>
      </c>
      <c r="D236" s="2"/>
      <c r="E236" s="20"/>
      <c r="F236" s="5"/>
      <c r="G236" s="17"/>
      <c r="H236" s="3"/>
      <c r="J236" s="2"/>
      <c r="K236" s="5"/>
      <c r="L236" s="5"/>
      <c r="N236" s="5"/>
      <c r="O236" s="5"/>
      <c r="P236" s="5"/>
      <c r="Q236" s="5"/>
      <c r="R236" s="5"/>
      <c r="S236" s="5"/>
      <c r="T236" s="5"/>
      <c r="U236" s="5"/>
    </row>
    <row r="237" spans="2:21">
      <c r="B237">
        <v>220</v>
      </c>
      <c r="C237" s="35">
        <v>226642624804</v>
      </c>
      <c r="D237" s="2"/>
      <c r="E237" s="20"/>
      <c r="F237" s="5"/>
      <c r="G237" s="17"/>
      <c r="H237" s="3"/>
      <c r="J237" s="2"/>
      <c r="K237" s="5"/>
      <c r="L237" s="5"/>
      <c r="N237" s="5"/>
      <c r="O237" s="5"/>
      <c r="P237" s="5"/>
      <c r="Q237" s="5"/>
      <c r="R237" s="5"/>
      <c r="S237" s="5"/>
      <c r="T237" s="5"/>
      <c r="U237" s="5"/>
    </row>
    <row r="238" spans="2:21">
      <c r="B238">
        <v>221</v>
      </c>
      <c r="C238" s="35" t="s">
        <v>174</v>
      </c>
      <c r="D238" s="2"/>
      <c r="E238" s="20"/>
      <c r="F238" s="5"/>
      <c r="G238" s="17"/>
      <c r="H238" s="3"/>
      <c r="J238" s="2"/>
      <c r="K238" s="5"/>
      <c r="L238" s="5"/>
      <c r="N238" s="5"/>
      <c r="O238" s="5"/>
      <c r="P238" s="5"/>
      <c r="Q238" s="5"/>
      <c r="R238" s="5"/>
      <c r="S238" s="5"/>
      <c r="T238" s="5"/>
      <c r="U238" s="5"/>
    </row>
    <row r="239" spans="2:21">
      <c r="B239">
        <v>223</v>
      </c>
      <c r="C239" s="35">
        <v>226642624804</v>
      </c>
      <c r="D239" s="2"/>
      <c r="E239" s="20"/>
      <c r="F239" s="5"/>
      <c r="G239" s="17"/>
      <c r="H239" s="3"/>
      <c r="J239" s="2"/>
      <c r="K239" s="5"/>
      <c r="L239" s="5"/>
      <c r="N239" s="5"/>
      <c r="O239" s="5"/>
      <c r="P239" s="5"/>
      <c r="Q239" s="5"/>
      <c r="R239" s="5"/>
      <c r="S239" s="5"/>
      <c r="T239" s="5"/>
      <c r="U239" s="5"/>
    </row>
    <row r="240" spans="2:21">
      <c r="B240">
        <v>224</v>
      </c>
      <c r="C240" s="35" t="s">
        <v>175</v>
      </c>
      <c r="D240" s="2"/>
      <c r="E240" s="20"/>
      <c r="F240" s="5"/>
      <c r="G240" s="17"/>
      <c r="H240" s="3"/>
      <c r="J240" s="2"/>
      <c r="K240" s="5"/>
      <c r="L240" s="5"/>
      <c r="N240" s="5"/>
      <c r="O240" s="5"/>
      <c r="P240" s="5"/>
      <c r="Q240" s="5"/>
      <c r="R240" s="5"/>
      <c r="S240" s="5"/>
      <c r="T240" s="5"/>
      <c r="U240" s="5"/>
    </row>
    <row r="241" spans="2:21">
      <c r="B241">
        <v>226</v>
      </c>
      <c r="C241" s="35">
        <v>226642624804</v>
      </c>
      <c r="D241" s="2"/>
      <c r="E241" s="20"/>
      <c r="F241" s="5"/>
      <c r="G241" s="17"/>
      <c r="H241" s="3"/>
      <c r="J241" s="2"/>
      <c r="K241" s="5"/>
      <c r="L241" s="5"/>
      <c r="N241" s="5"/>
      <c r="O241" s="5"/>
      <c r="P241" s="5"/>
      <c r="Q241" s="5"/>
      <c r="R241" s="5"/>
      <c r="S241" s="5"/>
      <c r="T241" s="5"/>
      <c r="U241" s="5"/>
    </row>
    <row r="242" spans="2:21">
      <c r="B242">
        <v>227</v>
      </c>
      <c r="C242" s="35" t="s">
        <v>176</v>
      </c>
      <c r="D242" s="2"/>
      <c r="E242" s="20"/>
      <c r="F242" s="5"/>
      <c r="G242" s="17"/>
      <c r="H242" s="3"/>
      <c r="J242" s="2"/>
      <c r="K242" s="5"/>
      <c r="L242" s="5"/>
      <c r="N242" s="5"/>
      <c r="O242" s="5"/>
      <c r="P242" s="5"/>
      <c r="Q242" s="5"/>
      <c r="R242" s="5"/>
      <c r="S242" s="5"/>
      <c r="T242" s="5"/>
      <c r="U242" s="5"/>
    </row>
    <row r="243" spans="2:21">
      <c r="B243">
        <v>229</v>
      </c>
      <c r="C243" s="35">
        <v>269406704756</v>
      </c>
      <c r="D243" s="2"/>
      <c r="E243" s="20"/>
      <c r="F243" s="5"/>
      <c r="G243" s="17"/>
      <c r="H243" s="3"/>
      <c r="J243" s="2"/>
      <c r="K243" s="5"/>
      <c r="L243" s="5"/>
      <c r="N243" s="5"/>
      <c r="O243" s="5"/>
      <c r="P243" s="5"/>
      <c r="Q243" s="5"/>
      <c r="R243" s="5"/>
      <c r="S243" s="5"/>
      <c r="T243" s="5"/>
      <c r="U243" s="5"/>
    </row>
    <row r="244" spans="2:21">
      <c r="B244">
        <v>230</v>
      </c>
      <c r="C244" s="35" t="s">
        <v>177</v>
      </c>
      <c r="D244" s="2"/>
      <c r="E244" s="20"/>
      <c r="F244" s="5"/>
      <c r="G244" s="17"/>
      <c r="H244" s="3"/>
      <c r="J244" s="2"/>
      <c r="K244" s="5"/>
      <c r="L244" s="5"/>
      <c r="N244" s="5"/>
      <c r="O244" s="5"/>
      <c r="P244" s="5"/>
      <c r="Q244" s="5"/>
      <c r="R244" s="5"/>
      <c r="S244" s="5"/>
      <c r="T244" s="5"/>
      <c r="U244" s="5"/>
    </row>
    <row r="245" spans="2:21">
      <c r="B245">
        <v>231</v>
      </c>
      <c r="C245" s="35" t="s">
        <v>178</v>
      </c>
      <c r="D245" s="2"/>
      <c r="E245" s="20"/>
      <c r="F245" s="5"/>
      <c r="G245" s="17"/>
      <c r="H245" s="3"/>
      <c r="J245" s="2"/>
      <c r="K245" s="5"/>
      <c r="L245" s="5"/>
      <c r="N245" s="5"/>
      <c r="O245" s="5"/>
      <c r="P245" s="5"/>
      <c r="Q245" s="5"/>
      <c r="R245" s="5"/>
      <c r="S245" s="5"/>
      <c r="T245" s="5"/>
      <c r="U245" s="5"/>
    </row>
    <row r="246" spans="2:21">
      <c r="B246">
        <v>233</v>
      </c>
      <c r="C246" s="35">
        <v>269406704756</v>
      </c>
      <c r="D246" s="2"/>
      <c r="E246" s="20"/>
      <c r="F246" s="5"/>
      <c r="G246" s="17"/>
      <c r="H246" s="3"/>
      <c r="J246" s="2"/>
      <c r="K246" s="5"/>
      <c r="L246" s="5"/>
      <c r="N246" s="5"/>
      <c r="O246" s="5"/>
      <c r="P246" s="5"/>
      <c r="Q246" s="5"/>
      <c r="R246" s="5"/>
      <c r="S246" s="5"/>
      <c r="T246" s="5"/>
      <c r="U246" s="5"/>
    </row>
    <row r="247" spans="2:21">
      <c r="B247">
        <v>234</v>
      </c>
      <c r="C247" s="35" t="s">
        <v>177</v>
      </c>
      <c r="D247" s="2"/>
      <c r="E247" s="20"/>
      <c r="F247" s="5"/>
      <c r="G247" s="17"/>
      <c r="H247" s="3"/>
      <c r="J247" s="2"/>
      <c r="K247" s="5"/>
      <c r="L247" s="5"/>
      <c r="N247" s="5"/>
      <c r="O247" s="5"/>
      <c r="P247" s="5"/>
      <c r="Q247" s="5"/>
      <c r="R247" s="5"/>
      <c r="S247" s="5"/>
      <c r="T247" s="5"/>
      <c r="U247" s="5"/>
    </row>
    <row r="248" spans="2:21">
      <c r="B248">
        <v>235</v>
      </c>
      <c r="C248" s="35" t="s">
        <v>179</v>
      </c>
      <c r="D248" s="2"/>
      <c r="E248" s="20"/>
      <c r="F248" s="5"/>
      <c r="G248" s="17"/>
      <c r="H248" s="3"/>
      <c r="J248" s="2"/>
      <c r="K248" s="5"/>
      <c r="L248" s="5"/>
      <c r="N248" s="5"/>
      <c r="O248" s="5"/>
      <c r="P248" s="5"/>
      <c r="Q248" s="5"/>
      <c r="R248" s="5"/>
      <c r="S248" s="5"/>
      <c r="T248" s="5"/>
      <c r="U248" s="5"/>
    </row>
    <row r="249" spans="2:21">
      <c r="B249">
        <v>237</v>
      </c>
      <c r="C249" s="35">
        <v>269406704756</v>
      </c>
      <c r="D249" s="2"/>
      <c r="E249" s="20"/>
      <c r="F249" s="5"/>
      <c r="G249" s="17"/>
      <c r="H249" s="3"/>
      <c r="J249" s="2"/>
      <c r="K249" s="5"/>
      <c r="L249" s="5"/>
      <c r="N249" s="5"/>
      <c r="O249" s="5"/>
      <c r="P249" s="5"/>
      <c r="Q249" s="5"/>
      <c r="R249" s="5"/>
      <c r="S249" s="5"/>
      <c r="T249" s="5"/>
      <c r="U249" s="5"/>
    </row>
    <row r="250" spans="2:21">
      <c r="B250">
        <v>238</v>
      </c>
      <c r="C250" s="35" t="s">
        <v>177</v>
      </c>
      <c r="D250" s="2"/>
      <c r="E250" s="20"/>
      <c r="F250" s="5"/>
      <c r="G250" s="17"/>
      <c r="H250" s="3"/>
      <c r="J250" s="2"/>
      <c r="K250" s="5"/>
      <c r="L250" s="5"/>
      <c r="N250" s="5"/>
      <c r="O250" s="5"/>
      <c r="P250" s="5"/>
      <c r="Q250" s="5"/>
      <c r="R250" s="5"/>
      <c r="S250" s="5"/>
      <c r="T250" s="5"/>
      <c r="U250" s="5"/>
    </row>
    <row r="251" spans="2:21">
      <c r="B251">
        <v>239</v>
      </c>
      <c r="C251" s="35" t="s">
        <v>180</v>
      </c>
      <c r="D251" s="2"/>
      <c r="E251" s="20"/>
      <c r="F251" s="5"/>
      <c r="G251" s="17"/>
      <c r="H251" s="3"/>
      <c r="J251" s="2"/>
      <c r="K251" s="5"/>
      <c r="L251" s="5"/>
      <c r="N251" s="5"/>
      <c r="O251" s="5"/>
      <c r="P251" s="5"/>
      <c r="Q251" s="5"/>
      <c r="R251" s="5"/>
      <c r="S251" s="5"/>
      <c r="T251" s="5"/>
      <c r="U251" s="5"/>
    </row>
    <row r="252" spans="2:21">
      <c r="B252">
        <v>241</v>
      </c>
      <c r="C252" s="35">
        <v>237962604988</v>
      </c>
      <c r="D252" s="2"/>
      <c r="E252" s="20"/>
      <c r="F252" s="5"/>
      <c r="G252" s="17"/>
      <c r="H252" s="3"/>
      <c r="J252" s="2"/>
      <c r="K252" s="5"/>
      <c r="L252" s="5"/>
      <c r="N252" s="5"/>
      <c r="O252" s="5"/>
      <c r="P252" s="5"/>
      <c r="Q252" s="5"/>
      <c r="R252" s="5"/>
      <c r="S252" s="5"/>
      <c r="T252" s="5"/>
      <c r="U252" s="5"/>
    </row>
    <row r="253" spans="2:21">
      <c r="B253">
        <v>242</v>
      </c>
      <c r="C253" s="35" t="s">
        <v>171</v>
      </c>
      <c r="D253" s="2"/>
      <c r="E253" s="20"/>
      <c r="F253" s="5"/>
      <c r="G253" s="17"/>
      <c r="H253" s="3"/>
      <c r="J253" s="2"/>
      <c r="K253" s="5"/>
      <c r="L253" s="5"/>
      <c r="N253" s="5"/>
      <c r="O253" s="5"/>
      <c r="P253" s="5"/>
      <c r="Q253" s="5"/>
      <c r="R253" s="5"/>
      <c r="S253" s="5"/>
      <c r="T253" s="5"/>
      <c r="U253" s="5"/>
    </row>
    <row r="254" spans="2:21">
      <c r="B254">
        <v>244</v>
      </c>
      <c r="C254" s="35">
        <v>237962604988</v>
      </c>
      <c r="D254" s="2"/>
      <c r="E254" s="20"/>
      <c r="F254" s="5"/>
      <c r="G254" s="17"/>
      <c r="H254" s="3"/>
      <c r="J254" s="2"/>
      <c r="K254" s="5"/>
      <c r="L254" s="5"/>
      <c r="N254" s="5"/>
      <c r="O254" s="5"/>
      <c r="P254" s="5"/>
      <c r="Q254" s="5"/>
      <c r="R254" s="5"/>
      <c r="S254" s="5"/>
      <c r="T254" s="5"/>
      <c r="U254" s="5"/>
    </row>
    <row r="255" spans="2:21">
      <c r="B255">
        <v>245</v>
      </c>
      <c r="C255" s="35" t="s">
        <v>172</v>
      </c>
      <c r="D255" s="2"/>
      <c r="E255" s="20"/>
      <c r="F255" s="5"/>
      <c r="G255" s="17"/>
      <c r="H255" s="3"/>
      <c r="J255" s="2"/>
      <c r="K255" s="5"/>
      <c r="L255" s="5"/>
      <c r="N255" s="5"/>
      <c r="O255" s="5"/>
      <c r="P255" s="5"/>
      <c r="Q255" s="5"/>
      <c r="R255" s="5"/>
      <c r="S255" s="5"/>
      <c r="T255" s="5"/>
      <c r="U255" s="5"/>
    </row>
    <row r="256" spans="2:21">
      <c r="B256">
        <v>247</v>
      </c>
      <c r="C256" s="35">
        <v>237962604988</v>
      </c>
      <c r="D256" s="2"/>
      <c r="E256" s="20"/>
      <c r="F256" s="5"/>
      <c r="G256" s="17"/>
      <c r="H256" s="3"/>
      <c r="J256" s="2"/>
      <c r="K256" s="5"/>
      <c r="L256" s="5"/>
      <c r="N256" s="5"/>
      <c r="O256" s="5"/>
      <c r="P256" s="5"/>
      <c r="Q256" s="5"/>
      <c r="R256" s="5"/>
      <c r="S256" s="5"/>
      <c r="T256" s="5"/>
      <c r="U256" s="5"/>
    </row>
    <row r="257" spans="2:21">
      <c r="B257">
        <v>248</v>
      </c>
      <c r="C257" s="35" t="s">
        <v>181</v>
      </c>
      <c r="D257" s="2"/>
      <c r="E257" s="20"/>
      <c r="F257" s="5"/>
      <c r="G257" s="17"/>
      <c r="H257" s="3"/>
      <c r="J257" s="2"/>
      <c r="K257" s="5"/>
      <c r="L257" s="5"/>
      <c r="N257" s="5"/>
      <c r="O257" s="5"/>
      <c r="P257" s="5"/>
      <c r="Q257" s="5"/>
      <c r="R257" s="5"/>
      <c r="S257" s="5"/>
      <c r="T257" s="5"/>
      <c r="U257" s="5"/>
    </row>
    <row r="258" spans="2:21">
      <c r="B258">
        <v>249</v>
      </c>
      <c r="C258" s="35" t="s">
        <v>182</v>
      </c>
      <c r="D258" s="2"/>
      <c r="E258" s="22">
        <v>143</v>
      </c>
      <c r="F258" s="5"/>
      <c r="G258" s="17"/>
      <c r="H258" s="3"/>
      <c r="J258" s="2"/>
      <c r="K258" s="5"/>
      <c r="L258" s="5"/>
      <c r="N258" s="5"/>
      <c r="O258" s="5"/>
      <c r="P258" s="5"/>
      <c r="Q258" s="5"/>
      <c r="R258" s="5"/>
      <c r="S258" s="5"/>
      <c r="T258" s="5"/>
      <c r="U258" s="5"/>
    </row>
    <row r="259" spans="2:21">
      <c r="B259">
        <v>250</v>
      </c>
      <c r="C259" s="35">
        <v>4901004006714</v>
      </c>
      <c r="D259" s="2"/>
      <c r="E259" s="20"/>
      <c r="F259" s="5"/>
      <c r="G259" s="17"/>
      <c r="H259" s="3"/>
      <c r="J259" s="2"/>
      <c r="K259" s="5"/>
      <c r="L259" s="5"/>
      <c r="N259" s="5"/>
      <c r="O259" s="5"/>
      <c r="P259" s="5"/>
      <c r="Q259" s="5"/>
      <c r="R259" s="5"/>
      <c r="S259" s="5"/>
      <c r="T259" s="5"/>
      <c r="U259" s="5"/>
    </row>
    <row r="260" spans="2:21">
      <c r="B260">
        <v>251</v>
      </c>
      <c r="C260" s="35" t="s">
        <v>183</v>
      </c>
      <c r="D260" s="2"/>
      <c r="E260" s="20"/>
      <c r="F260" s="5"/>
      <c r="G260" s="17"/>
      <c r="H260" s="3"/>
      <c r="J260" s="2"/>
      <c r="K260" s="5"/>
      <c r="L260" s="5"/>
      <c r="N260" s="5"/>
      <c r="O260" s="5"/>
      <c r="P260" s="5"/>
      <c r="Q260" s="5"/>
      <c r="R260" s="5"/>
      <c r="S260" s="5"/>
      <c r="T260" s="5"/>
      <c r="U260" s="5"/>
    </row>
    <row r="261" spans="2:21">
      <c r="B261">
        <v>252</v>
      </c>
      <c r="C261" s="35" t="s">
        <v>136</v>
      </c>
      <c r="D261" s="2"/>
      <c r="E261" s="20"/>
      <c r="F261" s="5"/>
      <c r="G261" s="17"/>
      <c r="H261" s="3"/>
      <c r="J261" s="2"/>
      <c r="K261" s="5"/>
      <c r="L261" s="5"/>
      <c r="N261" s="5"/>
      <c r="O261" s="5"/>
      <c r="P261" s="5"/>
      <c r="Q261" s="5"/>
      <c r="R261" s="5"/>
      <c r="S261" s="5"/>
      <c r="T261" s="5"/>
      <c r="U261" s="5"/>
    </row>
    <row r="262" spans="2:21">
      <c r="B262">
        <v>253</v>
      </c>
      <c r="C262" s="35" t="s">
        <v>182</v>
      </c>
      <c r="D262" s="2"/>
      <c r="E262" s="22">
        <v>125</v>
      </c>
      <c r="F262" s="5"/>
      <c r="G262" s="17"/>
      <c r="H262" s="3"/>
      <c r="J262" s="2"/>
      <c r="K262" s="5"/>
      <c r="L262" s="5"/>
      <c r="N262" s="5"/>
      <c r="O262" s="5"/>
      <c r="P262" s="5"/>
      <c r="Q262" s="5"/>
      <c r="R262" s="5"/>
      <c r="S262" s="5"/>
      <c r="T262" s="5"/>
      <c r="U262" s="5"/>
    </row>
    <row r="263" spans="2:21">
      <c r="B263">
        <v>254</v>
      </c>
      <c r="C263" s="35">
        <v>4901004006714</v>
      </c>
      <c r="D263" s="2"/>
      <c r="E263" s="20"/>
      <c r="F263" s="5"/>
      <c r="G263" s="17"/>
      <c r="H263" s="3"/>
      <c r="J263" s="2"/>
      <c r="K263" s="5"/>
      <c r="L263" s="5"/>
      <c r="N263" s="5"/>
      <c r="O263" s="5"/>
      <c r="P263" s="5"/>
      <c r="Q263" s="5"/>
      <c r="R263" s="5"/>
      <c r="S263" s="5"/>
      <c r="T263" s="5"/>
      <c r="U263" s="5"/>
    </row>
    <row r="264" spans="2:21">
      <c r="B264">
        <v>255</v>
      </c>
      <c r="C264" s="35" t="s">
        <v>184</v>
      </c>
      <c r="D264" s="2"/>
      <c r="E264" s="20"/>
      <c r="F264" s="5"/>
      <c r="G264" s="17"/>
      <c r="H264" s="3"/>
      <c r="J264" s="2"/>
      <c r="K264" s="5"/>
      <c r="L264" s="5"/>
      <c r="N264" s="5"/>
      <c r="O264" s="5"/>
      <c r="P264" s="5"/>
      <c r="Q264" s="5"/>
      <c r="R264" s="5"/>
      <c r="S264" s="5"/>
      <c r="T264" s="5"/>
      <c r="U264" s="5"/>
    </row>
    <row r="265" spans="2:21">
      <c r="B265">
        <v>256</v>
      </c>
      <c r="C265" s="35" t="s">
        <v>136</v>
      </c>
      <c r="D265" s="2"/>
      <c r="E265" s="20"/>
      <c r="F265" s="5"/>
      <c r="G265" s="17"/>
      <c r="H265" s="3"/>
      <c r="J265" s="2"/>
      <c r="K265" s="5"/>
      <c r="L265" s="5"/>
      <c r="N265" s="5"/>
      <c r="O265" s="5"/>
      <c r="P265" s="5"/>
      <c r="Q265" s="5"/>
      <c r="R265" s="5"/>
      <c r="S265" s="5"/>
      <c r="T265" s="5"/>
      <c r="U265" s="5"/>
    </row>
    <row r="266" spans="2:21">
      <c r="B266">
        <v>257</v>
      </c>
      <c r="C266" s="35" t="s">
        <v>182</v>
      </c>
      <c r="D266" s="2"/>
      <c r="E266" s="22">
        <v>89</v>
      </c>
      <c r="F266" s="5"/>
      <c r="G266" s="17"/>
      <c r="H266" s="3"/>
      <c r="J266" s="2"/>
      <c r="K266" s="5"/>
      <c r="L266" s="5"/>
      <c r="N266" s="5"/>
      <c r="O266" s="5"/>
      <c r="P266" s="5"/>
      <c r="Q266" s="5"/>
      <c r="R266" s="5"/>
      <c r="S266" s="5"/>
      <c r="T266" s="5"/>
      <c r="U266" s="5"/>
    </row>
    <row r="267" spans="2:21">
      <c r="B267">
        <v>258</v>
      </c>
      <c r="C267" s="35">
        <v>4901004006714</v>
      </c>
      <c r="D267" s="2"/>
      <c r="E267" s="20"/>
      <c r="F267" s="5"/>
      <c r="G267" s="17"/>
      <c r="H267" s="3"/>
      <c r="J267" s="2"/>
      <c r="K267" s="5"/>
      <c r="L267" s="5"/>
      <c r="N267" s="5"/>
      <c r="O267" s="5"/>
      <c r="P267" s="5"/>
      <c r="Q267" s="5"/>
      <c r="R267" s="5"/>
      <c r="S267" s="5"/>
      <c r="T267" s="5"/>
      <c r="U267" s="5"/>
    </row>
    <row r="268" spans="2:21">
      <c r="B268">
        <v>259</v>
      </c>
      <c r="C268" s="35" t="s">
        <v>185</v>
      </c>
      <c r="D268" s="2"/>
      <c r="E268" s="20"/>
      <c r="F268" s="5"/>
      <c r="G268" s="17"/>
      <c r="H268" s="3"/>
      <c r="J268" s="2"/>
      <c r="K268" s="5"/>
      <c r="L268" s="5"/>
      <c r="N268" s="5"/>
      <c r="O268" s="5"/>
      <c r="P268" s="5"/>
      <c r="Q268" s="5"/>
      <c r="R268" s="5"/>
      <c r="S268" s="5"/>
      <c r="T268" s="5"/>
      <c r="U268" s="5"/>
    </row>
    <row r="269" spans="2:21">
      <c r="B269">
        <v>260</v>
      </c>
      <c r="C269" s="35" t="s">
        <v>136</v>
      </c>
      <c r="D269" s="2"/>
      <c r="E269" s="20"/>
      <c r="F269" s="5"/>
      <c r="G269" s="17"/>
      <c r="H269" s="3"/>
      <c r="J269" s="2"/>
      <c r="K269" s="5"/>
      <c r="L269" s="5"/>
      <c r="N269" s="5"/>
      <c r="O269" s="5"/>
      <c r="P269" s="5"/>
      <c r="Q269" s="5"/>
      <c r="R269" s="5"/>
      <c r="S269" s="5"/>
      <c r="T269" s="5"/>
      <c r="U269" s="5"/>
    </row>
    <row r="270" spans="2:21">
      <c r="B270">
        <v>262</v>
      </c>
      <c r="C270" s="35">
        <v>49698145</v>
      </c>
      <c r="D270" s="2"/>
      <c r="E270" s="20"/>
      <c r="F270" s="5"/>
      <c r="G270" s="17"/>
      <c r="H270" s="3"/>
      <c r="J270" s="2"/>
      <c r="K270" s="5"/>
      <c r="L270" s="5"/>
      <c r="N270" s="5"/>
      <c r="O270" s="5"/>
      <c r="P270" s="5"/>
      <c r="Q270" s="5"/>
      <c r="R270" s="5"/>
      <c r="S270" s="5"/>
      <c r="T270" s="5"/>
      <c r="U270" s="5"/>
    </row>
    <row r="271" spans="2:21">
      <c r="B271">
        <v>263</v>
      </c>
      <c r="C271" s="35" t="s">
        <v>186</v>
      </c>
      <c r="D271" s="2"/>
      <c r="E271" s="20"/>
      <c r="F271" s="5"/>
      <c r="G271" s="17"/>
      <c r="H271" s="3"/>
      <c r="J271" s="2"/>
      <c r="K271" s="5"/>
      <c r="L271" s="5"/>
      <c r="N271" s="5"/>
      <c r="O271" s="5"/>
      <c r="P271" s="5"/>
      <c r="Q271" s="5"/>
      <c r="R271" s="5"/>
      <c r="S271" s="5"/>
      <c r="T271" s="5"/>
      <c r="U271" s="5"/>
    </row>
    <row r="272" spans="2:21">
      <c r="B272">
        <v>265</v>
      </c>
      <c r="C272" s="35">
        <v>49698626</v>
      </c>
      <c r="D272" s="2"/>
      <c r="E272" s="20"/>
      <c r="F272" s="5"/>
      <c r="G272" s="17"/>
      <c r="H272" s="3"/>
      <c r="J272" s="2"/>
      <c r="K272" s="5"/>
      <c r="L272" s="5"/>
      <c r="N272" s="5"/>
      <c r="O272" s="5"/>
      <c r="P272" s="5"/>
      <c r="Q272" s="5"/>
      <c r="R272" s="5"/>
      <c r="S272" s="5"/>
      <c r="T272" s="5"/>
      <c r="U272" s="5"/>
    </row>
    <row r="273" spans="2:23">
      <c r="B273">
        <v>266</v>
      </c>
      <c r="C273" s="35" t="s">
        <v>186</v>
      </c>
      <c r="D273" s="2"/>
      <c r="E273" s="20"/>
      <c r="F273" s="5"/>
      <c r="G273" s="17"/>
      <c r="H273" s="3"/>
      <c r="J273" s="2"/>
      <c r="K273" s="5"/>
      <c r="L273" s="5"/>
      <c r="N273" s="5"/>
      <c r="O273" s="5"/>
      <c r="P273" s="5"/>
      <c r="Q273" s="5"/>
      <c r="R273" s="5"/>
      <c r="S273" s="5"/>
      <c r="T273" s="5"/>
      <c r="U273" s="5"/>
    </row>
    <row r="274" spans="2:23">
      <c r="B274">
        <v>268</v>
      </c>
      <c r="C274" s="35">
        <v>4901990020503</v>
      </c>
      <c r="D274" s="2"/>
      <c r="E274" s="20"/>
      <c r="F274" s="5"/>
      <c r="G274" s="17"/>
      <c r="H274" s="3"/>
      <c r="J274" s="2"/>
      <c r="K274" s="5"/>
      <c r="L274" s="5"/>
      <c r="N274" s="5"/>
      <c r="O274" s="5"/>
      <c r="P274" s="5"/>
      <c r="Q274" s="5"/>
      <c r="R274" s="5"/>
      <c r="S274" s="5"/>
      <c r="T274" s="5"/>
      <c r="U274" s="5"/>
    </row>
    <row r="275" spans="2:23">
      <c r="B275">
        <v>269</v>
      </c>
      <c r="C275" s="35" t="s">
        <v>187</v>
      </c>
      <c r="D275" s="2"/>
      <c r="E275" s="20"/>
      <c r="F275" s="5"/>
      <c r="G275" s="17"/>
      <c r="H275" s="3"/>
      <c r="J275" s="2"/>
      <c r="K275" s="5"/>
      <c r="L275" s="5"/>
      <c r="N275" s="5"/>
      <c r="O275" s="5"/>
      <c r="P275" s="5"/>
      <c r="Q275" s="5"/>
      <c r="R275" s="5"/>
      <c r="S275" s="5"/>
      <c r="T275" s="5"/>
      <c r="U275" s="5"/>
    </row>
    <row r="276" spans="2:23">
      <c r="B276">
        <v>271</v>
      </c>
      <c r="C276" s="35">
        <v>4901990020534</v>
      </c>
      <c r="D276" s="2"/>
      <c r="E276" s="20"/>
      <c r="F276" s="5"/>
      <c r="G276" s="17"/>
      <c r="H276" s="3"/>
      <c r="J276" s="2"/>
      <c r="K276" s="5"/>
      <c r="L276" s="5"/>
      <c r="N276" s="5"/>
      <c r="O276" s="5"/>
      <c r="P276" s="5"/>
      <c r="Q276" s="5"/>
      <c r="R276" s="5"/>
      <c r="S276" s="5"/>
      <c r="T276" s="5"/>
      <c r="U276" s="5"/>
    </row>
    <row r="277" spans="2:23">
      <c r="B277">
        <v>272</v>
      </c>
      <c r="C277" s="35" t="s">
        <v>188</v>
      </c>
      <c r="D277" s="2"/>
      <c r="E277" s="20"/>
      <c r="F277" s="5"/>
      <c r="G277" s="17"/>
      <c r="H277" s="3"/>
      <c r="J277" s="2"/>
      <c r="K277" s="5"/>
      <c r="L277" s="5"/>
      <c r="N277" s="5"/>
      <c r="O277" s="5"/>
      <c r="P277" s="5"/>
      <c r="Q277" s="5"/>
      <c r="R277" s="5"/>
      <c r="S277" s="5"/>
      <c r="T277" s="5"/>
      <c r="U277" s="5"/>
    </row>
    <row r="278" spans="2:23">
      <c r="B278">
        <v>273</v>
      </c>
      <c r="C278" s="35" t="s">
        <v>189</v>
      </c>
      <c r="D278" s="2"/>
      <c r="E278" s="20"/>
      <c r="F278" s="5"/>
      <c r="G278" s="17"/>
      <c r="H278" s="3"/>
      <c r="J278" s="2"/>
      <c r="K278" s="5"/>
      <c r="L278" s="5"/>
      <c r="N278" s="5"/>
      <c r="O278" s="5"/>
      <c r="P278" s="5"/>
      <c r="Q278" s="5"/>
      <c r="R278" s="5"/>
      <c r="S278" s="5"/>
      <c r="T278" s="5"/>
      <c r="U278" s="5"/>
    </row>
    <row r="279" spans="2:23">
      <c r="B279">
        <v>274</v>
      </c>
      <c r="C279" s="35" t="s">
        <v>190</v>
      </c>
      <c r="D279" s="2"/>
      <c r="E279" s="20"/>
      <c r="F279" s="5"/>
      <c r="G279" s="17"/>
      <c r="H279" s="3"/>
      <c r="J279" s="2"/>
      <c r="K279" s="5"/>
      <c r="L279" s="5"/>
      <c r="N279" s="5"/>
      <c r="O279" s="5"/>
      <c r="P279" s="5"/>
      <c r="Q279" s="5"/>
      <c r="R279" s="5"/>
      <c r="S279" s="5"/>
      <c r="T279" s="5"/>
      <c r="U279" s="5"/>
    </row>
    <row r="280" spans="2:23">
      <c r="B280">
        <v>275</v>
      </c>
      <c r="C280" s="35" t="s">
        <v>191</v>
      </c>
      <c r="D280" s="2"/>
      <c r="E280" s="20"/>
      <c r="F280" s="5"/>
      <c r="G280" s="17"/>
      <c r="H280" s="3"/>
      <c r="J280" s="2"/>
      <c r="K280" s="5"/>
      <c r="L280" s="5"/>
      <c r="N280" s="5"/>
      <c r="O280" s="5"/>
      <c r="P280" s="5"/>
      <c r="Q280" s="5"/>
      <c r="R280" s="5"/>
      <c r="S280" s="5"/>
      <c r="T280" s="5"/>
      <c r="U280" s="5"/>
    </row>
    <row r="281" spans="2:23">
      <c r="B281">
        <v>276</v>
      </c>
      <c r="C281" s="35"/>
      <c r="D281" s="2"/>
      <c r="E281" s="20"/>
      <c r="F281" s="5"/>
      <c r="G281" s="17"/>
      <c r="H281" s="3"/>
      <c r="J281" s="2"/>
      <c r="K281" s="5"/>
      <c r="L281" s="5"/>
      <c r="N281" s="5"/>
      <c r="O281" s="5"/>
      <c r="P281" s="5"/>
      <c r="Q281" s="5"/>
      <c r="R281" s="5"/>
      <c r="S281" s="5"/>
      <c r="T281" s="5"/>
      <c r="U281" s="5"/>
    </row>
    <row r="282" spans="2:23">
      <c r="B282">
        <v>277</v>
      </c>
      <c r="C282" s="35" t="s">
        <v>192</v>
      </c>
      <c r="D282" s="2"/>
      <c r="E282" s="20"/>
      <c r="F282" s="5"/>
      <c r="G282" s="38"/>
      <c r="H282" s="3"/>
      <c r="J282" s="2"/>
      <c r="K282" s="5"/>
      <c r="L282" s="5"/>
      <c r="N282" s="5"/>
      <c r="O282" s="5"/>
      <c r="P282" s="5"/>
      <c r="Q282" s="5"/>
      <c r="R282" s="5"/>
      <c r="S282" s="5"/>
      <c r="T282" s="5"/>
      <c r="U282" s="5"/>
    </row>
    <row r="283" spans="2:23" ht="19.5" thickBot="1">
      <c r="B283">
        <v>278</v>
      </c>
      <c r="C283" s="35"/>
      <c r="D283" s="2"/>
      <c r="E283" s="20"/>
      <c r="F283" s="5"/>
      <c r="G283" s="38"/>
      <c r="H283" s="3"/>
      <c r="J283" s="2"/>
      <c r="K283" s="5"/>
      <c r="L283" s="5"/>
      <c r="N283" s="5"/>
      <c r="O283" s="5"/>
      <c r="P283" s="67"/>
      <c r="Q283" s="67"/>
      <c r="R283" s="67"/>
      <c r="S283" s="67"/>
      <c r="T283" s="67"/>
      <c r="U283" s="67"/>
    </row>
    <row r="284" spans="2:23" ht="19.5" thickTop="1">
      <c r="B284">
        <v>279</v>
      </c>
      <c r="C284" s="36" t="s">
        <v>193</v>
      </c>
      <c r="D284" s="8">
        <f>SUM(D6:D283)</f>
        <v>5798</v>
      </c>
      <c r="E284" s="24">
        <f>SUM(E6:E283)</f>
        <v>5490</v>
      </c>
      <c r="F284" s="11">
        <f>ROUNDDOWN(((D284+E284)*0.1),0)</f>
        <v>1128</v>
      </c>
      <c r="G284" s="18">
        <f>SUM(G6:G283)</f>
        <v>32564</v>
      </c>
      <c r="H284" s="10">
        <f>SUM(H6:H283)</f>
        <v>0</v>
      </c>
      <c r="I284" s="9">
        <f>ROUNDDOWN(((G284+H284)*0.08),0)</f>
        <v>2605</v>
      </c>
      <c r="J284" s="8">
        <f>SUM(J6:J283)</f>
        <v>2578</v>
      </c>
      <c r="K284" s="11"/>
      <c r="L284" s="11">
        <f>SUM(L6:L283)</f>
        <v>3060</v>
      </c>
      <c r="N284" s="11">
        <f>SUM(N6:N283)</f>
        <v>38362</v>
      </c>
      <c r="O284" s="15"/>
      <c r="P284" s="5"/>
      <c r="Q284" s="5"/>
      <c r="R284" s="70">
        <f>SUM(R6:R283)</f>
        <v>288</v>
      </c>
      <c r="S284" s="5"/>
      <c r="T284" s="5"/>
      <c r="U284" s="71">
        <f>SUM(U6:U283)</f>
        <v>1631</v>
      </c>
      <c r="V284" s="14"/>
      <c r="W284" s="14"/>
    </row>
    <row r="285" spans="2:23">
      <c r="B285">
        <v>280</v>
      </c>
      <c r="C285" s="37"/>
      <c r="D285" s="16"/>
      <c r="E285" s="25"/>
      <c r="F285" s="15"/>
      <c r="G285" s="26"/>
      <c r="H285" s="13"/>
      <c r="I285" s="14"/>
      <c r="J285" s="12"/>
      <c r="K285" s="15"/>
      <c r="L285" s="15"/>
      <c r="N285" s="5"/>
      <c r="O285" s="5"/>
      <c r="P285" s="5"/>
      <c r="Q285" s="5"/>
      <c r="R285" s="5"/>
      <c r="S285" s="5"/>
      <c r="T285" s="5"/>
      <c r="U285" s="5"/>
    </row>
    <row r="286" spans="2:23">
      <c r="B286">
        <v>281</v>
      </c>
      <c r="C286" s="37" t="s">
        <v>194</v>
      </c>
      <c r="D286" s="16"/>
      <c r="E286" s="25"/>
      <c r="F286" s="15"/>
      <c r="G286" s="26"/>
      <c r="H286" s="13"/>
      <c r="I286" s="14"/>
      <c r="J286" s="12"/>
      <c r="K286" s="15"/>
      <c r="L286" s="15"/>
      <c r="N286" s="84">
        <f>ROUNDUP(N284*0.05,0)</f>
        <v>1919</v>
      </c>
      <c r="O286" s="5"/>
      <c r="P286" s="5"/>
      <c r="Q286" s="5"/>
      <c r="R286" s="5"/>
      <c r="S286" s="5"/>
      <c r="T286" s="5"/>
      <c r="U286" s="5"/>
    </row>
    <row r="287" spans="2:23">
      <c r="B287">
        <v>281</v>
      </c>
      <c r="C287" s="37" t="s">
        <v>195</v>
      </c>
      <c r="D287" s="68">
        <f>R284</f>
        <v>288</v>
      </c>
      <c r="E287" s="25"/>
      <c r="F287" s="15"/>
      <c r="G287" s="69">
        <f>U284</f>
        <v>1631</v>
      </c>
      <c r="H287" s="13"/>
      <c r="I287" s="14"/>
      <c r="J287" s="12"/>
      <c r="K287" s="15"/>
      <c r="L287" s="15"/>
      <c r="N287" s="5"/>
      <c r="O287" s="5"/>
      <c r="P287" s="5"/>
      <c r="Q287" s="5"/>
      <c r="R287" s="5"/>
      <c r="S287" s="5"/>
      <c r="T287" s="5"/>
      <c r="U287" s="5"/>
    </row>
    <row r="288" spans="2:23">
      <c r="B288">
        <v>282</v>
      </c>
      <c r="C288" s="37"/>
      <c r="D288" s="12"/>
      <c r="E288" s="25"/>
      <c r="F288" s="15"/>
      <c r="G288" s="19"/>
      <c r="H288" s="13"/>
      <c r="I288" s="14"/>
      <c r="J288" s="12"/>
      <c r="K288" s="15"/>
      <c r="L288" s="15"/>
      <c r="N288" s="5"/>
      <c r="O288" s="5"/>
      <c r="P288" s="5"/>
      <c r="Q288" s="5"/>
      <c r="R288" s="5"/>
      <c r="S288" s="5"/>
      <c r="T288" s="5"/>
      <c r="U288" s="5"/>
    </row>
    <row r="289" spans="2:21">
      <c r="B289">
        <v>283</v>
      </c>
      <c r="C289" s="39" t="s">
        <v>196</v>
      </c>
      <c r="D289" s="50">
        <f>D284+E284-D287</f>
        <v>11000</v>
      </c>
      <c r="E289" s="41"/>
      <c r="F289" s="42"/>
      <c r="G289" s="51">
        <f>G284+H284-G287</f>
        <v>30933</v>
      </c>
      <c r="H289" s="43"/>
      <c r="I289" s="44"/>
      <c r="J289" s="40">
        <v>2578</v>
      </c>
      <c r="K289" s="42"/>
      <c r="L289" s="42">
        <v>3060</v>
      </c>
      <c r="N289" s="5"/>
      <c r="O289" s="5"/>
      <c r="P289" s="5"/>
      <c r="Q289" s="5"/>
      <c r="R289" s="5"/>
      <c r="S289" s="5"/>
      <c r="T289" s="5"/>
      <c r="U289" s="5"/>
    </row>
    <row r="290" spans="2:21">
      <c r="B290">
        <v>284</v>
      </c>
      <c r="C290" s="37"/>
      <c r="D290" s="12"/>
      <c r="E290" s="25"/>
      <c r="F290" s="15"/>
      <c r="G290" s="19"/>
      <c r="H290" s="13"/>
      <c r="I290" s="14"/>
      <c r="J290" s="12"/>
      <c r="K290" s="15"/>
      <c r="L290" s="15"/>
      <c r="N290" s="5"/>
      <c r="O290" s="5"/>
      <c r="P290" s="5"/>
      <c r="Q290" s="5"/>
      <c r="R290" s="5"/>
      <c r="S290" s="5"/>
      <c r="T290" s="5"/>
      <c r="U290" s="5"/>
    </row>
    <row r="291" spans="2:21">
      <c r="B291">
        <v>285</v>
      </c>
      <c r="C291" s="52" t="s">
        <v>197</v>
      </c>
      <c r="D291" s="53">
        <v>11000</v>
      </c>
      <c r="E291" s="54"/>
      <c r="F291" s="55"/>
      <c r="G291" s="56">
        <v>30933</v>
      </c>
      <c r="H291" s="57"/>
      <c r="I291" s="58"/>
      <c r="J291" s="53">
        <v>2578</v>
      </c>
      <c r="K291" s="55"/>
      <c r="L291" s="55">
        <v>3060</v>
      </c>
      <c r="N291" s="5"/>
      <c r="O291" s="5"/>
      <c r="P291" s="5"/>
      <c r="Q291" s="5"/>
      <c r="R291" s="5"/>
      <c r="S291" s="5"/>
      <c r="T291" s="5"/>
      <c r="U291" s="5"/>
    </row>
    <row r="292" spans="2:21">
      <c r="B292">
        <v>286</v>
      </c>
      <c r="C292" s="35"/>
      <c r="D292" s="2"/>
      <c r="E292" s="20"/>
      <c r="F292" s="5"/>
      <c r="G292" s="17"/>
      <c r="H292" s="3"/>
      <c r="J292" s="2"/>
      <c r="K292" s="5"/>
      <c r="L292" s="5"/>
      <c r="N292" s="5"/>
      <c r="O292" s="5"/>
      <c r="P292" s="5"/>
      <c r="Q292" s="5"/>
      <c r="R292" s="5"/>
      <c r="S292" s="5"/>
      <c r="T292" s="5"/>
      <c r="U292" s="5"/>
    </row>
    <row r="293" spans="2:21">
      <c r="B293">
        <v>287</v>
      </c>
      <c r="C293" s="72"/>
      <c r="D293" s="73" t="s">
        <v>198</v>
      </c>
      <c r="E293" s="74"/>
      <c r="F293" s="75"/>
      <c r="G293" s="73" t="s">
        <v>199</v>
      </c>
      <c r="H293" s="76"/>
      <c r="I293" s="77"/>
      <c r="J293" s="73"/>
      <c r="K293" s="75"/>
      <c r="L293" s="75"/>
      <c r="N293" s="75"/>
      <c r="O293" s="5"/>
      <c r="P293" s="75"/>
      <c r="Q293" s="75"/>
      <c r="R293" s="75"/>
      <c r="S293" s="75"/>
      <c r="T293" s="75"/>
      <c r="U293" s="75"/>
    </row>
    <row r="296" spans="2:21">
      <c r="H296" s="38"/>
    </row>
    <row r="297" spans="2:21">
      <c r="D297" s="14"/>
    </row>
    <row r="299" spans="2:21">
      <c r="Q299">
        <v>49490</v>
      </c>
    </row>
    <row r="300" spans="2:21">
      <c r="Q300">
        <v>1919</v>
      </c>
    </row>
    <row r="301" spans="2:21">
      <c r="Q301">
        <f>Q299-Q300</f>
        <v>47571</v>
      </c>
    </row>
  </sheetData>
  <sortState xmlns:xlrd2="http://schemas.microsoft.com/office/spreadsheetml/2017/richdata2" ref="B6:U277">
    <sortCondition descending="1" ref="N6:N277"/>
  </sortState>
  <mergeCells count="7">
    <mergeCell ref="D4:E4"/>
    <mergeCell ref="G4:H4"/>
    <mergeCell ref="D2:I2"/>
    <mergeCell ref="J2:K2"/>
    <mergeCell ref="D3:F3"/>
    <mergeCell ref="G3:I3"/>
    <mergeCell ref="J3:K3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3E1E34-1689-4E93-94FF-3616110BF267}"/>
</file>

<file path=customXml/itemProps2.xml><?xml version="1.0" encoding="utf-8"?>
<ds:datastoreItem xmlns:ds="http://schemas.openxmlformats.org/officeDocument/2006/customXml" ds:itemID="{795CC5EF-B73B-4A5F-9D3D-CDB030EA7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A985B-97BC-45EE-8777-2D769BD12B10}">
  <ds:schemaRefs>
    <ds:schemaRef ds:uri="http://schemas.microsoft.com/office/2006/metadata/properties"/>
    <ds:schemaRef ds:uri="http://schemas.microsoft.com/office/infopath/2007/PartnerControls"/>
    <ds:schemaRef ds:uri="daf89b5b-bbad-4309-9981-305d79e5980c"/>
    <ds:schemaRef ds:uri="12511b1c-3e11-4df6-bc2c-fe16eb27e0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計算仕様抜粋</vt:lpstr>
      <vt:lpstr>本体価格の降順でソート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Fujimura, Hitoshi/藤村 均</dc:creator>
  <cp:keywords/>
  <dc:description/>
  <cp:lastModifiedBy>Thanh Nguyên</cp:lastModifiedBy>
  <cp:revision/>
  <dcterms:created xsi:type="dcterms:W3CDTF">2015-06-05T18:19:34Z</dcterms:created>
  <dcterms:modified xsi:type="dcterms:W3CDTF">2025-02-06T13:05:57Z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2025-01-27T12:36:10Z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4de3c7bc-dd39-4a9e-91d9-1f72fdf450bc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