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TC\OneDrive - 株式会社カスミ\代表ストコン\31.寺岡POS実績テスト\●値引売上関連テスト\値引仕様\"/>
    </mc:Choice>
  </mc:AlternateContent>
  <xr:revisionPtr revIDLastSave="414" documentId="13_ncr:4000b_{20F443C2-E3A8-4C73-8BD1-0C80D1B3F584}" xr6:coauthVersionLast="44" xr6:coauthVersionMax="44" xr10:uidLastSave="{3F44D845-7E06-4D98-A228-6B1FDC2200E2}"/>
  <bookViews>
    <workbookView xWindow="-120" yWindow="-120" windowWidth="20730" windowHeight="11160" activeTab="1" xr2:uid="{00000000-000D-0000-FFFF-FFFF00000000}"/>
  </bookViews>
  <sheets>
    <sheet name="小計値引（マニュアル）" sheetId="20" r:id="rId1"/>
    <sheet name="小計値引（マニュアル）　図" sheetId="2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54" i="21" l="1"/>
  <c r="I30" i="21"/>
  <c r="I6" i="21"/>
  <c r="E12" i="21"/>
  <c r="H54" i="21" l="1"/>
  <c r="H30" i="21"/>
  <c r="H6" i="21" l="1"/>
</calcChain>
</file>

<file path=xl/sharedStrings.xml><?xml version="1.0" encoding="utf-8"?>
<sst xmlns="http://schemas.openxmlformats.org/spreadsheetml/2006/main" count="90" uniqueCount="48">
  <si>
    <t>値引コード</t>
  </si>
  <si>
    <t>値引種別</t>
  </si>
  <si>
    <t>値引名称</t>
  </si>
  <si>
    <t>値引パターン</t>
    <rPh sb="0" eb="2">
      <t>ネビキ</t>
    </rPh>
    <phoneticPr fontId="1"/>
  </si>
  <si>
    <t>値引内容</t>
    <rPh sb="0" eb="2">
      <t>ネビキ</t>
    </rPh>
    <rPh sb="2" eb="4">
      <t>ナイヨウ</t>
    </rPh>
    <phoneticPr fontId="1"/>
  </si>
  <si>
    <t>計算内容</t>
    <rPh sb="0" eb="2">
      <t>ケイサン</t>
    </rPh>
    <rPh sb="2" eb="4">
      <t>ナイヨウ</t>
    </rPh>
    <phoneticPr fontId="1"/>
  </si>
  <si>
    <t>備考</t>
    <rPh sb="0" eb="2">
      <t>ビコウ</t>
    </rPh>
    <phoneticPr fontId="1"/>
  </si>
  <si>
    <t>小計値引（マニュアル）</t>
  </si>
  <si>
    <t>朝割り（自動）</t>
    <rPh sb="0" eb="1">
      <t>アサ</t>
    </rPh>
    <rPh sb="1" eb="2">
      <t>ワ</t>
    </rPh>
    <rPh sb="4" eb="6">
      <t>ジドウ</t>
    </rPh>
    <phoneticPr fontId="1"/>
  </si>
  <si>
    <t>メガ割（自動）</t>
    <phoneticPr fontId="1"/>
  </si>
  <si>
    <t>クレジット割（自動）</t>
    <phoneticPr fontId="1"/>
  </si>
  <si>
    <t>値引パターン</t>
    <rPh sb="0" eb="2">
      <t>ネビキ</t>
    </rPh>
    <phoneticPr fontId="6"/>
  </si>
  <si>
    <t>定番売価1個300円の商品を</t>
  </si>
  <si>
    <t>定番売価
300円</t>
    <rPh sb="0" eb="2">
      <t>テイバン</t>
    </rPh>
    <rPh sb="2" eb="4">
      <t>バイカ</t>
    </rPh>
    <rPh sb="8" eb="9">
      <t>エン</t>
    </rPh>
    <phoneticPr fontId="1"/>
  </si>
  <si>
    <t>値引額</t>
    <rPh sb="0" eb="2">
      <t>ネビキ</t>
    </rPh>
    <rPh sb="2" eb="3">
      <t>ガク</t>
    </rPh>
    <phoneticPr fontId="1"/>
  </si>
  <si>
    <t>販売額</t>
    <rPh sb="0" eb="2">
      <t>ハンバイ</t>
    </rPh>
    <rPh sb="2" eb="3">
      <t>ガク</t>
    </rPh>
    <phoneticPr fontId="6"/>
  </si>
  <si>
    <t>＜値引実績作成＞</t>
    <rPh sb="1" eb="3">
      <t>ネビキ</t>
    </rPh>
    <rPh sb="3" eb="5">
      <t>ジッセキ</t>
    </rPh>
    <rPh sb="5" eb="7">
      <t>サクセイ</t>
    </rPh>
    <phoneticPr fontId="6"/>
  </si>
  <si>
    <t>値引コード</t>
    <rPh sb="0" eb="2">
      <t>ネビキ</t>
    </rPh>
    <phoneticPr fontId="1"/>
  </si>
  <si>
    <t>値引種別</t>
    <rPh sb="0" eb="2">
      <t>ネビ</t>
    </rPh>
    <rPh sb="2" eb="4">
      <t>シュベツ</t>
    </rPh>
    <phoneticPr fontId="6"/>
  </si>
  <si>
    <t>値引名称</t>
    <rPh sb="0" eb="2">
      <t>ネビ</t>
    </rPh>
    <rPh sb="2" eb="4">
      <t>メイショウ</t>
    </rPh>
    <phoneticPr fontId="6"/>
  </si>
  <si>
    <t>小計値引（マニュアル）</t>
    <phoneticPr fontId="1"/>
  </si>
  <si>
    <t>小計値引（マニュアル）値引実績計算（GHPLUDISC出力仕様）</t>
    <rPh sb="0" eb="2">
      <t>ショウケイ</t>
    </rPh>
    <rPh sb="2" eb="4">
      <t>ネビキ</t>
    </rPh>
    <rPh sb="11" eb="13">
      <t>ネビキ</t>
    </rPh>
    <rPh sb="13" eb="15">
      <t>ジッセキ</t>
    </rPh>
    <rPh sb="15" eb="17">
      <t>ケイサン</t>
    </rPh>
    <rPh sb="27" eb="29">
      <t>シュツリョク</t>
    </rPh>
    <rPh sb="29" eb="31">
      <t>シヨウ</t>
    </rPh>
    <phoneticPr fontId="1"/>
  </si>
  <si>
    <t>小計値引（マニュアル）</t>
    <phoneticPr fontId="6"/>
  </si>
  <si>
    <t>値引額　30円</t>
    <rPh sb="0" eb="2">
      <t>ネビキ</t>
    </rPh>
    <rPh sb="2" eb="3">
      <t>ガク</t>
    </rPh>
    <rPh sb="6" eb="7">
      <t>エン</t>
    </rPh>
    <phoneticPr fontId="6"/>
  </si>
  <si>
    <t>朝割り（自動）</t>
    <phoneticPr fontId="6"/>
  </si>
  <si>
    <t>朝割り（自動）後額
270円</t>
    <rPh sb="0" eb="1">
      <t>アサ</t>
    </rPh>
    <rPh sb="1" eb="2">
      <t>ワ</t>
    </rPh>
    <rPh sb="4" eb="6">
      <t>ジドウ</t>
    </rPh>
    <rPh sb="7" eb="8">
      <t>ノチ</t>
    </rPh>
    <rPh sb="8" eb="9">
      <t>ガク</t>
    </rPh>
    <rPh sb="13" eb="14">
      <t>エン</t>
    </rPh>
    <phoneticPr fontId="1"/>
  </si>
  <si>
    <t>合算で作成</t>
    <rPh sb="0" eb="2">
      <t>ガッサン</t>
    </rPh>
    <rPh sb="3" eb="5">
      <t>サクセイ</t>
    </rPh>
    <phoneticPr fontId="6"/>
  </si>
  <si>
    <t>※ 実績は合算で作成</t>
    <rPh sb="2" eb="4">
      <t>ジッセキ</t>
    </rPh>
    <rPh sb="5" eb="7">
      <t>ガッサン</t>
    </rPh>
    <rPh sb="8" eb="10">
      <t>サクセイ</t>
    </rPh>
    <phoneticPr fontId="6"/>
  </si>
  <si>
    <t>メガ割（自動）</t>
    <phoneticPr fontId="6"/>
  </si>
  <si>
    <t>メガ割（自動）後額
270円</t>
    <rPh sb="7" eb="8">
      <t>ノチ</t>
    </rPh>
    <rPh sb="8" eb="9">
      <t>ガク</t>
    </rPh>
    <rPh sb="13" eb="14">
      <t>エン</t>
    </rPh>
    <phoneticPr fontId="1"/>
  </si>
  <si>
    <t>クレジット割（自動）</t>
    <phoneticPr fontId="6"/>
  </si>
  <si>
    <t>クレジット割（自動）後額
270円</t>
    <rPh sb="5" eb="6">
      <t>ワリ</t>
    </rPh>
    <rPh sb="7" eb="9">
      <t>ジドウ</t>
    </rPh>
    <rPh sb="10" eb="11">
      <t>ノチ</t>
    </rPh>
    <rPh sb="11" eb="12">
      <t>ガク</t>
    </rPh>
    <rPh sb="16" eb="17">
      <t>エン</t>
    </rPh>
    <phoneticPr fontId="1"/>
  </si>
  <si>
    <t>小計割引（マニュアル）値引実績計算_図</t>
    <rPh sb="11" eb="13">
      <t>ネビキ</t>
    </rPh>
    <rPh sb="13" eb="15">
      <t>ジッセキ</t>
    </rPh>
    <rPh sb="15" eb="17">
      <t>ケイサン</t>
    </rPh>
    <rPh sb="18" eb="19">
      <t>ズ</t>
    </rPh>
    <phoneticPr fontId="1"/>
  </si>
  <si>
    <t>小計割引（マニュアル）</t>
  </si>
  <si>
    <t>小計値引（マニュアル）</t>
    <rPh sb="2" eb="4">
      <t>ネビキ</t>
    </rPh>
    <phoneticPr fontId="6"/>
  </si>
  <si>
    <t>値引額 　27円</t>
    <rPh sb="7" eb="8">
      <t>エン</t>
    </rPh>
    <phoneticPr fontId="6"/>
  </si>
  <si>
    <t>販売額
243円</t>
    <rPh sb="0" eb="2">
      <t>ハンバイ</t>
    </rPh>
    <rPh sb="2" eb="3">
      <t>ガク</t>
    </rPh>
    <rPh sb="7" eb="8">
      <t>エン</t>
    </rPh>
    <phoneticPr fontId="1"/>
  </si>
  <si>
    <t>30
定番売価×朝割り（自動）</t>
    <rPh sb="3" eb="5">
      <t>テイバン</t>
    </rPh>
    <rPh sb="5" eb="7">
      <t>バイカ</t>
    </rPh>
    <phoneticPr fontId="6"/>
  </si>
  <si>
    <t>27
小計×小計割引（マニュアル）</t>
    <rPh sb="3" eb="5">
      <t>ショウケイ</t>
    </rPh>
    <phoneticPr fontId="6"/>
  </si>
  <si>
    <t>30
定番売価×メガ割（自動）</t>
    <rPh sb="3" eb="5">
      <t>テイバン</t>
    </rPh>
    <rPh sb="5" eb="7">
      <t>バイカ</t>
    </rPh>
    <phoneticPr fontId="6"/>
  </si>
  <si>
    <t>30
定番売価×クレジット割（自動）</t>
    <rPh sb="3" eb="5">
      <t>テイバン</t>
    </rPh>
    <rPh sb="5" eb="7">
      <t>バイカ</t>
    </rPh>
    <phoneticPr fontId="6"/>
  </si>
  <si>
    <t>定番売価×朝割り（自動）</t>
    <rPh sb="0" eb="2">
      <t>テイバン</t>
    </rPh>
    <rPh sb="2" eb="4">
      <t>バイカ</t>
    </rPh>
    <rPh sb="5" eb="6">
      <t>アサ</t>
    </rPh>
    <rPh sb="6" eb="7">
      <t>ワ</t>
    </rPh>
    <rPh sb="9" eb="11">
      <t>ジドウ</t>
    </rPh>
    <phoneticPr fontId="1"/>
  </si>
  <si>
    <t>小計×小計割引（マニュアル）</t>
    <phoneticPr fontId="1"/>
  </si>
  <si>
    <t>定番売価×メガ割（自動）</t>
    <rPh sb="0" eb="2">
      <t>テイバン</t>
    </rPh>
    <rPh sb="2" eb="4">
      <t>バイカ</t>
    </rPh>
    <rPh sb="7" eb="8">
      <t>ワリ</t>
    </rPh>
    <rPh sb="9" eb="11">
      <t>ジドウ</t>
    </rPh>
    <phoneticPr fontId="1"/>
  </si>
  <si>
    <t>定番売価×クレジット割（自動）</t>
    <rPh sb="0" eb="2">
      <t>テイバン</t>
    </rPh>
    <rPh sb="2" eb="4">
      <t>バイカ</t>
    </rPh>
    <rPh sb="10" eb="11">
      <t>ワリ</t>
    </rPh>
    <rPh sb="12" eb="14">
      <t>ジドウ</t>
    </rPh>
    <phoneticPr fontId="1"/>
  </si>
  <si>
    <t>朝割り（自動）／小計割引（マニュアル）</t>
    <phoneticPr fontId="6"/>
  </si>
  <si>
    <t>メガ割（自動）／小計割引（マニュアル）</t>
    <phoneticPr fontId="6"/>
  </si>
  <si>
    <t>クレジット割（自動）／小計割引（マニュアル）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</si>
</sst>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6"/>
      <name val="游ゴシック"/>
      <family val="3"/>
      <charset val="128"/>
      <scheme val="minor"/>
    </font>
    <font>
      <b/>
      <sz val="14"/>
      <color theme="1"/>
      <name val="ＭＳ ゴシック"/>
      <family val="3"/>
      <charset val="128"/>
    </font>
    <font>
      <sz val="14"/>
      <color theme="1"/>
      <name val="游ゴシック"/>
      <family val="3"/>
      <charset val="128"/>
      <scheme val="minor"/>
    </font>
    <font>
      <b/>
      <sz val="11"/>
      <color theme="1"/>
      <name val="ＭＳ ゴシック"/>
      <family val="3"/>
      <charset val="128"/>
    </font>
    <font>
      <sz val="11"/>
      <color rgb="FFFF000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55">
    <xf numFmtId="0" fontId="0" fillId="0" borderId="0" xfId="0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6" xfId="1" applyFont="1" applyBorder="1" applyAlignment="1">
      <alignment wrapText="1"/>
    </xf>
    <xf numFmtId="0" fontId="4" fillId="0" borderId="8" xfId="1" applyFont="1" applyBorder="1" applyAlignment="1">
      <alignment wrapText="1"/>
    </xf>
    <xf numFmtId="0" fontId="4" fillId="0" borderId="10" xfId="1" applyFont="1" applyBorder="1" applyAlignment="1">
      <alignment wrapText="1"/>
    </xf>
    <xf numFmtId="0" fontId="9" fillId="0" borderId="0" xfId="0" applyFont="1">
      <alignment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>
      <alignment vertical="center"/>
    </xf>
    <xf numFmtId="0" fontId="2" fillId="0" borderId="16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17" xfId="0" applyFont="1" applyBorder="1">
      <alignment vertical="center"/>
    </xf>
    <xf numFmtId="0" fontId="10" fillId="0" borderId="16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5" fillId="0" borderId="6" xfId="0" applyFont="1" applyBorder="1">
      <alignment vertical="center"/>
    </xf>
    <xf numFmtId="0" fontId="5" fillId="0" borderId="10" xfId="0" applyFont="1" applyBorder="1">
      <alignment vertical="center"/>
    </xf>
    <xf numFmtId="0" fontId="5" fillId="0" borderId="8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>
      <alignment vertical="center"/>
    </xf>
    <xf numFmtId="0" fontId="5" fillId="0" borderId="5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6" xfId="0" applyFont="1" applyBorder="1">
      <alignment vertical="center"/>
    </xf>
    <xf numFmtId="0" fontId="5" fillId="0" borderId="10" xfId="0" applyFont="1" applyBorder="1">
      <alignment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>
      <alignment vertical="center"/>
    </xf>
    <xf numFmtId="0" fontId="5" fillId="0" borderId="21" xfId="0" applyFont="1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2" xfId="0" applyBorder="1" applyAlignment="1">
      <alignment vertical="center"/>
    </xf>
    <xf numFmtId="0" fontId="5" fillId="3" borderId="8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/>
    </xf>
    <xf numFmtId="0" fontId="0" fillId="0" borderId="12" xfId="0" applyBorder="1" applyAlignment="1">
      <alignment vertical="center"/>
    </xf>
    <xf numFmtId="0" fontId="0" fillId="0" borderId="11" xfId="0" applyBorder="1" applyAlignment="1">
      <alignment vertical="center"/>
    </xf>
    <xf numFmtId="0" fontId="5" fillId="2" borderId="8" xfId="0" applyFont="1" applyFill="1" applyBorder="1" applyAlignment="1">
      <alignment horizontal="center" vertical="center" wrapText="1"/>
    </xf>
  </cellXfs>
  <cellStyles count="2">
    <cellStyle name="標準" xfId="0" builtinId="0"/>
    <cellStyle name="標準_Sheet4" xfId="1" xr:uid="{8FB1C788-EC2D-444C-8A7F-944E78F7AD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B19B8-1E32-407A-833C-C9D538F96ECC}">
  <sheetPr>
    <pageSetUpPr fitToPage="1"/>
  </sheetPr>
  <dimension ref="A1:G9"/>
  <sheetViews>
    <sheetView zoomScale="85" zoomScaleNormal="85" workbookViewId="0">
      <selection activeCell="C4" sqref="C4"/>
    </sheetView>
  </sheetViews>
  <sheetFormatPr defaultRowHeight="27.75" customHeight="1" x14ac:dyDescent="0.4"/>
  <cols>
    <col min="1" max="1" width="13.875" style="1" bestFit="1" customWidth="1"/>
    <col min="2" max="2" width="25" style="2" bestFit="1" customWidth="1"/>
    <col min="3" max="3" width="33.875" style="2" bestFit="1" customWidth="1"/>
    <col min="4" max="4" width="11.625" style="2" bestFit="1" customWidth="1"/>
    <col min="5" max="5" width="9.5" style="2" bestFit="1" customWidth="1"/>
    <col min="6" max="6" width="29.375" style="2" bestFit="1" customWidth="1"/>
    <col min="7" max="7" width="31.625" style="2" customWidth="1"/>
    <col min="8" max="16384" width="9" style="2"/>
  </cols>
  <sheetData>
    <row r="1" spans="1:7" ht="27.75" customHeight="1" x14ac:dyDescent="0.4">
      <c r="A1" s="34" t="s">
        <v>21</v>
      </c>
      <c r="B1" s="35"/>
      <c r="C1" s="35"/>
      <c r="D1" s="35"/>
      <c r="E1" s="35"/>
      <c r="F1" s="35"/>
      <c r="G1" s="36"/>
    </row>
    <row r="2" spans="1:7" ht="27.75" customHeight="1" thickBot="1" x14ac:dyDescent="0.45"/>
    <row r="3" spans="1:7" s="1" customFormat="1" ht="25.5" customHeight="1" thickBot="1" x14ac:dyDescent="0.45">
      <c r="A3" s="5" t="s">
        <v>3</v>
      </c>
      <c r="B3" s="6" t="s">
        <v>4</v>
      </c>
      <c r="C3" s="6" t="s">
        <v>5</v>
      </c>
      <c r="D3" s="7" t="s">
        <v>0</v>
      </c>
      <c r="E3" s="7" t="s">
        <v>1</v>
      </c>
      <c r="F3" s="6" t="s">
        <v>2</v>
      </c>
      <c r="G3" s="8" t="s">
        <v>6</v>
      </c>
    </row>
    <row r="4" spans="1:7" ht="25.5" customHeight="1" x14ac:dyDescent="0.15">
      <c r="A4" s="37">
        <v>1</v>
      </c>
      <c r="B4" s="39" t="s">
        <v>8</v>
      </c>
      <c r="C4" s="30" t="s">
        <v>41</v>
      </c>
      <c r="D4" s="9">
        <v>91400</v>
      </c>
      <c r="E4" s="9">
        <v>14</v>
      </c>
      <c r="F4" s="30" t="s">
        <v>20</v>
      </c>
      <c r="G4" s="43" t="s">
        <v>26</v>
      </c>
    </row>
    <row r="5" spans="1:7" ht="25.5" customHeight="1" thickBot="1" x14ac:dyDescent="0.2">
      <c r="A5" s="41"/>
      <c r="B5" s="42"/>
      <c r="C5" s="32" t="s">
        <v>42</v>
      </c>
      <c r="D5" s="10">
        <v>91400</v>
      </c>
      <c r="E5" s="10">
        <v>14</v>
      </c>
      <c r="F5" s="32" t="s">
        <v>7</v>
      </c>
      <c r="G5" s="44"/>
    </row>
    <row r="6" spans="1:7" ht="25.5" customHeight="1" x14ac:dyDescent="0.15">
      <c r="A6" s="37">
        <v>2</v>
      </c>
      <c r="B6" s="39" t="s">
        <v>9</v>
      </c>
      <c r="C6" s="30" t="s">
        <v>43</v>
      </c>
      <c r="D6" s="9">
        <v>91400</v>
      </c>
      <c r="E6" s="9">
        <v>14</v>
      </c>
      <c r="F6" s="30" t="s">
        <v>20</v>
      </c>
      <c r="G6" s="43" t="s">
        <v>26</v>
      </c>
    </row>
    <row r="7" spans="1:7" ht="25.5" customHeight="1" thickBot="1" x14ac:dyDescent="0.2">
      <c r="A7" s="41"/>
      <c r="B7" s="42"/>
      <c r="C7" s="32" t="s">
        <v>42</v>
      </c>
      <c r="D7" s="10">
        <v>91400</v>
      </c>
      <c r="E7" s="10">
        <v>14</v>
      </c>
      <c r="F7" s="32" t="s">
        <v>22</v>
      </c>
      <c r="G7" s="44"/>
    </row>
    <row r="8" spans="1:7" ht="25.5" customHeight="1" x14ac:dyDescent="0.15">
      <c r="A8" s="37">
        <v>3</v>
      </c>
      <c r="B8" s="39" t="s">
        <v>10</v>
      </c>
      <c r="C8" s="30" t="s">
        <v>44</v>
      </c>
      <c r="D8" s="9">
        <v>91400</v>
      </c>
      <c r="E8" s="9">
        <v>14</v>
      </c>
      <c r="F8" s="30" t="s">
        <v>20</v>
      </c>
      <c r="G8" s="43" t="s">
        <v>26</v>
      </c>
    </row>
    <row r="9" spans="1:7" ht="25.5" customHeight="1" thickBot="1" x14ac:dyDescent="0.2">
      <c r="A9" s="38"/>
      <c r="B9" s="40"/>
      <c r="C9" s="31" t="s">
        <v>42</v>
      </c>
      <c r="D9" s="11">
        <v>91400</v>
      </c>
      <c r="E9" s="11">
        <v>14</v>
      </c>
      <c r="F9" s="31" t="s">
        <v>7</v>
      </c>
      <c r="G9" s="45"/>
    </row>
  </sheetData>
  <mergeCells count="10">
    <mergeCell ref="A1:G1"/>
    <mergeCell ref="A8:A9"/>
    <mergeCell ref="B8:B9"/>
    <mergeCell ref="A4:A5"/>
    <mergeCell ref="B4:B5"/>
    <mergeCell ref="A6:A7"/>
    <mergeCell ref="B6:B7"/>
    <mergeCell ref="G4:G5"/>
    <mergeCell ref="G6:G7"/>
    <mergeCell ref="G8:G9"/>
  </mergeCells>
  <phoneticPr fontId="6"/>
  <pageMargins left="0.70866141732283472" right="0.70866141732283472" top="0.35433070866141736" bottom="0.15748031496062992" header="0.31496062992125984" footer="0.31496062992125984"/>
  <pageSetup paperSize="9" scale="5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68E9C-0AF8-4C90-9C7C-8821B28BEE12}">
  <dimension ref="A1:J74"/>
  <sheetViews>
    <sheetView tabSelected="1" topLeftCell="D46" workbookViewId="0">
      <selection activeCell="E54" sqref="E54"/>
    </sheetView>
  </sheetViews>
  <sheetFormatPr defaultRowHeight="18.75" x14ac:dyDescent="0.4"/>
  <cols>
    <col min="1" max="1" width="4.75" customWidth="1"/>
    <col min="2" max="3" width="3.375" customWidth="1"/>
    <col min="4" max="4" width="13.875" bestFit="1" customWidth="1"/>
    <col min="5" max="5" width="49.375" bestFit="1" customWidth="1"/>
    <col min="7" max="7" width="9.5" bestFit="1" customWidth="1"/>
    <col min="8" max="8" width="36.125" bestFit="1" customWidth="1"/>
    <col min="9" max="9" width="43.125" customWidth="1"/>
  </cols>
  <sheetData>
    <row r="1" spans="1:10" x14ac:dyDescent="0.4">
      <c r="A1" s="12" t="s">
        <v>32</v>
      </c>
    </row>
    <row r="2" spans="1:10" ht="19.5" thickBot="1" x14ac:dyDescent="0.45"/>
    <row r="3" spans="1:10" s="2" customFormat="1" ht="13.5" x14ac:dyDescent="0.4">
      <c r="D3" s="13" t="s">
        <v>11</v>
      </c>
      <c r="E3" s="14"/>
      <c r="F3" s="14"/>
      <c r="G3" s="14"/>
      <c r="H3" s="14"/>
      <c r="I3" s="14"/>
      <c r="J3" s="15"/>
    </row>
    <row r="4" spans="1:10" s="2" customFormat="1" ht="13.5" x14ac:dyDescent="0.4">
      <c r="D4" s="16">
        <v>1</v>
      </c>
      <c r="E4" s="17" t="s">
        <v>24</v>
      </c>
      <c r="F4" s="17"/>
      <c r="G4" s="17"/>
      <c r="H4" s="1"/>
      <c r="I4" s="1"/>
      <c r="J4" s="18"/>
    </row>
    <row r="5" spans="1:10" s="2" customFormat="1" ht="13.5" x14ac:dyDescent="0.4">
      <c r="D5" s="19"/>
      <c r="E5" s="17"/>
      <c r="F5" s="17"/>
      <c r="G5" s="17"/>
      <c r="H5" s="1"/>
      <c r="I5" s="1"/>
      <c r="J5" s="18"/>
    </row>
    <row r="6" spans="1:10" s="1" customFormat="1" ht="13.5" x14ac:dyDescent="0.4">
      <c r="D6" s="20"/>
      <c r="E6" s="1" t="s">
        <v>12</v>
      </c>
      <c r="H6" s="1" t="str">
        <f>H8&amp;"％の朝割り（自動）"</f>
        <v>10％の朝割り（自動）</v>
      </c>
      <c r="I6" s="1" t="str">
        <f>I8&amp;"％の小計割引（マニュアル）"</f>
        <v>10％の小計割引（マニュアル）</v>
      </c>
      <c r="J6" s="21"/>
    </row>
    <row r="7" spans="1:10" s="2" customFormat="1" ht="13.5" x14ac:dyDescent="0.4">
      <c r="D7" s="20"/>
      <c r="E7" s="3"/>
      <c r="G7" s="17"/>
      <c r="H7" s="1"/>
      <c r="I7" s="1"/>
      <c r="J7" s="18"/>
    </row>
    <row r="8" spans="1:10" s="2" customFormat="1" ht="13.5" x14ac:dyDescent="0.4">
      <c r="D8" s="20"/>
      <c r="E8" s="3" t="s">
        <v>45</v>
      </c>
      <c r="G8" s="1"/>
      <c r="H8" s="1">
        <v>10</v>
      </c>
      <c r="I8" s="1">
        <v>10</v>
      </c>
      <c r="J8" s="18"/>
    </row>
    <row r="9" spans="1:10" s="2" customFormat="1" ht="13.5" x14ac:dyDescent="0.4">
      <c r="D9" s="20"/>
      <c r="E9" s="1"/>
      <c r="G9" s="1"/>
      <c r="H9" s="1"/>
      <c r="I9" s="1"/>
      <c r="J9" s="18"/>
    </row>
    <row r="10" spans="1:10" s="2" customFormat="1" ht="13.5" x14ac:dyDescent="0.4">
      <c r="D10" s="20"/>
      <c r="E10" s="1">
        <v>450</v>
      </c>
      <c r="G10" s="1"/>
      <c r="H10" s="1"/>
      <c r="I10" s="1"/>
      <c r="J10" s="18"/>
    </row>
    <row r="11" spans="1:10" s="2" customFormat="1" ht="13.5" x14ac:dyDescent="0.4">
      <c r="D11" s="20"/>
      <c r="E11" s="1">
        <v>15</v>
      </c>
      <c r="G11" s="46" t="s">
        <v>13</v>
      </c>
      <c r="H11" s="22" t="s">
        <v>23</v>
      </c>
      <c r="J11" s="18"/>
    </row>
    <row r="12" spans="1:10" s="2" customFormat="1" ht="13.5" customHeight="1" x14ac:dyDescent="0.4">
      <c r="D12" s="20"/>
      <c r="E12" s="1">
        <f>E10*E11/100</f>
        <v>67.5</v>
      </c>
      <c r="G12" s="47"/>
      <c r="H12" s="51" t="s">
        <v>25</v>
      </c>
      <c r="I12" s="22" t="s">
        <v>35</v>
      </c>
      <c r="J12" s="18"/>
    </row>
    <row r="13" spans="1:10" s="2" customFormat="1" ht="13.5" customHeight="1" x14ac:dyDescent="0.4">
      <c r="D13" s="20"/>
      <c r="E13" s="1"/>
      <c r="G13" s="47"/>
      <c r="H13" s="52"/>
      <c r="I13" s="54" t="s">
        <v>36</v>
      </c>
      <c r="J13" s="18"/>
    </row>
    <row r="14" spans="1:10" s="2" customFormat="1" ht="13.5" customHeight="1" x14ac:dyDescent="0.4">
      <c r="D14" s="20"/>
      <c r="E14" s="1"/>
      <c r="G14" s="47"/>
      <c r="H14" s="52"/>
      <c r="I14" s="52"/>
      <c r="J14" s="18"/>
    </row>
    <row r="15" spans="1:10" s="2" customFormat="1" ht="13.5" customHeight="1" x14ac:dyDescent="0.4">
      <c r="D15" s="20"/>
      <c r="E15" s="1"/>
      <c r="G15" s="47"/>
      <c r="H15" s="52"/>
      <c r="I15" s="52"/>
      <c r="J15" s="18"/>
    </row>
    <row r="16" spans="1:10" s="2" customFormat="1" ht="13.5" customHeight="1" x14ac:dyDescent="0.4">
      <c r="D16" s="20"/>
      <c r="E16" s="1"/>
      <c r="G16" s="48"/>
      <c r="H16" s="53"/>
      <c r="I16" s="53"/>
      <c r="J16" s="18"/>
    </row>
    <row r="17" spans="4:10" s="2" customFormat="1" ht="13.5" customHeight="1" x14ac:dyDescent="0.4">
      <c r="D17" s="20"/>
      <c r="E17" s="23" t="s">
        <v>14</v>
      </c>
      <c r="G17" s="23"/>
      <c r="H17" s="28">
        <v>30</v>
      </c>
      <c r="I17" s="4">
        <v>27</v>
      </c>
      <c r="J17" s="18"/>
    </row>
    <row r="18" spans="4:10" s="2" customFormat="1" x14ac:dyDescent="0.4">
      <c r="D18" s="20"/>
      <c r="E18" s="23" t="s">
        <v>15</v>
      </c>
      <c r="F18" s="23"/>
      <c r="G18" s="23"/>
      <c r="H18" s="49">
        <v>243</v>
      </c>
      <c r="I18" s="50"/>
      <c r="J18" s="18"/>
    </row>
    <row r="19" spans="4:10" s="2" customFormat="1" ht="13.5" x14ac:dyDescent="0.4">
      <c r="D19" s="20"/>
      <c r="E19" s="23"/>
      <c r="F19" s="23"/>
      <c r="G19" s="23"/>
      <c r="H19" s="1"/>
      <c r="I19" s="1"/>
      <c r="J19" s="18"/>
    </row>
    <row r="20" spans="4:10" s="2" customFormat="1" ht="13.5" x14ac:dyDescent="0.4">
      <c r="D20" s="20"/>
      <c r="E20" s="23" t="s">
        <v>16</v>
      </c>
      <c r="F20" s="23"/>
      <c r="G20" s="23"/>
      <c r="H20" s="1"/>
      <c r="I20" s="1"/>
      <c r="J20" s="18"/>
    </row>
    <row r="21" spans="4:10" s="2" customFormat="1" ht="13.5" x14ac:dyDescent="0.4">
      <c r="D21" s="20"/>
      <c r="E21" s="24" t="s">
        <v>17</v>
      </c>
      <c r="F21" s="24"/>
      <c r="G21" s="23"/>
      <c r="H21" s="1">
        <v>91440</v>
      </c>
      <c r="I21" s="1">
        <v>91440</v>
      </c>
      <c r="J21" s="18"/>
    </row>
    <row r="22" spans="4:10" s="2" customFormat="1" ht="13.5" x14ac:dyDescent="0.4">
      <c r="D22" s="20"/>
      <c r="E22" s="24" t="s">
        <v>18</v>
      </c>
      <c r="F22" s="24"/>
      <c r="G22" s="23"/>
      <c r="H22" s="1">
        <v>14</v>
      </c>
      <c r="I22" s="1">
        <v>14</v>
      </c>
      <c r="J22" s="18"/>
    </row>
    <row r="23" spans="4:10" s="2" customFormat="1" ht="13.5" x14ac:dyDescent="0.4">
      <c r="D23" s="20"/>
      <c r="E23" s="24" t="s">
        <v>19</v>
      </c>
      <c r="F23" s="24"/>
      <c r="G23" s="23"/>
      <c r="H23" s="23" t="s">
        <v>33</v>
      </c>
      <c r="I23" s="23" t="s">
        <v>34</v>
      </c>
      <c r="J23" s="18"/>
    </row>
    <row r="24" spans="4:10" s="2" customFormat="1" ht="27" x14ac:dyDescent="0.4">
      <c r="D24" s="20"/>
      <c r="E24" s="23" t="s">
        <v>14</v>
      </c>
      <c r="F24" s="23"/>
      <c r="G24" s="23"/>
      <c r="H24" s="23" t="s">
        <v>37</v>
      </c>
      <c r="I24" s="23" t="s">
        <v>38</v>
      </c>
      <c r="J24" s="18"/>
    </row>
    <row r="25" spans="4:10" s="2" customFormat="1" ht="13.5" x14ac:dyDescent="0.4">
      <c r="D25" s="20"/>
      <c r="E25" s="29" t="s">
        <v>27</v>
      </c>
      <c r="F25" s="23"/>
      <c r="G25" s="23"/>
      <c r="H25" s="23"/>
      <c r="I25" s="23"/>
      <c r="J25" s="18"/>
    </row>
    <row r="26" spans="4:10" s="2" customFormat="1" ht="14.25" thickBot="1" x14ac:dyDescent="0.45">
      <c r="D26" s="25"/>
      <c r="E26" s="26"/>
      <c r="F26" s="26"/>
      <c r="G26" s="26"/>
      <c r="H26" s="26"/>
      <c r="I26" s="26"/>
      <c r="J26" s="27"/>
    </row>
    <row r="27" spans="4:10" s="2" customFormat="1" ht="13.5" x14ac:dyDescent="0.4">
      <c r="D27" s="13" t="s">
        <v>11</v>
      </c>
      <c r="E27" s="14"/>
      <c r="F27" s="14"/>
      <c r="G27" s="14"/>
      <c r="H27" s="14"/>
      <c r="I27" s="14"/>
      <c r="J27" s="15"/>
    </row>
    <row r="28" spans="4:10" s="2" customFormat="1" ht="13.5" x14ac:dyDescent="0.4">
      <c r="D28" s="16">
        <v>2</v>
      </c>
      <c r="E28" s="17" t="s">
        <v>28</v>
      </c>
      <c r="F28" s="17"/>
      <c r="G28" s="17"/>
      <c r="H28" s="1"/>
      <c r="I28" s="1"/>
      <c r="J28" s="18"/>
    </row>
    <row r="29" spans="4:10" s="2" customFormat="1" ht="13.5" x14ac:dyDescent="0.4">
      <c r="D29" s="19"/>
      <c r="E29" s="17"/>
      <c r="F29" s="17"/>
      <c r="G29" s="17"/>
      <c r="H29" s="1"/>
      <c r="I29" s="1"/>
      <c r="J29" s="18"/>
    </row>
    <row r="30" spans="4:10" s="1" customFormat="1" ht="13.5" x14ac:dyDescent="0.4">
      <c r="D30" s="20"/>
      <c r="E30" s="1" t="s">
        <v>12</v>
      </c>
      <c r="H30" s="1" t="str">
        <f>H32&amp;"％のメガ割（自動）"</f>
        <v>10％のメガ割（自動）</v>
      </c>
      <c r="I30" s="1" t="str">
        <f>I32&amp;"％の小計割引（マニュアル）"</f>
        <v>10％の小計割引（マニュアル）</v>
      </c>
      <c r="J30" s="21"/>
    </row>
    <row r="31" spans="4:10" s="2" customFormat="1" ht="13.5" x14ac:dyDescent="0.4">
      <c r="D31" s="20"/>
      <c r="E31" s="3"/>
      <c r="F31" s="3"/>
      <c r="G31" s="17"/>
      <c r="H31" s="1"/>
      <c r="I31" s="1"/>
      <c r="J31" s="18"/>
    </row>
    <row r="32" spans="4:10" s="2" customFormat="1" ht="13.5" x14ac:dyDescent="0.4">
      <c r="D32" s="20"/>
      <c r="E32" s="3" t="s">
        <v>46</v>
      </c>
      <c r="F32" s="3"/>
      <c r="G32" s="1"/>
      <c r="H32" s="1">
        <v>10</v>
      </c>
      <c r="I32" s="1">
        <v>10</v>
      </c>
      <c r="J32" s="18"/>
    </row>
    <row r="33" spans="4:10" s="2" customFormat="1" ht="13.5" x14ac:dyDescent="0.4">
      <c r="D33" s="20"/>
      <c r="E33" s="1"/>
      <c r="F33" s="1"/>
      <c r="G33" s="1"/>
      <c r="H33" s="1"/>
      <c r="I33" s="1"/>
      <c r="J33" s="18"/>
    </row>
    <row r="34" spans="4:10" s="2" customFormat="1" ht="13.5" x14ac:dyDescent="0.4">
      <c r="D34" s="20"/>
      <c r="E34" s="1"/>
      <c r="F34" s="1"/>
      <c r="G34" s="1"/>
      <c r="H34" s="1"/>
      <c r="I34" s="1"/>
      <c r="J34" s="18"/>
    </row>
    <row r="35" spans="4:10" s="2" customFormat="1" ht="13.5" x14ac:dyDescent="0.4">
      <c r="D35" s="20"/>
      <c r="E35" s="1"/>
      <c r="F35" s="1"/>
      <c r="G35" s="46" t="s">
        <v>13</v>
      </c>
      <c r="H35" s="22" t="s">
        <v>23</v>
      </c>
      <c r="J35" s="18"/>
    </row>
    <row r="36" spans="4:10" s="2" customFormat="1" ht="13.5" customHeight="1" x14ac:dyDescent="0.4">
      <c r="D36" s="20"/>
      <c r="E36" s="1"/>
      <c r="F36" s="1"/>
      <c r="G36" s="47"/>
      <c r="H36" s="51" t="s">
        <v>29</v>
      </c>
      <c r="I36" s="22" t="s">
        <v>35</v>
      </c>
      <c r="J36" s="18"/>
    </row>
    <row r="37" spans="4:10" s="2" customFormat="1" ht="13.5" customHeight="1" x14ac:dyDescent="0.4">
      <c r="D37" s="20"/>
      <c r="E37" s="1"/>
      <c r="F37" s="1"/>
      <c r="G37" s="47"/>
      <c r="H37" s="52"/>
      <c r="I37" s="54" t="s">
        <v>36</v>
      </c>
      <c r="J37" s="18"/>
    </row>
    <row r="38" spans="4:10" s="2" customFormat="1" ht="13.5" customHeight="1" x14ac:dyDescent="0.4">
      <c r="D38" s="20"/>
      <c r="E38" s="1"/>
      <c r="F38" s="1"/>
      <c r="G38" s="47"/>
      <c r="H38" s="52"/>
      <c r="I38" s="52"/>
      <c r="J38" s="18"/>
    </row>
    <row r="39" spans="4:10" s="2" customFormat="1" ht="13.5" customHeight="1" x14ac:dyDescent="0.4">
      <c r="D39" s="20"/>
      <c r="E39" s="1"/>
      <c r="F39" s="1"/>
      <c r="G39" s="47"/>
      <c r="H39" s="52"/>
      <c r="I39" s="52"/>
      <c r="J39" s="18"/>
    </row>
    <row r="40" spans="4:10" s="2" customFormat="1" ht="13.5" customHeight="1" x14ac:dyDescent="0.4">
      <c r="D40" s="20"/>
      <c r="E40" s="1"/>
      <c r="F40" s="1"/>
      <c r="G40" s="48"/>
      <c r="H40" s="53"/>
      <c r="I40" s="53"/>
      <c r="J40" s="18"/>
    </row>
    <row r="41" spans="4:10" s="2" customFormat="1" ht="13.5" customHeight="1" x14ac:dyDescent="0.4">
      <c r="D41" s="20"/>
      <c r="E41" s="23" t="s">
        <v>14</v>
      </c>
      <c r="F41" s="23"/>
      <c r="G41" s="23"/>
      <c r="H41" s="28">
        <v>30</v>
      </c>
      <c r="I41" s="33">
        <v>27</v>
      </c>
      <c r="J41" s="18"/>
    </row>
    <row r="42" spans="4:10" s="2" customFormat="1" x14ac:dyDescent="0.4">
      <c r="D42" s="20"/>
      <c r="E42" s="23" t="s">
        <v>15</v>
      </c>
      <c r="F42" s="23"/>
      <c r="G42" s="23"/>
      <c r="H42" s="49">
        <v>243</v>
      </c>
      <c r="I42" s="50"/>
      <c r="J42" s="18"/>
    </row>
    <row r="43" spans="4:10" s="2" customFormat="1" ht="13.5" x14ac:dyDescent="0.4">
      <c r="D43" s="20"/>
      <c r="E43" s="23"/>
      <c r="F43" s="23"/>
      <c r="G43" s="23"/>
      <c r="H43" s="1"/>
      <c r="I43" s="1"/>
      <c r="J43" s="18"/>
    </row>
    <row r="44" spans="4:10" s="2" customFormat="1" ht="13.5" x14ac:dyDescent="0.4">
      <c r="D44" s="20"/>
      <c r="E44" s="23" t="s">
        <v>16</v>
      </c>
      <c r="F44" s="23"/>
      <c r="G44" s="23"/>
      <c r="H44" s="1"/>
      <c r="I44" s="1"/>
      <c r="J44" s="18"/>
    </row>
    <row r="45" spans="4:10" s="2" customFormat="1" ht="13.5" x14ac:dyDescent="0.4">
      <c r="D45" s="20"/>
      <c r="E45" s="24" t="s">
        <v>17</v>
      </c>
      <c r="F45" s="24"/>
      <c r="G45" s="23"/>
      <c r="H45" s="1">
        <v>91440</v>
      </c>
      <c r="I45" s="1">
        <v>91440</v>
      </c>
      <c r="J45" s="18"/>
    </row>
    <row r="46" spans="4:10" s="2" customFormat="1" ht="13.5" x14ac:dyDescent="0.4">
      <c r="D46" s="20"/>
      <c r="E46" s="24" t="s">
        <v>18</v>
      </c>
      <c r="F46" s="24"/>
      <c r="G46" s="23"/>
      <c r="H46" s="1">
        <v>14</v>
      </c>
      <c r="I46" s="1">
        <v>14</v>
      </c>
      <c r="J46" s="18"/>
    </row>
    <row r="47" spans="4:10" s="2" customFormat="1" ht="13.5" x14ac:dyDescent="0.4">
      <c r="D47" s="20"/>
      <c r="E47" s="24" t="s">
        <v>19</v>
      </c>
      <c r="F47" s="24"/>
      <c r="G47" s="23"/>
      <c r="H47" s="23" t="s">
        <v>33</v>
      </c>
      <c r="I47" s="23" t="s">
        <v>34</v>
      </c>
      <c r="J47" s="18"/>
    </row>
    <row r="48" spans="4:10" s="2" customFormat="1" ht="27" x14ac:dyDescent="0.4">
      <c r="D48" s="20"/>
      <c r="E48" s="23" t="s">
        <v>14</v>
      </c>
      <c r="F48" s="23"/>
      <c r="G48" s="23"/>
      <c r="H48" s="23" t="s">
        <v>39</v>
      </c>
      <c r="I48" s="23" t="s">
        <v>38</v>
      </c>
      <c r="J48" s="18"/>
    </row>
    <row r="49" spans="4:10" s="2" customFormat="1" ht="13.5" x14ac:dyDescent="0.4">
      <c r="D49" s="20"/>
      <c r="E49" s="29" t="s">
        <v>27</v>
      </c>
      <c r="F49" s="23"/>
      <c r="G49" s="23"/>
      <c r="H49" s="23"/>
      <c r="I49" s="23"/>
      <c r="J49" s="18"/>
    </row>
    <row r="50" spans="4:10" s="2" customFormat="1" ht="14.25" thickBot="1" x14ac:dyDescent="0.45">
      <c r="D50" s="25"/>
      <c r="E50" s="26"/>
      <c r="F50" s="26"/>
      <c r="G50" s="26"/>
      <c r="H50" s="26"/>
      <c r="I50" s="26"/>
      <c r="J50" s="27"/>
    </row>
    <row r="51" spans="4:10" s="2" customFormat="1" ht="13.5" x14ac:dyDescent="0.4">
      <c r="D51" s="13" t="s">
        <v>11</v>
      </c>
      <c r="E51" s="14"/>
      <c r="F51" s="14"/>
      <c r="G51" s="14"/>
      <c r="H51" s="14"/>
      <c r="I51" s="14"/>
      <c r="J51" s="15"/>
    </row>
    <row r="52" spans="4:10" s="2" customFormat="1" ht="13.5" x14ac:dyDescent="0.4">
      <c r="D52" s="16">
        <v>3</v>
      </c>
      <c r="E52" s="17" t="s">
        <v>30</v>
      </c>
      <c r="F52" s="17"/>
      <c r="G52" s="17"/>
      <c r="H52" s="1"/>
      <c r="I52" s="1"/>
      <c r="J52" s="18"/>
    </row>
    <row r="53" spans="4:10" s="2" customFormat="1" ht="13.5" x14ac:dyDescent="0.4">
      <c r="D53" s="19"/>
      <c r="E53" s="17"/>
      <c r="F53" s="17"/>
      <c r="G53" s="17"/>
      <c r="H53" s="1"/>
      <c r="I53" s="1"/>
      <c r="J53" s="18"/>
    </row>
    <row r="54" spans="4:10" s="1" customFormat="1" ht="13.5" x14ac:dyDescent="0.4">
      <c r="D54" s="20"/>
      <c r="E54" s="1" t="s">
        <v>12</v>
      </c>
      <c r="H54" s="1" t="str">
        <f>H56&amp;"％のクレジット割（自動）"</f>
        <v>10％のクレジット割（自動）</v>
      </c>
      <c r="I54" s="1" t="str">
        <f>I56&amp;"％の小計割引（マニュアル）"</f>
        <v>10％の小計割引（マニュアル）</v>
      </c>
      <c r="J54" s="21"/>
    </row>
    <row r="55" spans="4:10" s="2" customFormat="1" ht="13.5" x14ac:dyDescent="0.4">
      <c r="D55" s="20"/>
      <c r="E55" s="3"/>
      <c r="F55" s="3"/>
      <c r="G55" s="17"/>
      <c r="H55" s="1"/>
      <c r="I55" s="1"/>
      <c r="J55" s="18"/>
    </row>
    <row r="56" spans="4:10" s="2" customFormat="1" ht="13.5" x14ac:dyDescent="0.4">
      <c r="D56" s="20"/>
      <c r="E56" s="3" t="s">
        <v>47</v>
      </c>
      <c r="F56" s="3"/>
      <c r="G56" s="1"/>
      <c r="H56" s="1">
        <v>10</v>
      </c>
      <c r="I56" s="1">
        <v>10</v>
      </c>
      <c r="J56" s="18"/>
    </row>
    <row r="57" spans="4:10" s="2" customFormat="1" ht="13.5" x14ac:dyDescent="0.4">
      <c r="D57" s="20"/>
      <c r="E57" s="1"/>
      <c r="F57" s="1"/>
      <c r="G57" s="1"/>
      <c r="H57" s="1"/>
      <c r="I57" s="1"/>
      <c r="J57" s="18"/>
    </row>
    <row r="58" spans="4:10" s="2" customFormat="1" ht="13.5" x14ac:dyDescent="0.4">
      <c r="D58" s="20"/>
      <c r="E58" s="1"/>
      <c r="F58" s="1"/>
      <c r="G58" s="1"/>
      <c r="H58" s="1"/>
      <c r="I58" s="1"/>
      <c r="J58" s="18"/>
    </row>
    <row r="59" spans="4:10" s="2" customFormat="1" ht="13.5" x14ac:dyDescent="0.4">
      <c r="D59" s="20"/>
      <c r="E59" s="1"/>
      <c r="F59" s="1"/>
      <c r="G59" s="46" t="s">
        <v>13</v>
      </c>
      <c r="H59" s="22" t="s">
        <v>23</v>
      </c>
      <c r="J59" s="18"/>
    </row>
    <row r="60" spans="4:10" s="2" customFormat="1" ht="13.5" customHeight="1" x14ac:dyDescent="0.4">
      <c r="D60" s="20"/>
      <c r="E60" s="1"/>
      <c r="F60" s="1"/>
      <c r="G60" s="47"/>
      <c r="H60" s="51" t="s">
        <v>31</v>
      </c>
      <c r="I60" s="22" t="s">
        <v>35</v>
      </c>
      <c r="J60" s="18"/>
    </row>
    <row r="61" spans="4:10" s="2" customFormat="1" ht="13.5" customHeight="1" x14ac:dyDescent="0.4">
      <c r="D61" s="20"/>
      <c r="E61" s="1"/>
      <c r="F61" s="1"/>
      <c r="G61" s="47"/>
      <c r="H61" s="52"/>
      <c r="I61" s="54" t="s">
        <v>36</v>
      </c>
      <c r="J61" s="18"/>
    </row>
    <row r="62" spans="4:10" s="2" customFormat="1" ht="13.5" customHeight="1" x14ac:dyDescent="0.4">
      <c r="D62" s="20"/>
      <c r="E62" s="1"/>
      <c r="F62" s="1"/>
      <c r="G62" s="47"/>
      <c r="H62" s="52"/>
      <c r="I62" s="52"/>
      <c r="J62" s="18"/>
    </row>
    <row r="63" spans="4:10" s="2" customFormat="1" ht="13.5" customHeight="1" x14ac:dyDescent="0.4">
      <c r="D63" s="20"/>
      <c r="E63" s="1"/>
      <c r="F63" s="1"/>
      <c r="G63" s="47"/>
      <c r="H63" s="52"/>
      <c r="I63" s="52"/>
      <c r="J63" s="18"/>
    </row>
    <row r="64" spans="4:10" s="2" customFormat="1" ht="13.5" customHeight="1" x14ac:dyDescent="0.4">
      <c r="D64" s="20"/>
      <c r="E64" s="1"/>
      <c r="F64" s="1"/>
      <c r="G64" s="48"/>
      <c r="H64" s="53"/>
      <c r="I64" s="53"/>
      <c r="J64" s="18"/>
    </row>
    <row r="65" spans="4:10" s="2" customFormat="1" ht="13.5" customHeight="1" x14ac:dyDescent="0.4">
      <c r="D65" s="20"/>
      <c r="E65" s="23" t="s">
        <v>14</v>
      </c>
      <c r="F65" s="23"/>
      <c r="G65" s="23"/>
      <c r="H65" s="28">
        <v>30</v>
      </c>
      <c r="I65" s="33">
        <v>27</v>
      </c>
      <c r="J65" s="18"/>
    </row>
    <row r="66" spans="4:10" s="2" customFormat="1" x14ac:dyDescent="0.4">
      <c r="D66" s="20"/>
      <c r="E66" s="23" t="s">
        <v>15</v>
      </c>
      <c r="F66" s="23"/>
      <c r="G66" s="23"/>
      <c r="H66" s="49">
        <v>243</v>
      </c>
      <c r="I66" s="50"/>
      <c r="J66" s="18"/>
    </row>
    <row r="67" spans="4:10" s="2" customFormat="1" ht="13.5" x14ac:dyDescent="0.4">
      <c r="D67" s="20"/>
      <c r="E67" s="23"/>
      <c r="F67" s="23"/>
      <c r="G67" s="23"/>
      <c r="H67" s="1"/>
      <c r="I67" s="1"/>
      <c r="J67" s="18"/>
    </row>
    <row r="68" spans="4:10" s="2" customFormat="1" ht="13.5" x14ac:dyDescent="0.4">
      <c r="D68" s="20"/>
      <c r="E68" s="23" t="s">
        <v>16</v>
      </c>
      <c r="F68" s="23"/>
      <c r="G68" s="23"/>
      <c r="H68" s="1"/>
      <c r="I68" s="1"/>
      <c r="J68" s="18"/>
    </row>
    <row r="69" spans="4:10" s="2" customFormat="1" ht="13.5" x14ac:dyDescent="0.4">
      <c r="D69" s="20"/>
      <c r="E69" s="24" t="s">
        <v>17</v>
      </c>
      <c r="F69" s="24"/>
      <c r="G69" s="23"/>
      <c r="H69" s="1">
        <v>91440</v>
      </c>
      <c r="I69" s="1">
        <v>91440</v>
      </c>
      <c r="J69" s="18"/>
    </row>
    <row r="70" spans="4:10" s="2" customFormat="1" ht="13.5" x14ac:dyDescent="0.4">
      <c r="D70" s="20"/>
      <c r="E70" s="24" t="s">
        <v>18</v>
      </c>
      <c r="F70" s="24"/>
      <c r="G70" s="23"/>
      <c r="H70" s="1">
        <v>14</v>
      </c>
      <c r="I70" s="1">
        <v>14</v>
      </c>
      <c r="J70" s="18"/>
    </row>
    <row r="71" spans="4:10" s="2" customFormat="1" ht="13.5" x14ac:dyDescent="0.4">
      <c r="D71" s="20"/>
      <c r="E71" s="24" t="s">
        <v>19</v>
      </c>
      <c r="F71" s="24"/>
      <c r="G71" s="23"/>
      <c r="H71" s="23" t="s">
        <v>33</v>
      </c>
      <c r="I71" s="23" t="s">
        <v>34</v>
      </c>
      <c r="J71" s="18"/>
    </row>
    <row r="72" spans="4:10" s="2" customFormat="1" ht="27" x14ac:dyDescent="0.4">
      <c r="D72" s="20"/>
      <c r="E72" s="23" t="s">
        <v>14</v>
      </c>
      <c r="F72" s="23"/>
      <c r="G72" s="23"/>
      <c r="H72" s="23" t="s">
        <v>40</v>
      </c>
      <c r="I72" s="23" t="s">
        <v>38</v>
      </c>
      <c r="J72" s="18"/>
    </row>
    <row r="73" spans="4:10" s="2" customFormat="1" ht="13.5" x14ac:dyDescent="0.4">
      <c r="D73" s="20"/>
      <c r="E73" s="29" t="s">
        <v>27</v>
      </c>
      <c r="F73" s="23"/>
      <c r="G73" s="23"/>
      <c r="H73" s="23"/>
      <c r="I73" s="23"/>
      <c r="J73" s="18"/>
    </row>
    <row r="74" spans="4:10" s="2" customFormat="1" ht="14.25" thickBot="1" x14ac:dyDescent="0.45">
      <c r="D74" s="25"/>
      <c r="E74" s="26"/>
      <c r="F74" s="26"/>
      <c r="G74" s="26"/>
      <c r="H74" s="26"/>
      <c r="I74" s="26"/>
      <c r="J74" s="27"/>
    </row>
  </sheetData>
  <mergeCells count="12">
    <mergeCell ref="H66:I66"/>
    <mergeCell ref="H42:I42"/>
    <mergeCell ref="G59:G64"/>
    <mergeCell ref="H60:H64"/>
    <mergeCell ref="I61:I64"/>
    <mergeCell ref="G11:G16"/>
    <mergeCell ref="H18:I18"/>
    <mergeCell ref="G35:G40"/>
    <mergeCell ref="H36:H40"/>
    <mergeCell ref="I37:I40"/>
    <mergeCell ref="H12:H16"/>
    <mergeCell ref="I13:I16"/>
  </mergeCells>
  <phoneticPr fontId="6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5AD5B6-946D-4277-8BD2-2128C4B19816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b4c7ce4d-67a4-4f44-8f88-bfeca3803a63"/>
    <ds:schemaRef ds:uri="8ab8a245-1025-469f-bc0a-26499413059b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F87E4B3-20DC-4826-8FC5-E63A00318E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93CC977-0D79-4273-94AA-50341866EF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小計値引（マニュアル）</vt:lpstr>
      <vt:lpstr>小計値引（マニュアル）　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佐々木  大助</cp:lastModifiedBy>
  <cp:lastPrinted>2020-05-01T07:36:07Z</cp:lastPrinted>
  <dcterms:created xsi:type="dcterms:W3CDTF">2020-05-01T02:17:13Z</dcterms:created>
  <dcterms:modified xsi:type="dcterms:W3CDTF">2020-10-28T04:16:09Z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