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117" documentId="8_{BA5F139F-7CA5-4240-96DC-0DCE0A930C01}" xr6:coauthVersionLast="47" xr6:coauthVersionMax="47" xr10:uidLastSave="{77E2C006-F564-417C-9E47-15A14E81A1BD}"/>
  <bookViews>
    <workbookView xWindow="-120" yWindow="-120" windowWidth="20730" windowHeight="11160" firstSheet="1" activeTab="1" xr2:uid="{00000000-000D-0000-FFFF-FFFF00000000}"/>
  </bookViews>
  <sheets>
    <sheet name="レジでの売価変更" sheetId="7" r:id="rId1"/>
    <sheet name="レジでの売価変更図" sheetId="6" r:id="rId2"/>
    <sheet name="値引実績計算" sheetId="2" r:id="rId3"/>
    <sheet name="1" sheetId="4" r:id="rId4"/>
    <sheet name="値引時テスト" sheetId="5" r:id="rId5"/>
    <sheet name="Sheet2" sheetId="1" state="hidden" r:id="rId6"/>
  </sheets>
  <definedNames>
    <definedName name="_xlnm._FilterDatabase" localSheetId="4" hidden="1">値引時テスト!$A$1:$AK$1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" i="6" l="1"/>
  <c r="O62" i="6"/>
  <c r="J62" i="6"/>
  <c r="T34" i="6"/>
  <c r="O34" i="6"/>
  <c r="J34" i="6"/>
  <c r="T7" i="6"/>
  <c r="O7" i="6"/>
  <c r="J7" i="6"/>
  <c r="S62" i="6" l="1"/>
  <c r="R62" i="6"/>
  <c r="N62" i="6"/>
  <c r="M62" i="6"/>
  <c r="I62" i="6"/>
  <c r="H62" i="6"/>
  <c r="S34" i="6"/>
  <c r="R34" i="6"/>
  <c r="N34" i="6"/>
  <c r="M34" i="6"/>
  <c r="I34" i="6"/>
  <c r="H34" i="6"/>
  <c r="S7" i="6"/>
  <c r="R7" i="6"/>
  <c r="N7" i="6"/>
  <c r="M7" i="6"/>
  <c r="I7" i="6"/>
  <c r="H7" i="6"/>
  <c r="W49" i="5" l="1"/>
  <c r="W46" i="5"/>
  <c r="W44" i="5"/>
  <c r="W42" i="5"/>
  <c r="W32" i="5"/>
  <c r="W30" i="5"/>
  <c r="W27" i="5"/>
  <c r="W26" i="5"/>
  <c r="W17" i="5"/>
  <c r="W14" i="5"/>
  <c r="W13" i="5"/>
  <c r="W10" i="5"/>
  <c r="E401" i="1"/>
  <c r="E392" i="1"/>
  <c r="E383" i="1"/>
  <c r="E374" i="1"/>
  <c r="E365" i="1"/>
  <c r="E356" i="1"/>
  <c r="E347" i="1"/>
  <c r="E338" i="1"/>
  <c r="E329" i="1"/>
  <c r="E320" i="1"/>
  <c r="E311" i="1"/>
  <c r="E302" i="1"/>
  <c r="E293" i="1"/>
  <c r="E284" i="1"/>
  <c r="E275" i="1"/>
  <c r="E266" i="1"/>
  <c r="E257" i="1"/>
  <c r="E248" i="1"/>
  <c r="E239" i="1"/>
  <c r="E230" i="1"/>
  <c r="E221" i="1"/>
  <c r="E212" i="1"/>
  <c r="E203" i="1"/>
  <c r="E194" i="1"/>
  <c r="E185" i="1"/>
  <c r="E176" i="1"/>
  <c r="E167" i="1"/>
  <c r="E158" i="1"/>
  <c r="E149" i="1"/>
  <c r="E140" i="1"/>
  <c r="E131" i="1"/>
  <c r="E122" i="1"/>
  <c r="E113" i="1"/>
  <c r="E104" i="1"/>
  <c r="E95" i="1"/>
  <c r="E86" i="1"/>
  <c r="E35" i="1"/>
  <c r="E27" i="1"/>
  <c r="E19" i="1"/>
  <c r="E10" i="1"/>
  <c r="E43" i="1"/>
  <c r="E51" i="1"/>
  <c r="E60" i="1"/>
  <c r="E69" i="1"/>
  <c r="E77" i="1"/>
</calcChain>
</file>

<file path=xl/sharedStrings.xml><?xml version="1.0" encoding="utf-8"?>
<sst xmlns="http://schemas.openxmlformats.org/spreadsheetml/2006/main" count="2856" uniqueCount="335">
  <si>
    <t>特売／ミックスマッチ／緊急売価変更額／レジでの売価変更　値引実績計算（GHPLUDISC出力仕様）</t>
    <rPh sb="0" eb="2">
      <t>トクバイ</t>
    </rPh>
    <rPh sb="11" eb="13">
      <t>キンキュウ</t>
    </rPh>
    <rPh sb="13" eb="15">
      <t>バイカ</t>
    </rPh>
    <rPh sb="15" eb="17">
      <t>ヘンコウ</t>
    </rPh>
    <rPh sb="17" eb="18">
      <t>ガク</t>
    </rPh>
    <rPh sb="23" eb="25">
      <t>バイカ</t>
    </rPh>
    <rPh sb="25" eb="27">
      <t>ヘンコウ</t>
    </rPh>
    <rPh sb="28" eb="30">
      <t>ネビキ</t>
    </rPh>
    <rPh sb="30" eb="32">
      <t>ジッセキ</t>
    </rPh>
    <rPh sb="32" eb="34">
      <t>ケイサン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</si>
  <si>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</si>
  <si>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</si>
  <si>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</si>
  <si>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</si>
  <si>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</si>
  <si>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</si>
  <si>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</si>
  <si>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緊急売価変更額＞レジでの売価変更</t>
    <phoneticPr fontId="1"/>
  </si>
  <si>
    <t>定番売価ー緊急売価変更</t>
    <phoneticPr fontId="9"/>
  </si>
  <si>
    <t>緊急売価変更</t>
    <phoneticPr fontId="1"/>
  </si>
  <si>
    <t>緊急売価変更ーレジでの売価変更</t>
    <phoneticPr fontId="9"/>
  </si>
  <si>
    <t>マニュアル単品値引</t>
    <phoneticPr fontId="9"/>
  </si>
  <si>
    <t>緊急売価変更ーミックスマッチ金額</t>
    <phoneticPr fontId="9"/>
  </si>
  <si>
    <t>ミックス</t>
    <phoneticPr fontId="1"/>
  </si>
  <si>
    <t>緊急売価変更ーミックスマッチ金額の計算結果が０、マイナスは実績出力しない。</t>
    <phoneticPr fontId="9"/>
  </si>
  <si>
    <t>緊急売価変更額＝レジでの売価変更</t>
    <rPh sb="0" eb="2">
      <t>キンキュウ</t>
    </rPh>
    <rPh sb="2" eb="4">
      <t>バイカ</t>
    </rPh>
    <rPh sb="4" eb="6">
      <t>ヘンコウ</t>
    </rPh>
    <rPh sb="6" eb="7">
      <t>ガク</t>
    </rPh>
    <rPh sb="12" eb="14">
      <t>バイカ</t>
    </rPh>
    <rPh sb="14" eb="16">
      <t>ヘンコウ</t>
    </rPh>
    <phoneticPr fontId="1"/>
  </si>
  <si>
    <t>緊急売価変更</t>
  </si>
  <si>
    <t>緊急売価変更ーミックスマッチ金額</t>
    <rPh sb="0" eb="2">
      <t>キンキュウ</t>
    </rPh>
    <rPh sb="2" eb="4">
      <t>バイカ</t>
    </rPh>
    <rPh sb="4" eb="6">
      <t>ヘンコウ</t>
    </rPh>
    <rPh sb="14" eb="16">
      <t>キンガク</t>
    </rPh>
    <phoneticPr fontId="1"/>
  </si>
  <si>
    <t>緊急売価変更額＜レジでの売価変更</t>
    <phoneticPr fontId="1"/>
  </si>
  <si>
    <t>定番売価ーレジでの売価変更</t>
  </si>
  <si>
    <t>定番売価額ーレジでの売価変更計算結果が種別「緊急売価変更」で作成される。</t>
  </si>
  <si>
    <t>値引パターン</t>
    <rPh sb="0" eb="2">
      <t>ネビキ</t>
    </rPh>
    <phoneticPr fontId="9"/>
  </si>
  <si>
    <t>緊急売価変更＞レジでの売価変更</t>
    <rPh sb="11" eb="13">
      <t>バイカ</t>
    </rPh>
    <rPh sb="13" eb="15">
      <t>ヘンコウ</t>
    </rPh>
    <phoneticPr fontId="9"/>
  </si>
  <si>
    <t>定番売価1個300円で特売（期間売価）250円の商品を</t>
    <rPh sb="11" eb="13">
      <t>トクバイ</t>
    </rPh>
    <rPh sb="14" eb="16">
      <t>キカン</t>
    </rPh>
    <rPh sb="16" eb="18">
      <t>バイカ</t>
    </rPh>
    <rPh sb="22" eb="23">
      <t>エン</t>
    </rPh>
    <phoneticPr fontId="9"/>
  </si>
  <si>
    <t>各1個当たり：ミックスマッチ1／緊急売価変更金額／レジでの売価変更</t>
    <rPh sb="0" eb="1">
      <t>カク</t>
    </rPh>
    <rPh sb="16" eb="18">
      <t>キンキュウ</t>
    </rPh>
    <rPh sb="18" eb="20">
      <t>バイカ</t>
    </rPh>
    <rPh sb="20" eb="22">
      <t>ヘンコウ</t>
    </rPh>
    <rPh sb="22" eb="24">
      <t>キンガク</t>
    </rPh>
    <phoneticPr fontId="9"/>
  </si>
  <si>
    <t>各2個当たり：ミックスマッチ1／緊急売価変更金額／レジでの売価変更</t>
    <rPh sb="0" eb="1">
      <t>カク</t>
    </rPh>
    <rPh sb="16" eb="18">
      <t>キンキュウ</t>
    </rPh>
    <rPh sb="18" eb="20">
      <t>バイカ</t>
    </rPh>
    <rPh sb="20" eb="22">
      <t>ヘンコウ</t>
    </rPh>
    <rPh sb="22" eb="24">
      <t>キンガク</t>
    </rPh>
    <phoneticPr fontId="9"/>
  </si>
  <si>
    <r>
      <t xml:space="preserve">値引額 </t>
    </r>
    <r>
      <rPr>
        <b/>
        <sz val="11"/>
        <color rgb="FFFF0000"/>
        <rFont val="ＭＳ ゴシック"/>
        <family val="3"/>
        <charset val="128"/>
      </rPr>
      <t>-200</t>
    </r>
    <r>
      <rPr>
        <sz val="11"/>
        <color theme="1"/>
        <rFont val="ＭＳ ゴシック"/>
        <family val="3"/>
        <charset val="128"/>
      </rPr>
      <t>円</t>
    </r>
    <rPh sb="0" eb="2">
      <t>ネビキ</t>
    </rPh>
    <rPh sb="2" eb="3">
      <t>ガク</t>
    </rPh>
    <rPh sb="8" eb="9">
      <t>エン</t>
    </rPh>
    <phoneticPr fontId="9"/>
  </si>
  <si>
    <t>値引額　100円</t>
    <rPh sb="7" eb="8">
      <t>エン</t>
    </rPh>
    <phoneticPr fontId="9"/>
  </si>
  <si>
    <t>緊急売価変更
800円</t>
    <rPh sb="10" eb="11">
      <t>エン</t>
    </rPh>
    <phoneticPr fontId="1"/>
  </si>
  <si>
    <t>ミックスマッチ金額
700円（2個販売額）</t>
    <rPh sb="7" eb="9">
      <t>キンガク</t>
    </rPh>
    <phoneticPr fontId="1"/>
  </si>
  <si>
    <t>レジでの売価変更
700円</t>
    <rPh sb="12" eb="13">
      <t>エン</t>
    </rPh>
    <phoneticPr fontId="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</si>
  <si>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</si>
  <si>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値引額　200円</t>
    <rPh sb="0" eb="2">
      <t>ネビキ</t>
    </rPh>
    <rPh sb="2" eb="3">
      <t>ガク</t>
    </rPh>
    <rPh sb="7" eb="8">
      <t>エン</t>
    </rPh>
    <phoneticPr fontId="9"/>
  </si>
  <si>
    <t>緊急売価変更額＝ミックスマッチ
ミックスマッチ対象外</t>
    <phoneticPr fontId="1"/>
  </si>
  <si>
    <t>緊急売価変更
300円</t>
    <rPh sb="10" eb="11">
      <t>エン</t>
    </rPh>
    <phoneticPr fontId="1"/>
  </si>
  <si>
    <t>緊急売価変更額＜ミックスマッチ
ミックスマッチ対象外</t>
    <phoneticPr fontId="1"/>
  </si>
  <si>
    <t>レジでの売価変更
500円</t>
    <rPh sb="12" eb="13">
      <t>エン</t>
    </rPh>
    <phoneticPr fontId="1"/>
  </si>
  <si>
    <t>緊急売価変更
400円</t>
    <rPh sb="10" eb="11">
      <t>エン</t>
    </rPh>
    <phoneticPr fontId="1"/>
  </si>
  <si>
    <t>レジでの売価変更
300円</t>
    <rPh sb="12" eb="13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</si>
  <si>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</si>
  <si>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9"/>
  </si>
  <si>
    <t>＜値引実績作成＞</t>
    <rPh sb="1" eb="3">
      <t>ネビキ</t>
    </rPh>
    <rPh sb="3" eb="5">
      <t>ジッセキ</t>
    </rPh>
    <rPh sb="5" eb="7">
      <t>サクセイ</t>
    </rPh>
    <phoneticPr fontId="9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</si>
  <si>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</si>
  <si>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9"/>
  </si>
  <si>
    <t>値引種別</t>
    <rPh sb="0" eb="2">
      <t>ネビ</t>
    </rPh>
    <rPh sb="2" eb="4">
      <t>シュベツ</t>
    </rPh>
    <phoneticPr fontId="9"/>
  </si>
  <si>
    <t>値引名称</t>
    <rPh sb="0" eb="2">
      <t>ネビ</t>
    </rPh>
    <rPh sb="2" eb="4">
      <t>メイショウ</t>
    </rPh>
    <phoneticPr fontId="9"/>
  </si>
  <si>
    <t>マニュアル単品値引</t>
    <phoneticPr fontId="1"/>
  </si>
  <si>
    <t>ミックスマッチ</t>
    <phoneticPr fontId="1"/>
  </si>
  <si>
    <t>100
定番売価額ー緊急売価変更</t>
  </si>
  <si>
    <t>50
緊急売価変更ーレジでの売価変更</t>
  </si>
  <si>
    <t>0
定番売価額ー緊急売価変更</t>
  </si>
  <si>
    <t>100
緊急売価変更ーレジでの売価変更</t>
  </si>
  <si>
    <t>100
緊急売価変更ーミックスマッチ</t>
    <phoneticPr fontId="9"/>
  </si>
  <si>
    <t>-200
定番売価額ー緊急売価変更</t>
    <phoneticPr fontId="9"/>
  </si>
  <si>
    <t>※ 値引種別「緊急売価変更」は。計算した値引額が０円、マイナスでも値引実績を作成する。</t>
  </si>
  <si>
    <t>※ レジでの売価変更の値引実績は種別「マニュアル単品値引」で作成される。レジでの売価変更の値引種別は必要ないか。</t>
    <rPh sb="11" eb="13">
      <t>ネビキ</t>
    </rPh>
    <rPh sb="13" eb="15">
      <t>ジッセキ</t>
    </rPh>
    <rPh sb="16" eb="18">
      <t>シュベツ</t>
    </rPh>
    <rPh sb="26" eb="28">
      <t>ネビキ</t>
    </rPh>
    <rPh sb="30" eb="32">
      <t>サクセイ</t>
    </rPh>
    <rPh sb="45" eb="47">
      <t>ネビキ</t>
    </rPh>
    <rPh sb="47" eb="49">
      <t>シュベツ</t>
    </rPh>
    <rPh sb="50" eb="52">
      <t>ヒツヨウ</t>
    </rPh>
    <phoneticPr fontId="9"/>
  </si>
  <si>
    <t>緊急売価変更＝レジでの売価変更</t>
  </si>
  <si>
    <r>
      <t>値引額　</t>
    </r>
    <r>
      <rPr>
        <sz val="11"/>
        <color rgb="FFFF0000"/>
        <rFont val="ＭＳ ゴシック"/>
        <family val="3"/>
        <charset val="128"/>
      </rPr>
      <t>-200円</t>
    </r>
    <rPh sb="0" eb="2">
      <t>ネビキ</t>
    </rPh>
    <rPh sb="2" eb="3">
      <t>ガク</t>
    </rPh>
    <rPh sb="3" eb="4">
      <t>ゾウガク</t>
    </rPh>
    <rPh sb="8" eb="9">
      <t>エン</t>
    </rPh>
    <phoneticPr fontId="9"/>
  </si>
  <si>
    <t>レジでの売価変更
800円</t>
    <rPh sb="12" eb="13">
      <t>エン</t>
    </rPh>
    <phoneticPr fontId="1"/>
  </si>
  <si>
    <t>値引額　100円</t>
    <rPh sb="0" eb="2">
      <t>ネビキ</t>
    </rPh>
    <rPh sb="2" eb="3">
      <t>ガク</t>
    </rPh>
    <rPh sb="7" eb="8">
      <t>エン</t>
    </rPh>
    <phoneticPr fontId="9"/>
  </si>
  <si>
    <t>緊急売価変更額
300円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</si>
  <si>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レジでの売価変更
400円</t>
    <rPh sb="12" eb="13">
      <t>エン</t>
    </rPh>
    <phoneticPr fontId="1"/>
  </si>
  <si>
    <t>200
定番売価額ー緊急売価変更</t>
    <phoneticPr fontId="9"/>
  </si>
  <si>
    <t>※ 値引種別「緊急売価変更」は。定番売価額ー緊急売価変更の計算した値引額が０円、マイナスでも値引実績を作成する。</t>
    <phoneticPr fontId="9"/>
  </si>
  <si>
    <t>緊急売価変更＜レジでの売価変更</t>
  </si>
  <si>
    <r>
      <t>値引額　</t>
    </r>
    <r>
      <rPr>
        <sz val="11"/>
        <color rgb="FFFF0000"/>
        <rFont val="ＭＳ ゴシック"/>
        <family val="3"/>
        <charset val="128"/>
      </rPr>
      <t>-100円</t>
    </r>
    <rPh sb="0" eb="2">
      <t>ネビキ</t>
    </rPh>
    <rPh sb="2" eb="3">
      <t>ガク</t>
    </rPh>
    <rPh sb="3" eb="4">
      <t>ゾウガク</t>
    </rPh>
    <rPh sb="8" eb="9">
      <t>エン</t>
    </rPh>
    <phoneticPr fontId="9"/>
  </si>
  <si>
    <t>レジでの売価変更
700円</t>
  </si>
  <si>
    <t>レジでの売価変更
600円</t>
    <rPh sb="12" eb="13">
      <t>エン</t>
    </rPh>
    <phoneticPr fontId="1"/>
  </si>
  <si>
    <t>緊急売価変更額
600円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</si>
  <si>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500円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</si>
  <si>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200円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</si>
  <si>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100
定番売価額ーレジでの売価変更</t>
  </si>
  <si>
    <t>0
定番売価額ーレジでの売価変更</t>
  </si>
  <si>
    <t>-100
定番売価額ー緊急売価変更</t>
    <phoneticPr fontId="9"/>
  </si>
  <si>
    <t>※ 定番売価額ーレジでの売価変更計算結果が種別「緊急売価変更」で作成される。</t>
    <rPh sb="16" eb="18">
      <t>ケイサン</t>
    </rPh>
    <rPh sb="18" eb="20">
      <t>ケッカ</t>
    </rPh>
    <rPh sb="21" eb="23">
      <t>シュベツ</t>
    </rPh>
    <rPh sb="24" eb="26">
      <t>キンキュウ</t>
    </rPh>
    <rPh sb="26" eb="28">
      <t>バイカ</t>
    </rPh>
    <rPh sb="28" eb="30">
      <t>ヘンコウ</t>
    </rPh>
    <rPh sb="32" eb="34">
      <t>サクセイ</t>
    </rPh>
    <phoneticPr fontId="9"/>
  </si>
  <si>
    <t>値引実績計算</t>
    <rPh sb="0" eb="2">
      <t>ネビキ</t>
    </rPh>
    <rPh sb="2" eb="4">
      <t>ジッセキ</t>
    </rPh>
    <rPh sb="4" eb="6">
      <t>ケイサン</t>
    </rPh>
    <phoneticPr fontId="1"/>
  </si>
  <si>
    <t>緊急売価変更額＞マニュアル売価変更金額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rPh sb="13" eb="15">
      <t>バイカ</t>
    </rPh>
    <rPh sb="15" eb="17">
      <t>ヘンコウ</t>
    </rPh>
    <rPh sb="17" eb="19">
      <t>キンガク</t>
    </rPh>
    <phoneticPr fontId="1"/>
  </si>
  <si>
    <t>定番売価額ー緊急売価変更</t>
    <rPh sb="0" eb="2">
      <t>テイバン</t>
    </rPh>
    <rPh sb="2" eb="4">
      <t>バイカ</t>
    </rPh>
    <rPh sb="4" eb="5">
      <t>ガク</t>
    </rPh>
    <phoneticPr fontId="1"/>
  </si>
  <si>
    <t>マークダウン</t>
  </si>
  <si>
    <t>緊急売価変更ーレジでの売価変更</t>
    <rPh sb="0" eb="2">
      <t>キンキュウ</t>
    </rPh>
    <rPh sb="2" eb="4">
      <t>バイカ</t>
    </rPh>
    <rPh sb="4" eb="6">
      <t>ヘンコウ</t>
    </rPh>
    <phoneticPr fontId="1"/>
  </si>
  <si>
    <t>マニュアル額値引　売価変更</t>
    <phoneticPr fontId="1"/>
  </si>
  <si>
    <t>緊急売価変更ーミックスマッチ金額</t>
    <rPh sb="14" eb="16">
      <t>キンガク</t>
    </rPh>
    <phoneticPr fontId="1"/>
  </si>
  <si>
    <t>ミックス</t>
  </si>
  <si>
    <t>緊急売価変更額＝マニュアル売価変更金額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rPh sb="13" eb="15">
      <t>バイカ</t>
    </rPh>
    <rPh sb="15" eb="17">
      <t>ヘンコウ</t>
    </rPh>
    <rPh sb="17" eb="19">
      <t>キンガク</t>
    </rPh>
    <phoneticPr fontId="1"/>
  </si>
  <si>
    <t>マークダウン</t>
    <phoneticPr fontId="1"/>
  </si>
  <si>
    <t>緊急売価変更額＜マニュアル売価変更金額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rPh sb="13" eb="15">
      <t>バイカ</t>
    </rPh>
    <rPh sb="15" eb="17">
      <t>ヘンコウ</t>
    </rPh>
    <rPh sb="17" eb="19">
      <t>キンガク</t>
    </rPh>
    <phoneticPr fontId="1"/>
  </si>
  <si>
    <t>定番売価額ーレジでの売価変更</t>
    <rPh sb="0" eb="2">
      <t>テイバン</t>
    </rPh>
    <rPh sb="2" eb="4">
      <t>バイカ</t>
    </rPh>
    <rPh sb="4" eb="5">
      <t>ガク</t>
    </rPh>
    <phoneticPr fontId="1"/>
  </si>
  <si>
    <t>マニュアル売価変更金額ーミックスマッチ金額</t>
    <rPh sb="19" eb="21">
      <t>キンガク</t>
    </rPh>
    <phoneticPr fontId="1"/>
  </si>
  <si>
    <t>＜共通＞</t>
    <rPh sb="1" eb="3">
      <t>キョウツウ</t>
    </rPh>
    <phoneticPr fontId="1"/>
  </si>
  <si>
    <t>・ミックスマッチ値引金額は０円、マイナス時は出力しない。</t>
    <rPh sb="8" eb="10">
      <t>ネビキ</t>
    </rPh>
    <rPh sb="14" eb="15">
      <t>エン</t>
    </rPh>
    <rPh sb="20" eb="21">
      <t>ジ</t>
    </rPh>
    <rPh sb="22" eb="24">
      <t>シュツリョク</t>
    </rPh>
    <phoneticPr fontId="1"/>
  </si>
  <si>
    <t>・ マークダウン（緊急売価変更）は０円、マイナス時でも出力する。</t>
    <rPh sb="9" eb="11">
      <t>キンキュウ</t>
    </rPh>
    <rPh sb="11" eb="13">
      <t>バイカ</t>
    </rPh>
    <rPh sb="13" eb="15">
      <t>ヘンコウ</t>
    </rPh>
    <rPh sb="18" eb="19">
      <t>エン</t>
    </rPh>
    <rPh sb="24" eb="25">
      <t>ジ</t>
    </rPh>
    <rPh sb="27" eb="29">
      <t>シュツリョク</t>
    </rPh>
    <phoneticPr fontId="1"/>
  </si>
  <si>
    <t>＜確認＞</t>
    <rPh sb="1" eb="3">
      <t>カクニン</t>
    </rPh>
    <phoneticPr fontId="1"/>
  </si>
  <si>
    <t>緊急売価変更額＜マニュアル売価変更金額の時。</t>
    <rPh sb="0" eb="2">
      <t>キンキュウ</t>
    </rPh>
    <rPh sb="2" eb="4">
      <t>バイカ</t>
    </rPh>
    <rPh sb="4" eb="6">
      <t>ヘンコウ</t>
    </rPh>
    <rPh sb="6" eb="7">
      <t>ガク</t>
    </rPh>
    <rPh sb="13" eb="15">
      <t>バイカ</t>
    </rPh>
    <rPh sb="15" eb="17">
      <t>ヘンコウ</t>
    </rPh>
    <rPh sb="17" eb="19">
      <t>キンガク</t>
    </rPh>
    <rPh sb="20" eb="21">
      <t>トキ</t>
    </rPh>
    <phoneticPr fontId="1"/>
  </si>
  <si>
    <t>マニュアル売価変更金額がマークダウンとして作成されるが問題ないか。</t>
    <rPh sb="27" eb="29">
      <t>モンダイ</t>
    </rPh>
    <phoneticPr fontId="1"/>
  </si>
  <si>
    <t>値引実績計算図_図</t>
    <rPh sb="0" eb="2">
      <t>ネビキ</t>
    </rPh>
    <rPh sb="2" eb="4">
      <t>ジッセキ</t>
    </rPh>
    <rPh sb="4" eb="6">
      <t>ケイサン</t>
    </rPh>
    <rPh sb="6" eb="7">
      <t>ズ</t>
    </rPh>
    <rPh sb="8" eb="9">
      <t>ズ</t>
    </rPh>
    <phoneticPr fontId="1"/>
  </si>
  <si>
    <t>前提条件：</t>
    <rPh sb="0" eb="2">
      <t>ゼンテイ</t>
    </rPh>
    <rPh sb="2" eb="4">
      <t>ジョウケン</t>
    </rPh>
    <phoneticPr fontId="5"/>
  </si>
  <si>
    <t>定番売価額300円で２個販売</t>
  </si>
  <si>
    <t>金額は１個当たり</t>
    <rPh sb="0" eb="2">
      <t>キンガク</t>
    </rPh>
    <rPh sb="4" eb="5">
      <t>コ</t>
    </rPh>
    <rPh sb="5" eb="6">
      <t>ア</t>
    </rPh>
    <phoneticPr fontId="5"/>
  </si>
  <si>
    <t>設定金額</t>
    <rPh sb="0" eb="2">
      <t>セッテイ</t>
    </rPh>
    <rPh sb="2" eb="4">
      <t>キンガク</t>
    </rPh>
    <phoneticPr fontId="5"/>
  </si>
  <si>
    <t>緊急売価
変更額</t>
    <rPh sb="0" eb="2">
      <t>キンキュウ</t>
    </rPh>
    <rPh sb="2" eb="4">
      <t>バイカ</t>
    </rPh>
    <rPh sb="5" eb="7">
      <t>ヘンコウ</t>
    </rPh>
    <rPh sb="7" eb="8">
      <t>ガク</t>
    </rPh>
    <phoneticPr fontId="1"/>
  </si>
  <si>
    <t>ミックス
マッチ額</t>
    <rPh sb="8" eb="9">
      <t>ガク</t>
    </rPh>
    <phoneticPr fontId="1"/>
  </si>
  <si>
    <t>ミックス
マッチ額</t>
    <rPh sb="8" eb="9">
      <t>ガク</t>
    </rPh>
    <phoneticPr fontId="5"/>
  </si>
  <si>
    <t>マニュアル
売価変更額</t>
    <rPh sb="6" eb="8">
      <t>バイカ</t>
    </rPh>
    <rPh sb="8" eb="10">
      <t>ヘンコウ</t>
    </rPh>
    <rPh sb="10" eb="11">
      <t>ガク</t>
    </rPh>
    <phoneticPr fontId="1"/>
  </si>
  <si>
    <t>緊急売価
変更額</t>
    <rPh sb="0" eb="2">
      <t>キンキュウ</t>
    </rPh>
    <rPh sb="2" eb="4">
      <t>バイカ</t>
    </rPh>
    <rPh sb="5" eb="7">
      <t>ヘンコウ</t>
    </rPh>
    <rPh sb="7" eb="8">
      <t>ガク</t>
    </rPh>
    <phoneticPr fontId="5"/>
  </si>
  <si>
    <t>マニュアル
売価変更額</t>
    <rPh sb="6" eb="8">
      <t>バイカ</t>
    </rPh>
    <rPh sb="8" eb="10">
      <t>ヘンコウ</t>
    </rPh>
    <rPh sb="10" eb="11">
      <t>ガク</t>
    </rPh>
    <phoneticPr fontId="5"/>
  </si>
  <si>
    <t>値引額</t>
    <rPh sb="0" eb="2">
      <t>ネビキ</t>
    </rPh>
    <rPh sb="2" eb="3">
      <t>ガク</t>
    </rPh>
    <phoneticPr fontId="5"/>
  </si>
  <si>
    <t>＜作成実績＞</t>
    <rPh sb="1" eb="3">
      <t>サクセイ</t>
    </rPh>
    <rPh sb="3" eb="5">
      <t>ジッセキ</t>
    </rPh>
    <phoneticPr fontId="9"/>
  </si>
  <si>
    <t>①</t>
    <phoneticPr fontId="9"/>
  </si>
  <si>
    <t>定番売価額ー緊急売価変更</t>
    <phoneticPr fontId="9"/>
  </si>
  <si>
    <t>：マークダウン</t>
    <phoneticPr fontId="9"/>
  </si>
  <si>
    <t>※ 計算結果が０円、マイナスも実績出力する。</t>
    <rPh sb="15" eb="17">
      <t>ジッセキ</t>
    </rPh>
    <rPh sb="17" eb="19">
      <t>シュツリョク</t>
    </rPh>
    <phoneticPr fontId="9"/>
  </si>
  <si>
    <t>②</t>
    <phoneticPr fontId="9"/>
  </si>
  <si>
    <t>：ミックス</t>
    <phoneticPr fontId="9"/>
  </si>
  <si>
    <t>※ 計算結果が０、マイナスは実績作成しない。</t>
    <rPh sb="2" eb="4">
      <t>ケイサン</t>
    </rPh>
    <rPh sb="4" eb="6">
      <t>ケッカ</t>
    </rPh>
    <phoneticPr fontId="9"/>
  </si>
  <si>
    <t>③</t>
    <phoneticPr fontId="9"/>
  </si>
  <si>
    <t>緊急売価変更ーマニュアル売価変更金額　</t>
  </si>
  <si>
    <t>：マニュアル額値引　売価変更</t>
    <phoneticPr fontId="9"/>
  </si>
  <si>
    <t>マニュアル
売価変更額</t>
    <phoneticPr fontId="1"/>
  </si>
  <si>
    <t>マニュアル
売価変更額</t>
    <phoneticPr fontId="5"/>
  </si>
  <si>
    <t>緊急売価変更額＜マニュアル売価変更金額</t>
    <phoneticPr fontId="1"/>
  </si>
  <si>
    <t>定番売価額ーマニュアル売価変更金額</t>
    <phoneticPr fontId="9"/>
  </si>
  <si>
    <t>値引シール【3 金額】ーミックスマッチ金額</t>
    <phoneticPr fontId="9"/>
  </si>
  <si>
    <t>※ 値引額：値引実績</t>
    <phoneticPr fontId="1"/>
  </si>
  <si>
    <t>項番</t>
  </si>
  <si>
    <t>設定１</t>
  </si>
  <si>
    <t>処理１</t>
  </si>
  <si>
    <t>設定２</t>
  </si>
  <si>
    <t>処理２</t>
  </si>
  <si>
    <t>設定３</t>
  </si>
  <si>
    <t>処理３</t>
  </si>
  <si>
    <t>設定４</t>
  </si>
  <si>
    <t>処理４</t>
  </si>
  <si>
    <t>設定内容</t>
  </si>
  <si>
    <t>部門</t>
  </si>
  <si>
    <t>税区分</t>
  </si>
  <si>
    <t>商品名</t>
  </si>
  <si>
    <t>JAN</t>
  </si>
  <si>
    <t>JAN8桁</t>
  </si>
  <si>
    <t>売価</t>
  </si>
  <si>
    <t>定番売価</t>
  </si>
  <si>
    <t>特売</t>
  </si>
  <si>
    <t>ミックスマッチ</t>
  </si>
  <si>
    <t>シール金額</t>
  </si>
  <si>
    <t>特売企画</t>
  </si>
  <si>
    <t>ミックマッチ企画</t>
  </si>
  <si>
    <t>企画コード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</si>
  <si>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</si>
  <si>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</si>
  <si>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</si>
  <si>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</si>
  <si>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</si>
  <si>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</si>
  <si>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</si>
  <si>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値引フラグ</t>
  </si>
  <si>
    <t>値下</t>
  </si>
  <si>
    <t>特売期間売価変更</t>
  </si>
  <si>
    <t>マニュアル売価変更</t>
  </si>
  <si>
    <t>マニュアル売価変更金額＜緊急売価変更＜ミックスマッチ＜特売売価変更金額＜定番売価変更</t>
  </si>
  <si>
    <t>1</t>
  </si>
  <si>
    <t>外税</t>
  </si>
  <si>
    <t>ＴＶさばの西京漬焼き　　　　　　　　　　</t>
  </si>
  <si>
    <t>4549741161114</t>
  </si>
  <si>
    <t/>
  </si>
  <si>
    <t>298</t>
  </si>
  <si>
    <t>250</t>
  </si>
  <si>
    <t>200</t>
  </si>
  <si>
    <t>150</t>
  </si>
  <si>
    <t>100</t>
  </si>
  <si>
    <t>9999024</t>
  </si>
  <si>
    <t>9999033</t>
  </si>
  <si>
    <t>91220</t>
  </si>
  <si>
    <t>6</t>
  </si>
  <si>
    <t>2</t>
  </si>
  <si>
    <t>マニュアル額値引</t>
  </si>
  <si>
    <t>売価変更</t>
  </si>
  <si>
    <t>0</t>
  </si>
  <si>
    <t>91111</t>
  </si>
  <si>
    <t>－</t>
  </si>
  <si>
    <t>同額</t>
  </si>
  <si>
    <t>マニュアル売価変更金額＝緊急売価変更＜ミックスマッチ＜特売売価変更金額＜定番売価変更</t>
  </si>
  <si>
    <t>ＴＶフィッシュ＆チップス２２５Ｇ（－５℃</t>
  </si>
  <si>
    <t>4549741162357</t>
  </si>
  <si>
    <t>300</t>
  </si>
  <si>
    <t>値増</t>
  </si>
  <si>
    <t>緊急売価変更＜マニュアル売価変更金額＝ミックスマッチ＜特売売価変更金額＜定番売価変更</t>
  </si>
  <si>
    <t>ＴＶいわしの梅肉・大葉入りパン粉焼き　　</t>
  </si>
  <si>
    <t>4549741167062</t>
  </si>
  <si>
    <t>400</t>
  </si>
  <si>
    <t>マニュアル売価変更金額＜緊急売価変更＝ミックスマッチ＜特売売価変更金額＜定番売価変更</t>
  </si>
  <si>
    <t>ＴＶ　ＭＳＣ骨取さばのみそ煮２切　　　　</t>
  </si>
  <si>
    <t>4549741347709</t>
  </si>
  <si>
    <t>258</t>
  </si>
  <si>
    <t>マニュアル売価変更金額＝緊急売価変更＝ミックスマッチ＜特売売価変更金額＜定番売価変更</t>
  </si>
  <si>
    <t>ＴＶ　ＭＳＣ骨取さばの塩焼き２切　　　　</t>
  </si>
  <si>
    <t>4549741347716</t>
  </si>
  <si>
    <t>緊急売価変更＝ミックスマッチ＜特売売価変更金額＝マニュアル売価変更金額＜定番売価変更</t>
  </si>
  <si>
    <t>ＴＶ骨取赤魚の煮付け　２切　　　　　　　</t>
  </si>
  <si>
    <t>4549741557177</t>
  </si>
  <si>
    <t>91316</t>
  </si>
  <si>
    <t>緊急売価変更＜ミックスマッチ＝マニュアル売価変更金額＜特売売価変更金額＜定番売価変更</t>
  </si>
  <si>
    <t>ＴＶあさりのガーリックバター３４０ｇ　　</t>
  </si>
  <si>
    <t>4549741168250</t>
  </si>
  <si>
    <t>398</t>
  </si>
  <si>
    <t>ミックスマッチ＜特売売価変更金額＝マニュアル売価変更金額＝緊急売価変更＜定番売価変更</t>
  </si>
  <si>
    <t>えびとムール貝のアヒージョ　　　　　　　</t>
  </si>
  <si>
    <t>4901320129111</t>
  </si>
  <si>
    <t>緊急売価変更＜ミックスマッチ＜特売売価変更金額＜定番売価変更＝マニュアル売価変更金額</t>
  </si>
  <si>
    <t>ＴＶ　ＡＳＣ鮭のふっくら塩焼き２切　　　</t>
  </si>
  <si>
    <t>4549741345828</t>
  </si>
  <si>
    <t>マニュアル売価変更金額＜緊急売価変更＜ミックスマッチ＝特売売価変更金額＜定番売価変更</t>
  </si>
  <si>
    <t>塩さば（減塩）１３０ｇ　　　　　　　　　</t>
  </si>
  <si>
    <t>4902046767304</t>
  </si>
  <si>
    <t>9999034</t>
  </si>
  <si>
    <t>マニュアル売価変更金額＝緊急売価変更＜ミックスマッチ＝特売売価変更金額＜定番売価変更</t>
  </si>
  <si>
    <t>味噌汁の具（草笛）　　　　　　　　　　　</t>
  </si>
  <si>
    <t>4902046860937</t>
  </si>
  <si>
    <t>緊急売価変更＜ミックスマッチ＝特売売価変更金額＝マニュアル売価変更金額＜定番売価変更</t>
  </si>
  <si>
    <t>味噌汁の具（カット若布）　　　　　　　　</t>
  </si>
  <si>
    <t>4902046961146</t>
  </si>
  <si>
    <t>500</t>
  </si>
  <si>
    <t>マニュアル売価変更金額＜緊急売価変更＝ミックスマッチ＝特売売価変更金額＜定番売価変更</t>
  </si>
  <si>
    <t>ＴＶ白身フライ３００Ｇ　　　　　　　　　</t>
  </si>
  <si>
    <t>4902121400393</t>
  </si>
  <si>
    <t>マニュアル売価変更金額＝緊急売価変更＝ミックスマッチ＝特売売価変更金額＜定番売価変更</t>
  </si>
  <si>
    <t>ＴＶ　カキフライ８粒　　　　　　　　　　</t>
  </si>
  <si>
    <t>4902121790784</t>
  </si>
  <si>
    <t>緊急売価変更＝ミックスマッチ＝特売売価変更金額＜定番売価変更＝マニュアル売価変更金額</t>
  </si>
  <si>
    <t>紅ずわいがにドリア　　　　　　　　　　　</t>
  </si>
  <si>
    <t>4902150911860</t>
  </si>
  <si>
    <t>198</t>
  </si>
  <si>
    <t>ミックスマッチ＝特売売価変更金額＝マニュアル売価変更金額＜定番売価変更＜緊急売価変更</t>
  </si>
  <si>
    <t>アクアパッツァイタリアンハーブ仕立て　　</t>
  </si>
  <si>
    <t>4902402877890</t>
  </si>
  <si>
    <t>178</t>
  </si>
  <si>
    <t>マニュアル売価変更金額＜ミックスマッチ＝特売売価変更金額＜定番売価変更＜緊急売価変更</t>
  </si>
  <si>
    <t>海老・ホタテで作る北海道グラタンソース　</t>
  </si>
  <si>
    <t>4902402877869</t>
  </si>
  <si>
    <t>ミックスマッチ＝特売売価変更金額＜定番売価変更＜マニュアル売価変更金額＜緊急売価変更</t>
  </si>
  <si>
    <t>あさりで作る北海道チャウダー　　　　　　</t>
  </si>
  <si>
    <t>4902402880234</t>
  </si>
  <si>
    <t>350</t>
  </si>
  <si>
    <t>マニュアル売価変更金額＝緊急売価変更＜特売売価変更金額＜定番売価変更＜ミックスマッチ</t>
  </si>
  <si>
    <t>はばのり三昧　　　　　　　　　　　　　　</t>
  </si>
  <si>
    <t>4982885006680</t>
  </si>
  <si>
    <t>1280</t>
  </si>
  <si>
    <t>9999035</t>
  </si>
  <si>
    <t>緊急売価変更＜マニュアル売価変更金額＜特売売価変更金額＜定番売価変更＜ミックスマッチ</t>
  </si>
  <si>
    <t>本海藻（千葉産）　　　　　　　　　　　　</t>
  </si>
  <si>
    <t>4982885005577</t>
  </si>
  <si>
    <t>マニュアル売価変更金額＜緊急売価変更＜特売売価変更金額＜定番売価変更＜ミックスマッチ</t>
  </si>
  <si>
    <t>有頭焼き赤えび　６尾　　　　　　　　　　</t>
  </si>
  <si>
    <t>4994888003283</t>
  </si>
  <si>
    <t>780</t>
  </si>
  <si>
    <t>緊急売価変更＜特売売価変更金額＝マニュアル売価変更金額＜定番売価変更＜ミックスマッチ</t>
  </si>
  <si>
    <t>さば塩焼き（ガーリック味）１切れ　　　　</t>
  </si>
  <si>
    <t>4984138030978</t>
  </si>
  <si>
    <t>特売売価変更金額＜定番売価変更＝マニュアル売価変更金額＜緊急売価変更＝ミックスマッチ</t>
  </si>
  <si>
    <t>真いか直火焼き　　　　　　　　　　　　　</t>
  </si>
  <si>
    <t>4979957032562</t>
  </si>
  <si>
    <t>マニュアル売価変更金額＝特売売価変更金額＜定番売価変更＜緊急売価変更＝ミックスマッチ</t>
  </si>
  <si>
    <t>骨取りさわら西京焼１切　　　　　　　　　</t>
  </si>
  <si>
    <t>4990571130823</t>
  </si>
  <si>
    <t>緊急売価変更＜特売売価変更金額＜定番売価変更＝マニュアル売価変更金額＜ミックスマッチ</t>
  </si>
  <si>
    <t>赤魚塩焼き（ガーリック味）１切れ　　　　</t>
  </si>
  <si>
    <t>4984138611283</t>
  </si>
  <si>
    <t>特売売価変更金額＜定番売価変更＜マニュアル売価変更金額＝緊急売価変更＝ミックスマッチ</t>
  </si>
  <si>
    <t>赤魚塩焼き（ペッパー味）１切れ　　　　　</t>
  </si>
  <si>
    <t>4984138611290</t>
  </si>
  <si>
    <t>緊急売価変更＜特売売価変更金額＜定番売価変更＜ミックスマッチ＜マニュアル売価変更金額</t>
  </si>
  <si>
    <t>赤魚塩焼き（オリジナル味）１切れ　　　　</t>
  </si>
  <si>
    <t>4984138611313</t>
  </si>
  <si>
    <t>テストパターン_34_特売期間_ミックスマッチ_緊急売価変更_売価変更</t>
  </si>
  <si>
    <t>P1：マニュアル売価変更金額＜緊急売価変更＜ミックスマッチ＜特売売価変更金額＜定番売価変更</t>
    <phoneticPr fontId="1"/>
  </si>
  <si>
    <t>処理内容</t>
    <rPh sb="0" eb="2">
      <t>ショリ</t>
    </rPh>
    <rPh sb="2" eb="4">
      <t>ナイヨウ</t>
    </rPh>
    <phoneticPr fontId="1"/>
  </si>
  <si>
    <t>金額</t>
    <rPh sb="0" eb="2">
      <t>キンガク</t>
    </rPh>
    <phoneticPr fontId="1"/>
  </si>
  <si>
    <t>定番売価額</t>
    <rPh sb="0" eb="2">
      <t>テイバン</t>
    </rPh>
    <rPh sb="2" eb="4">
      <t>バイカ</t>
    </rPh>
    <rPh sb="4" eb="5">
      <t>ガク</t>
    </rPh>
    <phoneticPr fontId="1"/>
  </si>
  <si>
    <t>―</t>
    <phoneticPr fontId="1"/>
  </si>
  <si>
    <t>特売</t>
    <rPh sb="0" eb="2">
      <t>トクバイ</t>
    </rPh>
    <phoneticPr fontId="1"/>
  </si>
  <si>
    <t>ミックスマッチ金額（２個時１個分）</t>
    <rPh sb="7" eb="9">
      <t>キンガク</t>
    </rPh>
    <rPh sb="11" eb="12">
      <t>コ</t>
    </rPh>
    <rPh sb="12" eb="13">
      <t>ジ</t>
    </rPh>
    <rPh sb="14" eb="15">
      <t>コ</t>
    </rPh>
    <rPh sb="15" eb="16">
      <t>ブン</t>
    </rPh>
    <phoneticPr fontId="1"/>
  </si>
  <si>
    <t>（定番売価額ー緊急売価変更）×数量</t>
    <rPh sb="1" eb="3">
      <t>テイバン</t>
    </rPh>
    <rPh sb="3" eb="5">
      <t>バイカ</t>
    </rPh>
    <rPh sb="5" eb="6">
      <t>ガク</t>
    </rPh>
    <rPh sb="15" eb="17">
      <t>スウリョウ</t>
    </rPh>
    <phoneticPr fontId="1"/>
  </si>
  <si>
    <t>マニュアル売価変更金額</t>
    <rPh sb="5" eb="9">
      <t>バイカヘンコウ</t>
    </rPh>
    <phoneticPr fontId="3"/>
  </si>
  <si>
    <t>（緊急売価変更ーマニュアル売価変更金額）×数量</t>
    <rPh sb="1" eb="3">
      <t>キンキュウ</t>
    </rPh>
    <rPh sb="3" eb="5">
      <t>バイカ</t>
    </rPh>
    <rPh sb="5" eb="7">
      <t>ヘンコウ</t>
    </rPh>
    <rPh sb="21" eb="23">
      <t>スウリョウ</t>
    </rPh>
    <phoneticPr fontId="1"/>
  </si>
  <si>
    <t>マニュアル額値引</t>
    <phoneticPr fontId="1"/>
  </si>
  <si>
    <t>値引合計</t>
    <rPh sb="0" eb="2">
      <t>ネビキ</t>
    </rPh>
    <rPh sb="2" eb="4">
      <t>ゴウケイ</t>
    </rPh>
    <phoneticPr fontId="1"/>
  </si>
  <si>
    <t>P2：マニュアル売価変更金額＝緊急売価変更＜ミックスマッチ＜特売売価変更金額＜定番売価変更</t>
    <phoneticPr fontId="1"/>
  </si>
  <si>
    <t>P3：緊急売価変更＜マニュアル売価変更金額＜ミックスマッチ＜特売売価変更金額＜定番売価変更</t>
    <phoneticPr fontId="1"/>
  </si>
  <si>
    <t>（定番売価額ーマニュアル売価変更金額）×数量</t>
    <rPh sb="1" eb="3">
      <t>テイバン</t>
    </rPh>
    <rPh sb="3" eb="5">
      <t>バイカ</t>
    </rPh>
    <rPh sb="5" eb="6">
      <t>ガク</t>
    </rPh>
    <rPh sb="20" eb="22">
      <t>スウリョウ</t>
    </rPh>
    <phoneticPr fontId="1"/>
  </si>
  <si>
    <t>P4：緊急売価変更＜マニュアル売価変更金額＝ミックスマッチ＜特売売価変更金額＜定番売価変更</t>
    <phoneticPr fontId="1"/>
  </si>
  <si>
    <t>P5；緊急売価変更＜ミックスマッチ＜マニュアル売価変更金額＜特売売価変更金額＜定番売価変更</t>
    <phoneticPr fontId="1"/>
  </si>
  <si>
    <t>（マニュアル売価変更金額ーミックスマッチ金額）×数量</t>
    <rPh sb="20" eb="22">
      <t>キンガク</t>
    </rPh>
    <rPh sb="24" eb="26">
      <t>スウリョウ</t>
    </rPh>
    <phoneticPr fontId="1"/>
  </si>
  <si>
    <t>P6；緊急売価変更＜ミックスマッチ＝マニュアル売価変更金額＜特売売価変更金額＜定番売価変更</t>
    <phoneticPr fontId="1"/>
  </si>
  <si>
    <t>P7；緊急売価変更＜ミックスマッチ＜特売売価変更金額＜マニュアル売価変更金額＜定番売価変更</t>
    <phoneticPr fontId="1"/>
  </si>
  <si>
    <t>P8；緊急売価変更＜ミックスマッチ＜特売売価変更金額＝マニュアル売価変更金額＜定番売価変更</t>
    <phoneticPr fontId="1"/>
  </si>
  <si>
    <t>P9；緊急売価変更＜ミックスマッチ＜特売売価変更金額＜定番売価変更＜マニュアル売価変更金額</t>
    <phoneticPr fontId="1"/>
  </si>
  <si>
    <t>P10；緊急売価変更＜ミックスマッチ＜特売売価変更金額＜定番売価変更＝マニュアル売価変更金額</t>
    <phoneticPr fontId="1"/>
  </si>
  <si>
    <t>P11：</t>
    <phoneticPr fontId="1"/>
  </si>
  <si>
    <t>緊急売価変更額＞＝マニュアル売価変更金額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rPh sb="14" eb="16">
      <t>バイカ</t>
    </rPh>
    <rPh sb="16" eb="18">
      <t>ヘンコウ</t>
    </rPh>
    <rPh sb="18" eb="20">
      <t>キンガク</t>
    </rPh>
    <phoneticPr fontId="1"/>
  </si>
  <si>
    <t>P12：</t>
    <phoneticPr fontId="1"/>
  </si>
  <si>
    <t>不要</t>
    <rPh sb="0" eb="2">
      <t>フヨウ</t>
    </rPh>
    <phoneticPr fontId="1"/>
  </si>
  <si>
    <t>P13：</t>
    <phoneticPr fontId="1"/>
  </si>
  <si>
    <t>P14：</t>
    <phoneticPr fontId="1"/>
  </si>
  <si>
    <t>P15：</t>
    <phoneticPr fontId="1"/>
  </si>
  <si>
    <t>P16：</t>
    <phoneticPr fontId="1"/>
  </si>
  <si>
    <t>P17：</t>
    <phoneticPr fontId="1"/>
  </si>
  <si>
    <t>P18：</t>
    <phoneticPr fontId="1"/>
  </si>
  <si>
    <t>（緊急売価変更ーミックスマッチ金額）×数量</t>
    <rPh sb="15" eb="17">
      <t>キンガク</t>
    </rPh>
    <rPh sb="19" eb="21">
      <t>スウリョウ</t>
    </rPh>
    <phoneticPr fontId="1"/>
  </si>
  <si>
    <t>P19：</t>
    <phoneticPr fontId="1"/>
  </si>
  <si>
    <t>P20：</t>
    <phoneticPr fontId="1"/>
  </si>
  <si>
    <t>P21：</t>
    <phoneticPr fontId="1"/>
  </si>
  <si>
    <t>テスト結果無し</t>
    <rPh sb="3" eb="5">
      <t>ケッカ</t>
    </rPh>
    <rPh sb="5" eb="6">
      <t>ナ</t>
    </rPh>
    <phoneticPr fontId="1"/>
  </si>
  <si>
    <t>P22：</t>
    <phoneticPr fontId="1"/>
  </si>
  <si>
    <t>P23：</t>
    <phoneticPr fontId="1"/>
  </si>
  <si>
    <t>P24：</t>
    <phoneticPr fontId="1"/>
  </si>
  <si>
    <t>P25：</t>
    <phoneticPr fontId="1"/>
  </si>
  <si>
    <t>P26：</t>
    <phoneticPr fontId="1"/>
  </si>
  <si>
    <t>P27：</t>
    <phoneticPr fontId="1"/>
  </si>
  <si>
    <t>P28：</t>
    <phoneticPr fontId="1"/>
  </si>
  <si>
    <t>P29：</t>
    <phoneticPr fontId="1"/>
  </si>
  <si>
    <t>P30：</t>
    <phoneticPr fontId="1"/>
  </si>
  <si>
    <t>P31：</t>
    <phoneticPr fontId="1"/>
  </si>
  <si>
    <t>P32：</t>
    <phoneticPr fontId="1"/>
  </si>
  <si>
    <t>P33：</t>
    <phoneticPr fontId="1"/>
  </si>
  <si>
    <t>P34：</t>
    <phoneticPr fontId="1"/>
  </si>
  <si>
    <t>P35：</t>
    <phoneticPr fontId="1"/>
  </si>
  <si>
    <t>P36：</t>
    <phoneticPr fontId="1"/>
  </si>
  <si>
    <t>P37：</t>
    <phoneticPr fontId="1"/>
  </si>
  <si>
    <t>P38：</t>
    <phoneticPr fontId="1"/>
  </si>
  <si>
    <t>P39：</t>
    <phoneticPr fontId="1"/>
  </si>
  <si>
    <t>P40：</t>
    <phoneticPr fontId="1"/>
  </si>
  <si>
    <t>P41：</t>
    <phoneticPr fontId="1"/>
  </si>
  <si>
    <t>P42：</t>
    <phoneticPr fontId="1"/>
  </si>
  <si>
    <t>P43：</t>
    <phoneticPr fontId="1"/>
  </si>
  <si>
    <t>P44：</t>
    <phoneticPr fontId="1"/>
  </si>
  <si>
    <t>P45：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</si>
</sst>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rgb="FFFF000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150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>
      <alignment vertical="center"/>
    </xf>
    <xf numFmtId="0" fontId="4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 wrapText="1"/>
    </xf>
    <xf numFmtId="0" fontId="8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>
      <alignment vertical="center"/>
    </xf>
    <xf numFmtId="0" fontId="4" fillId="2" borderId="2" xfId="2" applyFont="1" applyFill="1" applyBorder="1" applyAlignment="1">
      <alignment horizontal="left"/>
    </xf>
    <xf numFmtId="0" fontId="4" fillId="2" borderId="2" xfId="2" applyFont="1" applyFill="1" applyBorder="1" applyAlignment="1">
      <alignment horizontal="left" wrapText="1"/>
    </xf>
    <xf numFmtId="0" fontId="7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>
      <alignment vertical="center"/>
    </xf>
    <xf numFmtId="0" fontId="4" fillId="3" borderId="2" xfId="2" applyFont="1" applyFill="1" applyBorder="1" applyAlignment="1">
      <alignment horizontal="left"/>
    </xf>
    <xf numFmtId="0" fontId="4" fillId="3" borderId="2" xfId="2" applyFont="1" applyFill="1" applyBorder="1" applyAlignment="1">
      <alignment horizontal="left" wrapText="1"/>
    </xf>
    <xf numFmtId="0" fontId="2" fillId="0" borderId="2" xfId="2" applyBorder="1" applyAlignment="1">
      <alignment wrapText="1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9" xfId="0" applyBorder="1" applyAlignment="1">
      <alignment horizontal="left" vertical="center"/>
    </xf>
    <xf numFmtId="0" fontId="2" fillId="0" borderId="11" xfId="1" applyBorder="1" applyAlignment="1">
      <alignment horizontal="center"/>
    </xf>
    <xf numFmtId="0" fontId="2" fillId="0" borderId="1" xfId="1" applyBorder="1" applyAlignment="1">
      <alignment horizontal="right" wrapText="1"/>
    </xf>
    <xf numFmtId="0" fontId="2" fillId="0" borderId="1" xfId="1" applyBorder="1" applyAlignment="1">
      <alignment wrapText="1"/>
    </xf>
    <xf numFmtId="0" fontId="2" fillId="0" borderId="1" xfId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7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quotePrefix="1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4" fillId="0" borderId="27" xfId="1" applyFont="1" applyBorder="1" applyAlignment="1">
      <alignment wrapText="1"/>
    </xf>
    <xf numFmtId="0" fontId="7" fillId="0" borderId="28" xfId="0" applyFont="1" applyBorder="1">
      <alignment vertical="center"/>
    </xf>
    <xf numFmtId="0" fontId="7" fillId="0" borderId="13" xfId="0" applyFont="1" applyBorder="1">
      <alignment vertical="center"/>
    </xf>
    <xf numFmtId="0" fontId="4" fillId="0" borderId="13" xfId="1" applyFont="1" applyBorder="1" applyAlignment="1">
      <alignment wrapText="1"/>
    </xf>
    <xf numFmtId="0" fontId="7" fillId="0" borderId="30" xfId="0" applyFont="1" applyBorder="1">
      <alignment vertical="center"/>
    </xf>
    <xf numFmtId="0" fontId="7" fillId="0" borderId="12" xfId="0" applyFont="1" applyBorder="1">
      <alignment vertical="center"/>
    </xf>
    <xf numFmtId="0" fontId="4" fillId="0" borderId="12" xfId="1" applyFont="1" applyBorder="1" applyAlignment="1">
      <alignment wrapText="1"/>
    </xf>
    <xf numFmtId="0" fontId="7" fillId="0" borderId="32" xfId="0" applyFont="1" applyBorder="1">
      <alignment vertical="center"/>
    </xf>
    <xf numFmtId="0" fontId="7" fillId="0" borderId="34" xfId="0" applyFont="1" applyBorder="1">
      <alignment vertical="center"/>
    </xf>
    <xf numFmtId="0" fontId="4" fillId="0" borderId="34" xfId="1" applyFont="1" applyBorder="1" applyAlignment="1">
      <alignment wrapText="1"/>
    </xf>
    <xf numFmtId="0" fontId="7" fillId="0" borderId="35" xfId="0" applyFont="1" applyBorder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3" xfId="0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4" borderId="0" xfId="0" applyFill="1" applyAlignment="1">
      <alignment vertical="center"/>
    </xf>
    <xf numFmtId="0" fontId="7" fillId="0" borderId="14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4" borderId="22" xfId="0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</cellXfs>
  <cellStyles count="3">
    <cellStyle name="標準" xfId="0" builtinId="0"/>
    <cellStyle name="標準_Sheet4" xfId="1" xr:uid="{00000000-0005-0000-0000-000001000000}"/>
    <cellStyle name="標準_値引確認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4BED-A697-4287-918E-6BBB6A7A7CAB}">
  <dimension ref="A1:G10"/>
  <sheetViews>
    <sheetView workbookViewId="0">
      <selection sqref="A1:G1"/>
    </sheetView>
  </sheetViews>
  <sheetFormatPr defaultRowHeight="13.5"/>
  <cols>
    <col min="1" max="1" width="13.875" style="49" bestFit="1" customWidth="1"/>
    <col min="2" max="2" width="45.625" style="1" bestFit="1" customWidth="1"/>
    <col min="3" max="3" width="38.25" style="1" bestFit="1" customWidth="1"/>
    <col min="4" max="4" width="11.625" style="1" bestFit="1" customWidth="1"/>
    <col min="5" max="5" width="9.5" style="1" bestFit="1" customWidth="1"/>
    <col min="6" max="6" width="27.25" style="1" bestFit="1" customWidth="1"/>
    <col min="7" max="7" width="82.625" style="1" bestFit="1" customWidth="1"/>
    <col min="8" max="16384" width="9" style="1"/>
  </cols>
  <sheetData>
    <row r="1" spans="1:7" ht="24">
      <c r="A1" s="84" t="s">
        <v>0</v>
      </c>
      <c r="B1" s="85"/>
      <c r="C1" s="85"/>
      <c r="D1" s="85"/>
      <c r="E1" s="85"/>
      <c r="F1" s="85"/>
      <c r="G1" s="133"/>
    </row>
    <row r="2" spans="1:7" ht="14.25" thickBot="1"/>
    <row r="3" spans="1:7" s="49" customFormat="1" ht="14.25" thickBot="1">
      <c r="A3" s="66" t="s">
        <v>1</v>
      </c>
      <c r="B3" s="67" t="s">
        <v>2</v>
      </c>
      <c r="C3" s="67" t="s">
        <v>3</v>
      </c>
      <c r="D3" s="68" t="s">
        <v>4</v>
      </c>
      <c r="E3" s="68" t="s">
        <v>5</v>
      </c>
      <c r="F3" s="67" t="s">
        <v>6</v>
      </c>
      <c r="G3" s="69" t="s">
        <v>7</v>
      </c>
    </row>
    <row r="4" spans="1:7">
      <c r="A4" s="82">
        <v>1</v>
      </c>
      <c r="B4" s="134" t="s">
        <v>8</v>
      </c>
      <c r="C4" s="70" t="s">
        <v>9</v>
      </c>
      <c r="D4" s="71">
        <v>91111</v>
      </c>
      <c r="E4" s="71">
        <v>0</v>
      </c>
      <c r="F4" s="70" t="s">
        <v>10</v>
      </c>
      <c r="G4" s="72"/>
    </row>
    <row r="5" spans="1:7">
      <c r="A5" s="86"/>
      <c r="B5" s="135"/>
      <c r="C5" s="73" t="s">
        <v>11</v>
      </c>
      <c r="D5" s="74">
        <v>91220</v>
      </c>
      <c r="E5" s="74">
        <v>1</v>
      </c>
      <c r="F5" s="73" t="s">
        <v>12</v>
      </c>
      <c r="G5" s="75"/>
    </row>
    <row r="6" spans="1:7" ht="14.25" thickBot="1">
      <c r="A6" s="87"/>
      <c r="B6" s="136"/>
      <c r="C6" s="76" t="s">
        <v>13</v>
      </c>
      <c r="D6" s="77">
        <v>91316</v>
      </c>
      <c r="E6" s="77">
        <v>0</v>
      </c>
      <c r="F6" s="76" t="s">
        <v>14</v>
      </c>
      <c r="G6" s="78" t="s">
        <v>15</v>
      </c>
    </row>
    <row r="7" spans="1:7">
      <c r="A7" s="82">
        <v>2</v>
      </c>
      <c r="B7" s="134" t="s">
        <v>16</v>
      </c>
      <c r="C7" s="70" t="s">
        <v>9</v>
      </c>
      <c r="D7" s="71">
        <v>91111</v>
      </c>
      <c r="E7" s="71">
        <v>0</v>
      </c>
      <c r="F7" s="70" t="s">
        <v>17</v>
      </c>
      <c r="G7" s="72"/>
    </row>
    <row r="8" spans="1:7" ht="14.25" thickBot="1">
      <c r="A8" s="87"/>
      <c r="B8" s="136"/>
      <c r="C8" s="76" t="s">
        <v>18</v>
      </c>
      <c r="D8" s="77">
        <v>91316</v>
      </c>
      <c r="E8" s="77">
        <v>0</v>
      </c>
      <c r="F8" s="76" t="s">
        <v>14</v>
      </c>
      <c r="G8" s="78" t="s">
        <v>15</v>
      </c>
    </row>
    <row r="9" spans="1:7">
      <c r="A9" s="82">
        <v>3</v>
      </c>
      <c r="B9" s="134" t="s">
        <v>19</v>
      </c>
      <c r="C9" s="70" t="s">
        <v>20</v>
      </c>
      <c r="D9" s="71">
        <v>91111</v>
      </c>
      <c r="E9" s="71">
        <v>0</v>
      </c>
      <c r="F9" s="70" t="s">
        <v>17</v>
      </c>
      <c r="G9" s="72" t="s">
        <v>21</v>
      </c>
    </row>
    <row r="10" spans="1:7" ht="14.25" thickBot="1">
      <c r="A10" s="83"/>
      <c r="B10" s="137"/>
      <c r="C10" s="79" t="s">
        <v>18</v>
      </c>
      <c r="D10" s="80">
        <v>91316</v>
      </c>
      <c r="E10" s="80">
        <v>0</v>
      </c>
      <c r="F10" s="79" t="s">
        <v>14</v>
      </c>
      <c r="G10" s="81" t="s">
        <v>15</v>
      </c>
    </row>
  </sheetData>
  <mergeCells count="7">
    <mergeCell ref="A9:A10"/>
    <mergeCell ref="B9:B10"/>
    <mergeCell ref="A1:G1"/>
    <mergeCell ref="A4:A6"/>
    <mergeCell ref="B4:B6"/>
    <mergeCell ref="A7:A8"/>
    <mergeCell ref="B7:B8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2AA4-6291-4832-8E0D-9DC840EEBDCA}">
  <dimension ref="D3:U84"/>
  <sheetViews>
    <sheetView tabSelected="1" topLeftCell="D1" workbookViewId="0">
      <selection activeCell="E9" sqref="E9"/>
    </sheetView>
  </sheetViews>
  <sheetFormatPr defaultRowHeight="18.75"/>
  <cols>
    <col min="1" max="3" width="3.125" customWidth="1"/>
    <col min="4" max="4" width="13.875" bestFit="1" customWidth="1"/>
    <col min="5" max="5" width="68.5" customWidth="1"/>
    <col min="6" max="6" width="3.75" customWidth="1"/>
    <col min="7" max="7" width="9.5" bestFit="1" customWidth="1"/>
    <col min="8" max="8" width="31.625" bestFit="1" customWidth="1"/>
    <col min="9" max="9" width="26.125" bestFit="1" customWidth="1"/>
    <col min="10" max="10" width="34.875" customWidth="1"/>
    <col min="12" max="12" width="11.75" customWidth="1"/>
    <col min="13" max="13" width="31.625" bestFit="1" customWidth="1"/>
    <col min="14" max="14" width="26.125" bestFit="1" customWidth="1"/>
    <col min="15" max="15" width="36.125" bestFit="1" customWidth="1"/>
    <col min="17" max="17" width="15" bestFit="1" customWidth="1"/>
    <col min="18" max="18" width="31.625" bestFit="1" customWidth="1"/>
    <col min="19" max="19" width="27.25" bestFit="1" customWidth="1"/>
    <col min="20" max="20" width="37.5" customWidth="1"/>
  </cols>
  <sheetData>
    <row r="3" spans="4:21" ht="19.5" thickBot="1"/>
    <row r="4" spans="4:21" s="1" customFormat="1" ht="13.5">
      <c r="D4" s="44" t="s">
        <v>22</v>
      </c>
      <c r="E4" s="45"/>
      <c r="F4" s="45"/>
      <c r="G4" s="45"/>
      <c r="H4" s="45"/>
      <c r="I4" s="45"/>
      <c r="J4" s="45"/>
      <c r="K4" s="46"/>
      <c r="L4" s="46"/>
      <c r="M4" s="46"/>
      <c r="N4" s="46"/>
      <c r="O4" s="46"/>
      <c r="P4" s="46"/>
      <c r="Q4" s="46"/>
      <c r="R4" s="46"/>
      <c r="S4" s="46"/>
      <c r="T4" s="46"/>
      <c r="U4" s="47"/>
    </row>
    <row r="5" spans="4:21" s="1" customFormat="1" ht="13.5">
      <c r="D5" s="48">
        <v>1</v>
      </c>
      <c r="E5" s="25" t="s">
        <v>23</v>
      </c>
      <c r="F5" s="25"/>
      <c r="G5" s="25"/>
      <c r="H5" s="25"/>
      <c r="I5" s="49"/>
      <c r="J5" s="49"/>
      <c r="U5" s="50"/>
    </row>
    <row r="6" spans="4:21" s="1" customFormat="1" ht="13.5">
      <c r="D6" s="48"/>
      <c r="E6" s="25"/>
      <c r="F6" s="25"/>
      <c r="G6" s="25"/>
      <c r="H6" s="25"/>
      <c r="I6" s="49"/>
      <c r="J6" s="49"/>
      <c r="U6" s="50"/>
    </row>
    <row r="7" spans="4:21" s="49" customFormat="1" ht="13.5">
      <c r="D7" s="48"/>
      <c r="E7" s="49" t="s">
        <v>24</v>
      </c>
      <c r="H7" s="49" t="str">
        <f>"2個"&amp;H10&amp;"円にミックスマッチ設定"</f>
        <v>2個500円にミックスマッチ設定</v>
      </c>
      <c r="I7" s="49" t="str">
        <f>I9&amp;"円に緊急売価変更設定"</f>
        <v>200円に緊急売価変更設定</v>
      </c>
      <c r="J7" s="49" t="str">
        <f>J9&amp;"円のレジでの売価変更"</f>
        <v>150円のレジでの売価変更</v>
      </c>
      <c r="M7" s="49" t="str">
        <f>"2個"&amp;M10&amp;"円にミックスマッチ設定"</f>
        <v>2個600円にミックスマッチ設定</v>
      </c>
      <c r="N7" s="49" t="str">
        <f>N9&amp;"円に緊急売価変更設定"</f>
        <v>300円に緊急売価変更設定</v>
      </c>
      <c r="O7" s="49" t="str">
        <f>O9&amp;"円のレジでの売価変更"</f>
        <v>250円のレジでの売価変更</v>
      </c>
      <c r="R7" s="49" t="str">
        <f>"2個"&amp;R10&amp;"円にミックスマッチ設定"</f>
        <v>2個700円にミックスマッチ設定</v>
      </c>
      <c r="S7" s="49" t="str">
        <f>S9&amp;"円に緊急売価変更設定"</f>
        <v>400円に緊急売価変更設定</v>
      </c>
      <c r="T7" s="49" t="str">
        <f>T9&amp;"円のレジでの売価変更"</f>
        <v>350円のレジでの売価変更</v>
      </c>
      <c r="U7" s="51"/>
    </row>
    <row r="8" spans="4:21" s="1" customFormat="1" ht="13.5">
      <c r="D8" s="48"/>
      <c r="E8" s="52"/>
      <c r="F8" s="52"/>
      <c r="G8" s="25"/>
      <c r="H8" s="49"/>
      <c r="I8" s="49"/>
      <c r="J8" s="49"/>
      <c r="M8" s="49"/>
      <c r="R8" s="49"/>
      <c r="U8" s="50"/>
    </row>
    <row r="9" spans="4:21" s="1" customFormat="1" ht="13.5">
      <c r="D9" s="48"/>
      <c r="E9" s="52" t="s">
        <v>25</v>
      </c>
      <c r="F9" s="52"/>
      <c r="G9" s="49"/>
      <c r="H9" s="49">
        <v>250</v>
      </c>
      <c r="I9" s="49">
        <v>200</v>
      </c>
      <c r="J9" s="49">
        <v>150</v>
      </c>
      <c r="M9" s="49">
        <v>300</v>
      </c>
      <c r="N9" s="49">
        <v>300</v>
      </c>
      <c r="O9" s="49">
        <v>250</v>
      </c>
      <c r="R9" s="49">
        <v>350</v>
      </c>
      <c r="S9" s="49">
        <v>400</v>
      </c>
      <c r="T9" s="49">
        <v>350</v>
      </c>
      <c r="U9" s="50"/>
    </row>
    <row r="10" spans="4:21" s="1" customFormat="1" ht="13.5">
      <c r="D10" s="48"/>
      <c r="E10" s="52" t="s">
        <v>26</v>
      </c>
      <c r="F10" s="49"/>
      <c r="G10" s="49"/>
      <c r="H10" s="49">
        <v>500</v>
      </c>
      <c r="I10" s="49">
        <v>400</v>
      </c>
      <c r="J10" s="49">
        <v>300</v>
      </c>
      <c r="M10" s="49">
        <v>600</v>
      </c>
      <c r="N10" s="49">
        <v>600</v>
      </c>
      <c r="O10" s="49">
        <v>500</v>
      </c>
      <c r="R10" s="49">
        <v>700</v>
      </c>
      <c r="S10" s="49">
        <v>800</v>
      </c>
      <c r="T10" s="49">
        <v>700</v>
      </c>
      <c r="U10" s="50"/>
    </row>
    <row r="11" spans="4:21" s="1" customFormat="1" ht="13.5">
      <c r="D11" s="48"/>
      <c r="E11" s="52"/>
      <c r="F11" s="49"/>
      <c r="G11" s="49"/>
      <c r="H11" s="49"/>
      <c r="I11" s="49"/>
      <c r="J11" s="49"/>
      <c r="M11" s="49"/>
      <c r="N11" s="49"/>
      <c r="O11" s="49"/>
      <c r="S11" s="49"/>
      <c r="T11" s="49"/>
      <c r="U11" s="50"/>
    </row>
    <row r="12" spans="4:21" s="1" customFormat="1" ht="13.5">
      <c r="D12" s="48"/>
      <c r="E12" s="52"/>
      <c r="F12" s="49"/>
      <c r="G12" s="49"/>
      <c r="H12" s="49"/>
      <c r="I12" s="49"/>
      <c r="J12" s="49"/>
      <c r="M12" s="49"/>
      <c r="N12" s="49"/>
      <c r="O12" s="49"/>
      <c r="Q12" s="88" t="s">
        <v>27</v>
      </c>
      <c r="R12" s="53" t="s">
        <v>28</v>
      </c>
      <c r="S12" s="89" t="s">
        <v>29</v>
      </c>
      <c r="T12" s="53" t="s">
        <v>28</v>
      </c>
      <c r="U12" s="50"/>
    </row>
    <row r="13" spans="4:21" s="1" customFormat="1" ht="13.5">
      <c r="D13" s="48"/>
      <c r="E13" s="49"/>
      <c r="F13" s="49"/>
      <c r="G13" s="49"/>
      <c r="H13" s="49"/>
      <c r="I13" s="49"/>
      <c r="J13" s="49"/>
      <c r="M13" s="49"/>
      <c r="N13" s="49"/>
      <c r="O13" s="49"/>
      <c r="Q13" s="138"/>
      <c r="R13" s="90" t="s">
        <v>30</v>
      </c>
      <c r="S13" s="139"/>
      <c r="T13" s="91" t="s">
        <v>31</v>
      </c>
      <c r="U13" s="50"/>
    </row>
    <row r="14" spans="4:21" s="1" customFormat="1" ht="13.5" customHeight="1">
      <c r="D14" s="48"/>
      <c r="E14" s="49"/>
      <c r="F14" s="49"/>
      <c r="G14" s="92" t="s">
        <v>32</v>
      </c>
      <c r="H14" s="49"/>
      <c r="I14" s="95" t="s">
        <v>33</v>
      </c>
      <c r="J14" s="49"/>
      <c r="L14" s="92" t="s">
        <v>32</v>
      </c>
      <c r="M14" s="97" t="s">
        <v>34</v>
      </c>
      <c r="N14" s="100" t="s">
        <v>35</v>
      </c>
      <c r="O14" s="53" t="s">
        <v>28</v>
      </c>
      <c r="Q14" s="92" t="s">
        <v>32</v>
      </c>
      <c r="R14" s="139"/>
      <c r="S14" s="139"/>
      <c r="T14" s="138"/>
      <c r="U14" s="50"/>
    </row>
    <row r="15" spans="4:21" s="1" customFormat="1" ht="13.5" customHeight="1">
      <c r="D15" s="48"/>
      <c r="E15" s="49"/>
      <c r="F15" s="49"/>
      <c r="G15" s="93"/>
      <c r="H15" s="97" t="s">
        <v>36</v>
      </c>
      <c r="I15" s="96"/>
      <c r="J15" s="49"/>
      <c r="L15" s="93"/>
      <c r="M15" s="98"/>
      <c r="N15" s="140"/>
      <c r="O15" s="101" t="s">
        <v>37</v>
      </c>
      <c r="Q15" s="93"/>
      <c r="R15" s="139"/>
      <c r="S15" s="139"/>
      <c r="T15" s="138"/>
      <c r="U15" s="50"/>
    </row>
    <row r="16" spans="4:21" s="1" customFormat="1" ht="13.5" customHeight="1">
      <c r="D16" s="48"/>
      <c r="E16" s="49"/>
      <c r="F16" s="49"/>
      <c r="G16" s="93"/>
      <c r="H16" s="98"/>
      <c r="I16" s="102" t="s">
        <v>38</v>
      </c>
      <c r="J16" s="53" t="s">
        <v>28</v>
      </c>
      <c r="L16" s="93"/>
      <c r="M16" s="98"/>
      <c r="N16" s="140"/>
      <c r="O16" s="141"/>
      <c r="Q16" s="93"/>
      <c r="R16" s="139"/>
      <c r="S16" s="139"/>
      <c r="T16" s="138"/>
      <c r="U16" s="50"/>
    </row>
    <row r="17" spans="4:21" s="1" customFormat="1" ht="13.5" customHeight="1">
      <c r="D17" s="48"/>
      <c r="E17" s="49"/>
      <c r="F17" s="49"/>
      <c r="G17" s="93"/>
      <c r="H17" s="98"/>
      <c r="I17" s="103"/>
      <c r="J17" s="101" t="s">
        <v>39</v>
      </c>
      <c r="L17" s="93"/>
      <c r="M17" s="98"/>
      <c r="N17" s="140"/>
      <c r="O17" s="141"/>
      <c r="Q17" s="93"/>
      <c r="R17" s="139"/>
      <c r="S17" s="139"/>
      <c r="T17" s="138"/>
      <c r="U17" s="50"/>
    </row>
    <row r="18" spans="4:21" s="1" customFormat="1" ht="13.5" customHeight="1">
      <c r="D18" s="48"/>
      <c r="E18" s="49"/>
      <c r="F18" s="49"/>
      <c r="G18" s="93"/>
      <c r="H18" s="98"/>
      <c r="I18" s="103"/>
      <c r="J18" s="104"/>
      <c r="L18" s="93"/>
      <c r="M18" s="98"/>
      <c r="N18" s="140"/>
      <c r="O18" s="141"/>
      <c r="Q18" s="93"/>
      <c r="R18" s="139"/>
      <c r="S18" s="139"/>
      <c r="T18" s="138"/>
      <c r="U18" s="50"/>
    </row>
    <row r="19" spans="4:21" s="1" customFormat="1" ht="13.5" customHeight="1">
      <c r="D19" s="48"/>
      <c r="E19" s="49"/>
      <c r="F19" s="49"/>
      <c r="G19" s="94"/>
      <c r="H19" s="99"/>
      <c r="I19" s="103"/>
      <c r="J19" s="104"/>
      <c r="L19" s="94"/>
      <c r="M19" s="99"/>
      <c r="N19" s="140"/>
      <c r="O19" s="141"/>
      <c r="Q19" s="94"/>
      <c r="R19" s="142"/>
      <c r="S19" s="142"/>
      <c r="T19" s="138"/>
      <c r="U19" s="50"/>
    </row>
    <row r="20" spans="4:21" s="1" customFormat="1" ht="13.5">
      <c r="D20" s="48"/>
      <c r="E20" s="54" t="s">
        <v>40</v>
      </c>
      <c r="F20" s="54"/>
      <c r="G20" s="54"/>
      <c r="H20" s="54"/>
      <c r="I20" s="2">
        <v>200</v>
      </c>
      <c r="J20" s="2">
        <v>100</v>
      </c>
      <c r="M20" s="2"/>
      <c r="N20" s="55">
        <v>0</v>
      </c>
      <c r="O20" s="2">
        <v>100</v>
      </c>
      <c r="R20" s="2">
        <v>100</v>
      </c>
      <c r="S20" s="55">
        <v>-200</v>
      </c>
      <c r="T20" s="2">
        <v>100</v>
      </c>
      <c r="U20" s="50"/>
    </row>
    <row r="21" spans="4:21" s="1" customFormat="1">
      <c r="D21" s="48"/>
      <c r="E21" s="54" t="s">
        <v>41</v>
      </c>
      <c r="F21" s="54"/>
      <c r="G21" s="54"/>
      <c r="H21" s="105">
        <v>300</v>
      </c>
      <c r="I21" s="106"/>
      <c r="J21" s="107"/>
      <c r="M21" s="108">
        <v>500</v>
      </c>
      <c r="N21" s="106"/>
      <c r="O21" s="107"/>
      <c r="R21" s="108">
        <v>600</v>
      </c>
      <c r="S21" s="106"/>
      <c r="T21" s="107"/>
      <c r="U21" s="50"/>
    </row>
    <row r="22" spans="4:21" s="1" customFormat="1" ht="13.5">
      <c r="D22" s="48"/>
      <c r="E22" s="54"/>
      <c r="F22" s="54"/>
      <c r="G22" s="54"/>
      <c r="H22" s="54"/>
      <c r="I22" s="49"/>
      <c r="J22" s="49"/>
      <c r="N22" s="49"/>
      <c r="O22" s="49"/>
      <c r="S22" s="49"/>
      <c r="T22" s="49"/>
      <c r="U22" s="50"/>
    </row>
    <row r="23" spans="4:21" s="1" customFormat="1" ht="13.5">
      <c r="D23" s="48"/>
      <c r="E23" s="54" t="s">
        <v>42</v>
      </c>
      <c r="F23" s="54"/>
      <c r="G23" s="54"/>
      <c r="H23" s="54"/>
      <c r="I23" s="49"/>
      <c r="J23" s="49"/>
      <c r="N23" s="49"/>
      <c r="O23" s="49"/>
      <c r="S23" s="49"/>
      <c r="T23" s="49"/>
      <c r="U23" s="50"/>
    </row>
    <row r="24" spans="4:21" s="1" customFormat="1" ht="13.5">
      <c r="D24" s="48"/>
      <c r="E24" s="56" t="s">
        <v>43</v>
      </c>
      <c r="F24" s="56"/>
      <c r="G24" s="54"/>
      <c r="H24" s="109" t="s">
        <v>44</v>
      </c>
      <c r="I24" s="49">
        <v>91111</v>
      </c>
      <c r="J24" s="49">
        <v>91220</v>
      </c>
      <c r="M24" s="109" t="s">
        <v>44</v>
      </c>
      <c r="N24" s="49">
        <v>91111</v>
      </c>
      <c r="O24" s="49">
        <v>91220</v>
      </c>
      <c r="R24" s="49">
        <v>91316</v>
      </c>
      <c r="S24" s="49">
        <v>91111</v>
      </c>
      <c r="T24" s="49">
        <v>91220</v>
      </c>
      <c r="U24" s="50"/>
    </row>
    <row r="25" spans="4:21" s="1" customFormat="1" ht="13.5">
      <c r="D25" s="48"/>
      <c r="E25" s="56" t="s">
        <v>45</v>
      </c>
      <c r="F25" s="56"/>
      <c r="G25" s="54"/>
      <c r="H25" s="110"/>
      <c r="I25" s="49">
        <v>0</v>
      </c>
      <c r="J25" s="49">
        <v>1</v>
      </c>
      <c r="M25" s="110"/>
      <c r="N25" s="49">
        <v>0</v>
      </c>
      <c r="O25" s="49">
        <v>1</v>
      </c>
      <c r="R25" s="49">
        <v>0</v>
      </c>
      <c r="S25" s="49">
        <v>0</v>
      </c>
      <c r="T25" s="49">
        <v>1</v>
      </c>
      <c r="U25" s="50"/>
    </row>
    <row r="26" spans="4:21" s="1" customFormat="1" ht="13.5">
      <c r="D26" s="48"/>
      <c r="E26" s="56" t="s">
        <v>46</v>
      </c>
      <c r="F26" s="56"/>
      <c r="G26" s="54"/>
      <c r="H26" s="110"/>
      <c r="I26" s="54" t="s">
        <v>10</v>
      </c>
      <c r="J26" s="54" t="s">
        <v>47</v>
      </c>
      <c r="M26" s="110"/>
      <c r="N26" s="54" t="s">
        <v>10</v>
      </c>
      <c r="O26" s="54" t="s">
        <v>47</v>
      </c>
      <c r="R26" s="54" t="s">
        <v>48</v>
      </c>
      <c r="S26" s="54" t="s">
        <v>10</v>
      </c>
      <c r="T26" s="54" t="s">
        <v>47</v>
      </c>
      <c r="U26" s="50"/>
    </row>
    <row r="27" spans="4:21" s="1" customFormat="1" ht="27">
      <c r="D27" s="48"/>
      <c r="E27" s="54" t="s">
        <v>40</v>
      </c>
      <c r="F27" s="54"/>
      <c r="G27" s="54"/>
      <c r="H27" s="110"/>
      <c r="I27" s="54" t="s">
        <v>49</v>
      </c>
      <c r="J27" s="54" t="s">
        <v>50</v>
      </c>
      <c r="M27" s="110"/>
      <c r="N27" s="57" t="s">
        <v>51</v>
      </c>
      <c r="O27" s="54" t="s">
        <v>52</v>
      </c>
      <c r="R27" s="54" t="s">
        <v>53</v>
      </c>
      <c r="S27" s="58" t="s">
        <v>54</v>
      </c>
      <c r="T27" s="54" t="s">
        <v>52</v>
      </c>
      <c r="U27" s="50"/>
    </row>
    <row r="28" spans="4:21" s="1" customFormat="1" ht="13.5">
      <c r="D28" s="48"/>
      <c r="E28" s="59" t="s">
        <v>55</v>
      </c>
      <c r="F28" s="59"/>
      <c r="G28" s="54"/>
      <c r="H28" s="54"/>
      <c r="I28" s="49"/>
      <c r="J28" s="49"/>
      <c r="N28" s="49"/>
      <c r="O28" s="49"/>
      <c r="S28" s="49"/>
      <c r="T28" s="49"/>
      <c r="U28" s="50"/>
    </row>
    <row r="29" spans="4:21" s="1" customFormat="1" ht="13.5">
      <c r="D29" s="48"/>
      <c r="E29" s="59" t="s">
        <v>56</v>
      </c>
      <c r="F29" s="59"/>
      <c r="G29" s="54"/>
      <c r="H29" s="54"/>
      <c r="I29" s="49"/>
      <c r="J29" s="49"/>
      <c r="N29" s="49"/>
      <c r="O29" s="49"/>
      <c r="S29" s="49"/>
      <c r="T29" s="49"/>
      <c r="U29" s="50"/>
    </row>
    <row r="30" spans="4:21" s="1" customFormat="1" ht="14.25" thickBot="1">
      <c r="D30" s="60"/>
      <c r="E30" s="61"/>
      <c r="F30" s="61"/>
      <c r="G30" s="61"/>
      <c r="H30" s="61"/>
      <c r="I30" s="61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3"/>
    </row>
    <row r="31" spans="4:21" s="1" customFormat="1" ht="13.5">
      <c r="D31" s="44" t="s">
        <v>22</v>
      </c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7"/>
    </row>
    <row r="32" spans="4:21" s="1" customFormat="1" ht="13.5">
      <c r="D32" s="48">
        <v>2</v>
      </c>
      <c r="E32" s="25" t="s">
        <v>57</v>
      </c>
      <c r="F32" s="25"/>
      <c r="G32" s="25"/>
      <c r="H32" s="25"/>
      <c r="I32" s="49"/>
      <c r="J32" s="49"/>
      <c r="U32" s="50"/>
    </row>
    <row r="33" spans="4:21" s="1" customFormat="1" ht="13.5">
      <c r="D33" s="48"/>
      <c r="E33" s="25"/>
      <c r="F33" s="25"/>
      <c r="G33" s="25"/>
      <c r="H33" s="25"/>
      <c r="I33" s="49"/>
      <c r="J33" s="49"/>
      <c r="U33" s="50"/>
    </row>
    <row r="34" spans="4:21" s="49" customFormat="1" ht="13.5">
      <c r="D34" s="48"/>
      <c r="E34" s="49" t="s">
        <v>24</v>
      </c>
      <c r="H34" s="49" t="str">
        <f>"2個"&amp;H37&amp;"円にミックスマッチ設定"</f>
        <v>2個500円にミックスマッチ設定</v>
      </c>
      <c r="I34" s="49" t="str">
        <f>I36&amp;"円に緊急売価変更設定"</f>
        <v>200円に緊急売価変更設定</v>
      </c>
      <c r="J34" s="49" t="str">
        <f>J36&amp;"円のレジでの売価変更"</f>
        <v>200円のレジでの売価変更</v>
      </c>
      <c r="M34" s="49" t="str">
        <f>"2個"&amp;M37&amp;"円にミックスマッチ設定"</f>
        <v>2個600円にミックスマッチ設定</v>
      </c>
      <c r="N34" s="49" t="str">
        <f>N36&amp;"円に緊急売価変更設定"</f>
        <v>300円に緊急売価変更設定</v>
      </c>
      <c r="O34" s="49" t="str">
        <f>O36&amp;"円のレジでの売価変更"</f>
        <v>300円のレジでの売価変更</v>
      </c>
      <c r="R34" s="49" t="str">
        <f>"2個"&amp;R37&amp;"円にミックスマッチ設定"</f>
        <v>2個700円にミックスマッチ設定</v>
      </c>
      <c r="S34" s="49" t="str">
        <f>S36&amp;"円に緊急売価変更設定"</f>
        <v>400円に緊急売価変更設定</v>
      </c>
      <c r="T34" s="49" t="str">
        <f>T36&amp;"円のレジでの売価変更"</f>
        <v>400円のレジでの売価変更</v>
      </c>
      <c r="U34" s="51"/>
    </row>
    <row r="35" spans="4:21" s="1" customFormat="1" ht="13.5">
      <c r="D35" s="48"/>
      <c r="E35" s="52"/>
      <c r="F35" s="52"/>
      <c r="G35" s="25"/>
      <c r="H35" s="49"/>
      <c r="I35" s="49"/>
      <c r="J35" s="49"/>
      <c r="M35" s="49"/>
      <c r="R35" s="49"/>
      <c r="U35" s="50"/>
    </row>
    <row r="36" spans="4:21" s="1" customFormat="1" ht="13.5">
      <c r="D36" s="48"/>
      <c r="E36" s="52" t="s">
        <v>25</v>
      </c>
      <c r="F36" s="52"/>
      <c r="G36" s="49"/>
      <c r="H36" s="49">
        <v>250</v>
      </c>
      <c r="I36" s="49">
        <v>200</v>
      </c>
      <c r="J36" s="49">
        <v>200</v>
      </c>
      <c r="M36" s="49">
        <v>300</v>
      </c>
      <c r="N36" s="49">
        <v>300</v>
      </c>
      <c r="O36" s="49">
        <v>300</v>
      </c>
      <c r="R36" s="49">
        <v>350</v>
      </c>
      <c r="S36" s="49">
        <v>400</v>
      </c>
      <c r="T36" s="49">
        <v>400</v>
      </c>
      <c r="U36" s="50"/>
    </row>
    <row r="37" spans="4:21" s="1" customFormat="1" ht="13.5">
      <c r="D37" s="48"/>
      <c r="E37" s="52" t="s">
        <v>26</v>
      </c>
      <c r="F37" s="49"/>
      <c r="G37" s="49"/>
      <c r="H37" s="49">
        <v>500</v>
      </c>
      <c r="I37" s="49">
        <v>400</v>
      </c>
      <c r="J37" s="49">
        <v>400</v>
      </c>
      <c r="M37" s="49">
        <v>600</v>
      </c>
      <c r="N37" s="49"/>
      <c r="R37" s="49">
        <v>700</v>
      </c>
      <c r="S37" s="49">
        <v>800</v>
      </c>
      <c r="T37" s="49">
        <v>800</v>
      </c>
      <c r="U37" s="50"/>
    </row>
    <row r="38" spans="4:21" s="1" customFormat="1" ht="13.5">
      <c r="D38" s="48"/>
      <c r="E38" s="52"/>
      <c r="F38" s="49"/>
      <c r="G38" s="49"/>
      <c r="H38" s="49"/>
      <c r="I38" s="49"/>
      <c r="J38" s="49"/>
      <c r="M38" s="49"/>
      <c r="N38" s="49"/>
      <c r="R38" s="49"/>
      <c r="S38" s="49"/>
      <c r="U38" s="50"/>
    </row>
    <row r="39" spans="4:21" s="1" customFormat="1" ht="13.5">
      <c r="D39" s="48"/>
      <c r="E39" s="52"/>
      <c r="F39" s="49"/>
      <c r="G39" s="49"/>
      <c r="H39" s="49"/>
      <c r="I39" s="49"/>
      <c r="J39" s="49"/>
      <c r="M39" s="49"/>
      <c r="N39" s="49"/>
      <c r="R39" s="49"/>
      <c r="U39" s="50"/>
    </row>
    <row r="40" spans="4:21" s="1" customFormat="1" ht="13.5">
      <c r="D40" s="48"/>
      <c r="E40" s="49"/>
      <c r="F40" s="49"/>
      <c r="G40" s="49"/>
      <c r="H40" s="49"/>
      <c r="I40" s="49"/>
      <c r="J40" s="49"/>
      <c r="M40" s="49"/>
      <c r="N40" s="49"/>
      <c r="Q40" s="95" t="s">
        <v>58</v>
      </c>
      <c r="R40" s="53" t="s">
        <v>28</v>
      </c>
      <c r="S40" s="111" t="s">
        <v>29</v>
      </c>
      <c r="T40" s="112" t="s">
        <v>59</v>
      </c>
      <c r="U40" s="50"/>
    </row>
    <row r="41" spans="4:21" s="1" customFormat="1" ht="13.5">
      <c r="D41" s="48"/>
      <c r="E41" s="49"/>
      <c r="F41" s="49"/>
      <c r="G41" s="49"/>
      <c r="H41" s="49"/>
      <c r="I41" s="49"/>
      <c r="J41" s="49"/>
      <c r="M41" s="49"/>
      <c r="Q41" s="96"/>
      <c r="R41" s="90" t="s">
        <v>30</v>
      </c>
      <c r="S41" s="143"/>
      <c r="T41" s="144"/>
      <c r="U41" s="50"/>
    </row>
    <row r="42" spans="4:21" s="1" customFormat="1" ht="13.5" customHeight="1">
      <c r="D42" s="48"/>
      <c r="E42" s="49"/>
      <c r="F42" s="49"/>
      <c r="G42" s="92" t="s">
        <v>32</v>
      </c>
      <c r="H42" s="49"/>
      <c r="I42" s="88" t="s">
        <v>60</v>
      </c>
      <c r="J42" s="49"/>
      <c r="L42" s="92" t="s">
        <v>32</v>
      </c>
      <c r="M42" s="97" t="s">
        <v>34</v>
      </c>
      <c r="N42" s="89" t="s">
        <v>61</v>
      </c>
      <c r="O42" s="101" t="s">
        <v>39</v>
      </c>
      <c r="Q42" s="92" t="s">
        <v>32</v>
      </c>
      <c r="R42" s="139"/>
      <c r="S42" s="143"/>
      <c r="T42" s="144"/>
      <c r="U42" s="50"/>
    </row>
    <row r="43" spans="4:21" s="1" customFormat="1" ht="13.5" customHeight="1">
      <c r="D43" s="48"/>
      <c r="E43" s="49"/>
      <c r="F43" s="49"/>
      <c r="G43" s="93"/>
      <c r="H43" s="97" t="s">
        <v>36</v>
      </c>
      <c r="I43" s="113"/>
      <c r="J43" s="49"/>
      <c r="L43" s="93"/>
      <c r="M43" s="98"/>
      <c r="N43" s="135"/>
      <c r="O43" s="141"/>
      <c r="Q43" s="93"/>
      <c r="R43" s="139"/>
      <c r="S43" s="143"/>
      <c r="T43" s="144"/>
      <c r="U43" s="50"/>
    </row>
    <row r="44" spans="4:21" s="1" customFormat="1" ht="13.5" customHeight="1">
      <c r="D44" s="48"/>
      <c r="E44" s="49"/>
      <c r="F44" s="49"/>
      <c r="G44" s="93"/>
      <c r="H44" s="98"/>
      <c r="I44" s="102" t="s">
        <v>38</v>
      </c>
      <c r="J44" s="101" t="s">
        <v>62</v>
      </c>
      <c r="L44" s="93"/>
      <c r="M44" s="98"/>
      <c r="N44" s="135"/>
      <c r="O44" s="141"/>
      <c r="Q44" s="93"/>
      <c r="R44" s="139"/>
      <c r="S44" s="143"/>
      <c r="T44" s="144"/>
      <c r="U44" s="50"/>
    </row>
    <row r="45" spans="4:21" s="1" customFormat="1" ht="13.5" customHeight="1">
      <c r="D45" s="48"/>
      <c r="E45" s="49"/>
      <c r="F45" s="49"/>
      <c r="G45" s="93"/>
      <c r="H45" s="98"/>
      <c r="I45" s="103"/>
      <c r="J45" s="104"/>
      <c r="L45" s="93"/>
      <c r="M45" s="98"/>
      <c r="N45" s="135"/>
      <c r="O45" s="141"/>
      <c r="Q45" s="93"/>
      <c r="R45" s="139"/>
      <c r="S45" s="143"/>
      <c r="T45" s="144"/>
      <c r="U45" s="50"/>
    </row>
    <row r="46" spans="4:21" s="1" customFormat="1" ht="13.5" customHeight="1">
      <c r="D46" s="48"/>
      <c r="E46" s="49"/>
      <c r="F46" s="49"/>
      <c r="G46" s="93"/>
      <c r="H46" s="98"/>
      <c r="I46" s="103"/>
      <c r="J46" s="104"/>
      <c r="L46" s="93"/>
      <c r="M46" s="98"/>
      <c r="N46" s="135"/>
      <c r="O46" s="141"/>
      <c r="Q46" s="93"/>
      <c r="R46" s="139"/>
      <c r="S46" s="143"/>
      <c r="T46" s="144"/>
      <c r="U46" s="50"/>
    </row>
    <row r="47" spans="4:21" s="1" customFormat="1" ht="13.5" customHeight="1">
      <c r="D47" s="48"/>
      <c r="E47" s="49"/>
      <c r="F47" s="49"/>
      <c r="G47" s="94"/>
      <c r="H47" s="99"/>
      <c r="I47" s="103"/>
      <c r="J47" s="104"/>
      <c r="L47" s="94"/>
      <c r="M47" s="99"/>
      <c r="N47" s="145"/>
      <c r="O47" s="141"/>
      <c r="Q47" s="94"/>
      <c r="R47" s="142"/>
      <c r="S47" s="146"/>
      <c r="T47" s="147"/>
      <c r="U47" s="50"/>
    </row>
    <row r="48" spans="4:21" s="1" customFormat="1" ht="13.5" customHeight="1">
      <c r="D48" s="48"/>
      <c r="E48" s="54" t="s">
        <v>40</v>
      </c>
      <c r="F48" s="54"/>
      <c r="G48" s="54"/>
      <c r="H48" s="64"/>
      <c r="I48" s="2">
        <v>200</v>
      </c>
      <c r="J48" s="2"/>
      <c r="N48" s="55">
        <v>0</v>
      </c>
      <c r="R48" s="49">
        <v>100</v>
      </c>
      <c r="S48" s="55">
        <v>-200</v>
      </c>
      <c r="U48" s="50"/>
    </row>
    <row r="49" spans="4:21" s="1" customFormat="1">
      <c r="D49" s="48"/>
      <c r="E49" s="54" t="s">
        <v>41</v>
      </c>
      <c r="F49" s="54"/>
      <c r="G49" s="54"/>
      <c r="H49" s="108">
        <v>400</v>
      </c>
      <c r="I49" s="106"/>
      <c r="J49" s="107"/>
      <c r="N49" s="110">
        <v>300</v>
      </c>
      <c r="O49" s="110"/>
      <c r="R49" s="108">
        <v>350</v>
      </c>
      <c r="S49" s="106"/>
      <c r="T49" s="107"/>
      <c r="U49" s="50"/>
    </row>
    <row r="50" spans="4:21" s="1" customFormat="1" ht="13.5">
      <c r="D50" s="48"/>
      <c r="E50" s="54"/>
      <c r="F50" s="54"/>
      <c r="G50" s="54"/>
      <c r="H50" s="54"/>
      <c r="I50" s="49"/>
      <c r="J50" s="49"/>
      <c r="N50" s="49"/>
      <c r="O50" s="49"/>
      <c r="S50" s="49"/>
      <c r="T50" s="49"/>
      <c r="U50" s="50"/>
    </row>
    <row r="51" spans="4:21" s="1" customFormat="1" ht="13.5">
      <c r="D51" s="48"/>
      <c r="E51" s="54" t="s">
        <v>42</v>
      </c>
      <c r="F51" s="54"/>
      <c r="G51" s="54"/>
      <c r="H51" s="54"/>
      <c r="I51" s="49"/>
      <c r="J51" s="49"/>
      <c r="N51" s="49"/>
      <c r="O51" s="49"/>
      <c r="S51" s="49"/>
      <c r="T51" s="49"/>
      <c r="U51" s="50"/>
    </row>
    <row r="52" spans="4:21" s="1" customFormat="1" ht="13.5">
      <c r="D52" s="48"/>
      <c r="E52" s="56" t="s">
        <v>43</v>
      </c>
      <c r="F52" s="56"/>
      <c r="G52" s="54"/>
      <c r="H52" s="110" t="s">
        <v>44</v>
      </c>
      <c r="I52" s="49">
        <v>91111</v>
      </c>
      <c r="J52" s="110" t="s">
        <v>44</v>
      </c>
      <c r="M52" s="110" t="s">
        <v>44</v>
      </c>
      <c r="N52" s="49">
        <v>91111</v>
      </c>
      <c r="O52" s="110" t="s">
        <v>44</v>
      </c>
      <c r="R52" s="49">
        <v>91316</v>
      </c>
      <c r="S52" s="49">
        <v>91111</v>
      </c>
      <c r="T52" s="110" t="s">
        <v>44</v>
      </c>
      <c r="U52" s="50"/>
    </row>
    <row r="53" spans="4:21" s="1" customFormat="1" ht="13.5">
      <c r="D53" s="48"/>
      <c r="E53" s="56" t="s">
        <v>45</v>
      </c>
      <c r="F53" s="56"/>
      <c r="G53" s="54"/>
      <c r="H53" s="110"/>
      <c r="I53" s="49">
        <v>0</v>
      </c>
      <c r="J53" s="110"/>
      <c r="M53" s="110"/>
      <c r="N53" s="49">
        <v>0</v>
      </c>
      <c r="O53" s="110"/>
      <c r="R53" s="49">
        <v>0</v>
      </c>
      <c r="S53" s="49">
        <v>0</v>
      </c>
      <c r="T53" s="110"/>
      <c r="U53" s="50"/>
    </row>
    <row r="54" spans="4:21" s="1" customFormat="1" ht="13.5">
      <c r="D54" s="48"/>
      <c r="E54" s="56" t="s">
        <v>46</v>
      </c>
      <c r="F54" s="56"/>
      <c r="G54" s="54"/>
      <c r="H54" s="110"/>
      <c r="I54" s="54" t="s">
        <v>10</v>
      </c>
      <c r="J54" s="110"/>
      <c r="M54" s="110"/>
      <c r="N54" s="54" t="s">
        <v>10</v>
      </c>
      <c r="O54" s="110"/>
      <c r="R54" s="54" t="s">
        <v>48</v>
      </c>
      <c r="S54" s="54" t="s">
        <v>10</v>
      </c>
      <c r="T54" s="110"/>
      <c r="U54" s="50"/>
    </row>
    <row r="55" spans="4:21" s="1" customFormat="1" ht="27">
      <c r="D55" s="48"/>
      <c r="E55" s="54" t="s">
        <v>40</v>
      </c>
      <c r="F55" s="54"/>
      <c r="G55" s="54"/>
      <c r="H55" s="110"/>
      <c r="I55" s="54" t="s">
        <v>63</v>
      </c>
      <c r="J55" s="110"/>
      <c r="M55" s="110"/>
      <c r="N55" s="57" t="s">
        <v>51</v>
      </c>
      <c r="O55" s="110"/>
      <c r="R55" s="54" t="s">
        <v>53</v>
      </c>
      <c r="S55" s="58" t="s">
        <v>54</v>
      </c>
      <c r="T55" s="110"/>
      <c r="U55" s="50"/>
    </row>
    <row r="56" spans="4:21" s="1" customFormat="1" ht="13.5">
      <c r="D56" s="48"/>
      <c r="E56" s="59" t="s">
        <v>64</v>
      </c>
      <c r="F56" s="59"/>
      <c r="G56" s="54"/>
      <c r="H56" s="54"/>
      <c r="I56" s="49"/>
      <c r="J56" s="49"/>
      <c r="N56" s="49"/>
      <c r="O56" s="49"/>
      <c r="S56" s="49"/>
      <c r="T56" s="49"/>
      <c r="U56" s="50"/>
    </row>
    <row r="57" spans="4:21" s="1" customFormat="1" ht="14.25" thickBot="1">
      <c r="D57" s="60"/>
      <c r="E57" s="61"/>
      <c r="F57" s="61"/>
      <c r="G57" s="61"/>
      <c r="H57" s="61"/>
      <c r="I57" s="61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3"/>
    </row>
    <row r="58" spans="4:21" s="1" customFormat="1" ht="13.5">
      <c r="D58" s="44" t="s">
        <v>22</v>
      </c>
      <c r="E58" s="45"/>
      <c r="F58" s="45"/>
      <c r="G58" s="45"/>
      <c r="H58" s="45"/>
      <c r="I58" s="45"/>
      <c r="J58" s="45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7"/>
    </row>
    <row r="59" spans="4:21" s="1" customFormat="1" ht="13.5">
      <c r="D59" s="48">
        <v>3</v>
      </c>
      <c r="E59" s="25" t="s">
        <v>65</v>
      </c>
      <c r="F59" s="25"/>
      <c r="G59" s="25"/>
      <c r="H59" s="25"/>
      <c r="I59" s="49"/>
      <c r="J59" s="49"/>
      <c r="U59" s="50"/>
    </row>
    <row r="60" spans="4:21" s="1" customFormat="1" ht="13.5">
      <c r="D60" s="48"/>
      <c r="E60" s="25"/>
      <c r="F60" s="25"/>
      <c r="G60" s="25"/>
      <c r="H60" s="25"/>
      <c r="I60" s="49"/>
      <c r="J60" s="49"/>
      <c r="U60" s="50"/>
    </row>
    <row r="61" spans="4:21" s="49" customFormat="1">
      <c r="D61" s="48"/>
      <c r="J61" s="23"/>
      <c r="O61" s="23"/>
      <c r="T61" s="23"/>
      <c r="U61" s="51"/>
    </row>
    <row r="62" spans="4:21" s="1" customFormat="1" ht="13.5">
      <c r="D62" s="48"/>
      <c r="E62" s="49" t="s">
        <v>24</v>
      </c>
      <c r="F62" s="52"/>
      <c r="G62" s="25"/>
      <c r="H62" s="49" t="str">
        <f>"2個"&amp;H65&amp;"円にミックスマッチ設定"</f>
        <v>2個500円にミックスマッチ設定</v>
      </c>
      <c r="I62" s="49" t="str">
        <f>I64&amp;"円に緊急売価変更設定"</f>
        <v>200円に緊急売価変更設定</v>
      </c>
      <c r="J62" s="49" t="str">
        <f>J64&amp;"円のレジでの売価変更"</f>
        <v>250円のレジでの売価変更</v>
      </c>
      <c r="M62" s="49" t="str">
        <f>"2個"&amp;M65&amp;"円にミックスマッチ設定"</f>
        <v>2個500円にミックスマッチ設定</v>
      </c>
      <c r="N62" s="49" t="str">
        <f>N64&amp;"円に緊急売価変更設定"</f>
        <v>250円に緊急売価変更設定</v>
      </c>
      <c r="O62" s="49" t="str">
        <f>O64&amp;"円のレジでの売価変更"</f>
        <v>300円のレジでの売価変更</v>
      </c>
      <c r="R62" s="49" t="str">
        <f>"2個"&amp;R65&amp;"円にミックスマッチ設定"</f>
        <v>2個500円にミックスマッチ設定</v>
      </c>
      <c r="S62" s="49" t="str">
        <f>S64&amp;"円に緊急売価変更設定"</f>
        <v>300円に緊急売価変更設定</v>
      </c>
      <c r="T62" s="49" t="str">
        <f>T64&amp;"円のレジでの売価変更"</f>
        <v>350円のレジでの売価変更</v>
      </c>
      <c r="U62" s="50"/>
    </row>
    <row r="63" spans="4:21" s="1" customFormat="1" ht="13.5">
      <c r="D63" s="48"/>
      <c r="E63" s="52"/>
      <c r="F63" s="52"/>
      <c r="G63" s="25"/>
      <c r="H63" s="49"/>
      <c r="I63" s="49"/>
      <c r="J63" s="49"/>
      <c r="M63" s="49"/>
      <c r="R63" s="49"/>
      <c r="U63" s="50"/>
    </row>
    <row r="64" spans="4:21" s="1" customFormat="1" ht="13.5">
      <c r="D64" s="48"/>
      <c r="E64" s="52" t="s">
        <v>25</v>
      </c>
      <c r="F64" s="52"/>
      <c r="G64" s="49"/>
      <c r="H64" s="49">
        <v>250</v>
      </c>
      <c r="I64" s="49">
        <v>200</v>
      </c>
      <c r="J64" s="49">
        <v>250</v>
      </c>
      <c r="M64" s="49">
        <v>250</v>
      </c>
      <c r="N64" s="49">
        <v>250</v>
      </c>
      <c r="O64" s="49">
        <v>300</v>
      </c>
      <c r="R64" s="49">
        <v>250</v>
      </c>
      <c r="S64" s="49">
        <v>300</v>
      </c>
      <c r="T64" s="49">
        <v>350</v>
      </c>
      <c r="U64" s="50"/>
    </row>
    <row r="65" spans="4:21" s="1" customFormat="1" ht="13.5">
      <c r="D65" s="48"/>
      <c r="E65" s="52" t="s">
        <v>26</v>
      </c>
      <c r="F65" s="49"/>
      <c r="G65" s="49"/>
      <c r="H65" s="49">
        <v>500</v>
      </c>
      <c r="I65" s="49">
        <v>400</v>
      </c>
      <c r="J65" s="49">
        <v>500</v>
      </c>
      <c r="M65" s="49">
        <v>500</v>
      </c>
      <c r="N65" s="49"/>
      <c r="R65" s="49">
        <v>500</v>
      </c>
      <c r="S65" s="49">
        <v>600</v>
      </c>
      <c r="T65" s="49">
        <v>700</v>
      </c>
      <c r="U65" s="50"/>
    </row>
    <row r="66" spans="4:21" s="1" customFormat="1" ht="13.5">
      <c r="D66" s="48"/>
      <c r="E66" s="52"/>
      <c r="F66" s="49"/>
      <c r="G66" s="49"/>
      <c r="H66" s="49"/>
      <c r="I66" s="49"/>
      <c r="J66" s="49"/>
      <c r="M66" s="49"/>
      <c r="N66" s="49"/>
      <c r="R66" s="49"/>
      <c r="S66" s="49"/>
      <c r="U66" s="50"/>
    </row>
    <row r="67" spans="4:21" s="1" customFormat="1" ht="13.5">
      <c r="D67" s="48"/>
      <c r="E67" s="52"/>
      <c r="F67" s="49"/>
      <c r="G67" s="49"/>
      <c r="H67" s="49"/>
      <c r="I67" s="49"/>
      <c r="J67" s="49"/>
      <c r="M67" s="49"/>
      <c r="N67" s="49"/>
      <c r="R67" s="49"/>
      <c r="S67" s="49"/>
      <c r="U67" s="50"/>
    </row>
    <row r="68" spans="4:21" s="1" customFormat="1" ht="13.5">
      <c r="D68" s="48"/>
      <c r="E68" s="49"/>
      <c r="F68" s="49"/>
      <c r="G68" s="49"/>
      <c r="H68" s="49"/>
      <c r="I68" s="49"/>
      <c r="J68" s="49"/>
      <c r="M68" s="49"/>
      <c r="Q68" s="53" t="s">
        <v>66</v>
      </c>
      <c r="R68" s="49"/>
      <c r="T68" s="116" t="s">
        <v>67</v>
      </c>
      <c r="U68" s="50"/>
    </row>
    <row r="69" spans="4:21" s="1" customFormat="1" ht="13.5" customHeight="1">
      <c r="D69" s="48"/>
      <c r="E69" s="49"/>
      <c r="F69" s="49"/>
      <c r="G69" s="92" t="s">
        <v>32</v>
      </c>
      <c r="H69" s="49"/>
      <c r="I69" s="49"/>
      <c r="J69" s="53" t="s">
        <v>28</v>
      </c>
      <c r="L69" s="92" t="s">
        <v>32</v>
      </c>
      <c r="M69" s="49"/>
      <c r="O69" s="101" t="s">
        <v>68</v>
      </c>
      <c r="Q69" s="92" t="s">
        <v>32</v>
      </c>
      <c r="R69" s="53" t="s">
        <v>28</v>
      </c>
      <c r="S69" s="89" t="s">
        <v>69</v>
      </c>
      <c r="T69" s="148"/>
      <c r="U69" s="50"/>
    </row>
    <row r="70" spans="4:21" s="1" customFormat="1" ht="13.5">
      <c r="D70" s="48"/>
      <c r="E70" s="49"/>
      <c r="F70" s="49"/>
      <c r="G70" s="93"/>
      <c r="H70" s="97" t="s">
        <v>36</v>
      </c>
      <c r="I70" s="49"/>
      <c r="J70" s="91" t="s">
        <v>37</v>
      </c>
      <c r="L70" s="93"/>
      <c r="M70" s="97" t="s">
        <v>34</v>
      </c>
      <c r="N70" s="89" t="s">
        <v>70</v>
      </c>
      <c r="O70" s="141"/>
      <c r="Q70" s="93"/>
      <c r="R70" s="97" t="s">
        <v>34</v>
      </c>
      <c r="S70" s="135"/>
      <c r="T70" s="148"/>
      <c r="U70" s="50"/>
    </row>
    <row r="71" spans="4:21" s="1" customFormat="1" ht="13.5">
      <c r="D71" s="48"/>
      <c r="E71" s="49"/>
      <c r="F71" s="49"/>
      <c r="G71" s="93"/>
      <c r="H71" s="98"/>
      <c r="I71" s="102" t="s">
        <v>71</v>
      </c>
      <c r="J71" s="114"/>
      <c r="L71" s="93"/>
      <c r="M71" s="98"/>
      <c r="N71" s="135"/>
      <c r="O71" s="141"/>
      <c r="Q71" s="93"/>
      <c r="R71" s="98"/>
      <c r="S71" s="135"/>
      <c r="T71" s="148"/>
      <c r="U71" s="50"/>
    </row>
    <row r="72" spans="4:21" s="1" customFormat="1" ht="13.5">
      <c r="D72" s="48"/>
      <c r="E72" s="49"/>
      <c r="F72" s="49"/>
      <c r="G72" s="93"/>
      <c r="H72" s="98"/>
      <c r="I72" s="115"/>
      <c r="J72" s="114"/>
      <c r="L72" s="93"/>
      <c r="M72" s="98"/>
      <c r="N72" s="135"/>
      <c r="O72" s="141"/>
      <c r="Q72" s="93"/>
      <c r="R72" s="98"/>
      <c r="S72" s="135"/>
      <c r="T72" s="148"/>
      <c r="U72" s="50"/>
    </row>
    <row r="73" spans="4:21" s="1" customFormat="1" ht="13.5" customHeight="1">
      <c r="D73" s="48"/>
      <c r="E73" s="49"/>
      <c r="F73" s="49"/>
      <c r="G73" s="93"/>
      <c r="H73" s="98"/>
      <c r="I73" s="115"/>
      <c r="J73" s="114"/>
      <c r="L73" s="93"/>
      <c r="M73" s="98"/>
      <c r="N73" s="135"/>
      <c r="O73" s="141"/>
      <c r="Q73" s="93"/>
      <c r="R73" s="98"/>
      <c r="S73" s="135"/>
      <c r="T73" s="148"/>
      <c r="U73" s="50"/>
    </row>
    <row r="74" spans="4:21" s="1" customFormat="1" ht="13.5" customHeight="1">
      <c r="D74" s="48"/>
      <c r="E74" s="49"/>
      <c r="F74" s="49"/>
      <c r="G74" s="94"/>
      <c r="H74" s="99"/>
      <c r="I74" s="115"/>
      <c r="J74" s="114"/>
      <c r="L74" s="94"/>
      <c r="M74" s="99"/>
      <c r="N74" s="145"/>
      <c r="O74" s="141"/>
      <c r="Q74" s="94"/>
      <c r="R74" s="99"/>
      <c r="S74" s="145"/>
      <c r="T74" s="149"/>
      <c r="U74" s="50"/>
    </row>
    <row r="75" spans="4:21" s="1" customFormat="1" ht="13.5" customHeight="1">
      <c r="D75" s="48"/>
      <c r="E75" s="54" t="s">
        <v>40</v>
      </c>
      <c r="F75" s="54"/>
      <c r="G75" s="54"/>
      <c r="H75" s="64"/>
      <c r="I75" s="2"/>
      <c r="J75" s="2">
        <v>100</v>
      </c>
      <c r="M75" s="4"/>
      <c r="N75" s="4"/>
      <c r="O75" s="55">
        <v>0</v>
      </c>
      <c r="R75" s="2">
        <v>100</v>
      </c>
      <c r="S75" s="4"/>
      <c r="T75" s="55">
        <v>-100</v>
      </c>
      <c r="U75" s="50"/>
    </row>
    <row r="76" spans="4:21" s="1" customFormat="1">
      <c r="D76" s="48"/>
      <c r="E76" s="54" t="s">
        <v>41</v>
      </c>
      <c r="F76" s="54"/>
      <c r="G76" s="54"/>
      <c r="H76" s="105">
        <v>500</v>
      </c>
      <c r="I76" s="106"/>
      <c r="J76" s="107"/>
      <c r="M76" s="108">
        <v>600</v>
      </c>
      <c r="N76" s="106"/>
      <c r="O76" s="107"/>
      <c r="R76" s="108">
        <v>600</v>
      </c>
      <c r="S76" s="106"/>
      <c r="T76" s="107"/>
      <c r="U76" s="50"/>
    </row>
    <row r="77" spans="4:21" s="1" customFormat="1" ht="13.5" customHeight="1">
      <c r="D77" s="48"/>
      <c r="E77" s="54"/>
      <c r="F77" s="54"/>
      <c r="G77" s="54"/>
      <c r="H77" s="54"/>
      <c r="I77" s="49"/>
      <c r="J77" s="49"/>
      <c r="N77" s="49"/>
      <c r="O77" s="49"/>
      <c r="S77" s="49"/>
      <c r="T77" s="49"/>
      <c r="U77" s="50"/>
    </row>
    <row r="78" spans="4:21" s="1" customFormat="1" ht="13.5">
      <c r="D78" s="48"/>
      <c r="E78" s="54" t="s">
        <v>42</v>
      </c>
      <c r="F78" s="54"/>
      <c r="G78" s="54"/>
      <c r="H78" s="54"/>
      <c r="I78" s="49"/>
      <c r="J78" s="49"/>
      <c r="N78" s="49"/>
      <c r="O78" s="49"/>
      <c r="S78" s="49"/>
      <c r="T78" s="49"/>
      <c r="U78" s="50"/>
    </row>
    <row r="79" spans="4:21" s="1" customFormat="1" ht="13.5">
      <c r="D79" s="48"/>
      <c r="E79" s="56" t="s">
        <v>43</v>
      </c>
      <c r="F79" s="56"/>
      <c r="G79" s="54"/>
      <c r="H79" s="110" t="s">
        <v>44</v>
      </c>
      <c r="I79" s="110" t="s">
        <v>44</v>
      </c>
      <c r="J79" s="49">
        <v>91111</v>
      </c>
      <c r="M79" s="110" t="s">
        <v>44</v>
      </c>
      <c r="N79" s="110" t="s">
        <v>44</v>
      </c>
      <c r="O79" s="49">
        <v>91111</v>
      </c>
      <c r="R79" s="49">
        <v>91316</v>
      </c>
      <c r="S79" s="110" t="s">
        <v>44</v>
      </c>
      <c r="T79" s="49">
        <v>91111</v>
      </c>
      <c r="U79" s="50"/>
    </row>
    <row r="80" spans="4:21" s="1" customFormat="1" ht="13.5">
      <c r="D80" s="48"/>
      <c r="E80" s="56" t="s">
        <v>45</v>
      </c>
      <c r="F80" s="56"/>
      <c r="G80" s="54"/>
      <c r="H80" s="110"/>
      <c r="I80" s="110"/>
      <c r="J80" s="49">
        <v>0</v>
      </c>
      <c r="M80" s="110"/>
      <c r="N80" s="110"/>
      <c r="O80" s="49">
        <v>0</v>
      </c>
      <c r="R80" s="49">
        <v>0</v>
      </c>
      <c r="S80" s="110"/>
      <c r="T80" s="49">
        <v>0</v>
      </c>
      <c r="U80" s="50"/>
    </row>
    <row r="81" spans="4:21" s="1" customFormat="1" ht="13.5">
      <c r="D81" s="48"/>
      <c r="E81" s="56" t="s">
        <v>46</v>
      </c>
      <c r="F81" s="56"/>
      <c r="G81" s="54"/>
      <c r="H81" s="110"/>
      <c r="I81" s="110"/>
      <c r="J81" s="57" t="s">
        <v>10</v>
      </c>
      <c r="M81" s="110"/>
      <c r="N81" s="110"/>
      <c r="O81" s="57" t="s">
        <v>10</v>
      </c>
      <c r="R81" s="54" t="s">
        <v>48</v>
      </c>
      <c r="S81" s="110"/>
      <c r="T81" s="57" t="s">
        <v>10</v>
      </c>
      <c r="U81" s="50"/>
    </row>
    <row r="82" spans="4:21" s="1" customFormat="1" ht="27">
      <c r="D82" s="48"/>
      <c r="E82" s="54" t="s">
        <v>40</v>
      </c>
      <c r="F82" s="54"/>
      <c r="G82" s="54"/>
      <c r="H82" s="110"/>
      <c r="I82" s="110"/>
      <c r="J82" s="54" t="s">
        <v>72</v>
      </c>
      <c r="M82" s="110"/>
      <c r="N82" s="110"/>
      <c r="O82" s="57" t="s">
        <v>73</v>
      </c>
      <c r="R82" s="54" t="s">
        <v>53</v>
      </c>
      <c r="S82" s="110"/>
      <c r="T82" s="58" t="s">
        <v>74</v>
      </c>
      <c r="U82" s="50"/>
    </row>
    <row r="83" spans="4:21" s="1" customFormat="1" ht="13.5">
      <c r="D83" s="48"/>
      <c r="E83" s="59" t="s">
        <v>75</v>
      </c>
      <c r="F83" s="59"/>
      <c r="G83" s="54"/>
      <c r="H83" s="54"/>
      <c r="I83" s="49"/>
      <c r="J83" s="49"/>
      <c r="N83" s="49"/>
      <c r="O83" s="49"/>
      <c r="S83" s="49"/>
      <c r="T83" s="49"/>
      <c r="U83" s="50"/>
    </row>
    <row r="84" spans="4:21" s="1" customFormat="1" ht="14.25" thickBot="1">
      <c r="D84" s="60"/>
      <c r="E84" s="61"/>
      <c r="F84" s="61"/>
      <c r="G84" s="61"/>
      <c r="H84" s="61"/>
      <c r="I84" s="61"/>
      <c r="J84" s="65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3"/>
    </row>
  </sheetData>
  <mergeCells count="61">
    <mergeCell ref="H76:J76"/>
    <mergeCell ref="M76:O76"/>
    <mergeCell ref="R76:T76"/>
    <mergeCell ref="T68:T74"/>
    <mergeCell ref="H79:H82"/>
    <mergeCell ref="I79:I82"/>
    <mergeCell ref="M79:M82"/>
    <mergeCell ref="N79:N82"/>
    <mergeCell ref="S79:S82"/>
    <mergeCell ref="G69:G74"/>
    <mergeCell ref="L69:L74"/>
    <mergeCell ref="O69:O74"/>
    <mergeCell ref="Q69:Q74"/>
    <mergeCell ref="S69:S74"/>
    <mergeCell ref="H70:H74"/>
    <mergeCell ref="J70:J74"/>
    <mergeCell ref="M70:M74"/>
    <mergeCell ref="N70:N74"/>
    <mergeCell ref="R70:R74"/>
    <mergeCell ref="I71:I74"/>
    <mergeCell ref="H49:J49"/>
    <mergeCell ref="N49:O49"/>
    <mergeCell ref="R49:T49"/>
    <mergeCell ref="H52:H55"/>
    <mergeCell ref="J52:J55"/>
    <mergeCell ref="M52:M55"/>
    <mergeCell ref="O52:O55"/>
    <mergeCell ref="T52:T55"/>
    <mergeCell ref="G42:G47"/>
    <mergeCell ref="I42:I43"/>
    <mergeCell ref="L42:L47"/>
    <mergeCell ref="M42:M47"/>
    <mergeCell ref="N42:N47"/>
    <mergeCell ref="R21:T21"/>
    <mergeCell ref="H24:H27"/>
    <mergeCell ref="M24:M27"/>
    <mergeCell ref="Q40:Q41"/>
    <mergeCell ref="S40:S47"/>
    <mergeCell ref="T40:T47"/>
    <mergeCell ref="R41:R47"/>
    <mergeCell ref="Q42:Q47"/>
    <mergeCell ref="H21:J21"/>
    <mergeCell ref="M21:O21"/>
    <mergeCell ref="O42:O47"/>
    <mergeCell ref="H43:H47"/>
    <mergeCell ref="I44:I47"/>
    <mergeCell ref="J44:J47"/>
    <mergeCell ref="Q12:Q13"/>
    <mergeCell ref="S12:S19"/>
    <mergeCell ref="R13:R19"/>
    <mergeCell ref="T13:T19"/>
    <mergeCell ref="G14:G19"/>
    <mergeCell ref="I14:I15"/>
    <mergeCell ref="L14:L19"/>
    <mergeCell ref="M14:M19"/>
    <mergeCell ref="N14:N19"/>
    <mergeCell ref="Q14:Q19"/>
    <mergeCell ref="H15:H19"/>
    <mergeCell ref="O15:O19"/>
    <mergeCell ref="I16:I19"/>
    <mergeCell ref="J17:J19"/>
  </mergeCells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E6" sqref="E6"/>
    </sheetView>
  </sheetViews>
  <sheetFormatPr defaultRowHeight="18.75"/>
  <cols>
    <col min="1" max="1" width="4" customWidth="1"/>
    <col min="2" max="2" width="2.5" bestFit="1" customWidth="1"/>
    <col min="4" max="4" width="58.25" bestFit="1" customWidth="1"/>
    <col min="5" max="5" width="29.375" bestFit="1" customWidth="1"/>
    <col min="6" max="6" width="31.75" bestFit="1" customWidth="1"/>
  </cols>
  <sheetData>
    <row r="1" spans="1:5" ht="19.5" customHeight="1">
      <c r="A1" s="24" t="s">
        <v>76</v>
      </c>
    </row>
    <row r="4" spans="1:5">
      <c r="B4" s="24">
        <v>1</v>
      </c>
      <c r="C4" s="7" t="s">
        <v>77</v>
      </c>
    </row>
    <row r="5" spans="1:5">
      <c r="C5" s="1"/>
      <c r="D5" s="2" t="s">
        <v>3</v>
      </c>
      <c r="E5" s="2" t="s">
        <v>6</v>
      </c>
    </row>
    <row r="6" spans="1:5">
      <c r="D6" s="4" t="s">
        <v>78</v>
      </c>
      <c r="E6" s="4" t="s">
        <v>79</v>
      </c>
    </row>
    <row r="7" spans="1:5">
      <c r="D7" s="4" t="s">
        <v>80</v>
      </c>
      <c r="E7" s="4" t="s">
        <v>81</v>
      </c>
    </row>
    <row r="8" spans="1:5">
      <c r="D8" s="4" t="s">
        <v>82</v>
      </c>
      <c r="E8" s="4" t="s">
        <v>83</v>
      </c>
    </row>
    <row r="10" spans="1:5">
      <c r="B10" s="24">
        <v>2</v>
      </c>
      <c r="C10" s="7" t="s">
        <v>84</v>
      </c>
    </row>
    <row r="11" spans="1:5">
      <c r="C11" s="1"/>
      <c r="D11" s="2" t="s">
        <v>3</v>
      </c>
      <c r="E11" s="2" t="s">
        <v>6</v>
      </c>
    </row>
    <row r="12" spans="1:5">
      <c r="D12" s="4" t="s">
        <v>78</v>
      </c>
      <c r="E12" s="4" t="s">
        <v>85</v>
      </c>
    </row>
    <row r="13" spans="1:5">
      <c r="D13" s="4" t="s">
        <v>82</v>
      </c>
      <c r="E13" s="4" t="s">
        <v>83</v>
      </c>
    </row>
    <row r="15" spans="1:5">
      <c r="B15" s="24">
        <v>3</v>
      </c>
      <c r="C15" s="7" t="s">
        <v>86</v>
      </c>
    </row>
    <row r="16" spans="1:5">
      <c r="C16" s="1"/>
      <c r="D16" s="2" t="s">
        <v>3</v>
      </c>
      <c r="E16" s="2" t="s">
        <v>6</v>
      </c>
    </row>
    <row r="17" spans="2:5">
      <c r="D17" s="4" t="s">
        <v>87</v>
      </c>
      <c r="E17" s="4" t="s">
        <v>85</v>
      </c>
    </row>
    <row r="18" spans="2:5">
      <c r="D18" s="4" t="s">
        <v>88</v>
      </c>
      <c r="E18" s="4" t="s">
        <v>83</v>
      </c>
    </row>
    <row r="20" spans="2:5">
      <c r="B20" t="s">
        <v>89</v>
      </c>
    </row>
    <row r="21" spans="2:5">
      <c r="C21" t="s">
        <v>90</v>
      </c>
    </row>
    <row r="22" spans="2:5">
      <c r="C22" t="s">
        <v>91</v>
      </c>
    </row>
    <row r="24" spans="2:5">
      <c r="B24" t="s">
        <v>92</v>
      </c>
    </row>
    <row r="25" spans="2:5">
      <c r="C25" s="1" t="s">
        <v>93</v>
      </c>
    </row>
    <row r="26" spans="2:5">
      <c r="C26" t="s">
        <v>94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9"/>
  <sheetViews>
    <sheetView zoomScale="85" zoomScaleNormal="85" workbookViewId="0">
      <selection activeCell="F24" sqref="F24"/>
    </sheetView>
  </sheetViews>
  <sheetFormatPr defaultRowHeight="18.75" outlineLevelRow="1"/>
  <cols>
    <col min="1" max="3" width="3.625" customWidth="1"/>
    <col min="4" max="4" width="4.375" customWidth="1"/>
    <col min="5" max="5" width="12.125" style="23" customWidth="1"/>
    <col min="6" max="7" width="9" style="23" bestFit="1" customWidth="1"/>
    <col min="8" max="8" width="11" style="23" bestFit="1" customWidth="1"/>
    <col min="9" max="9" width="3.625" customWidth="1"/>
    <col min="12" max="12" width="11" bestFit="1" customWidth="1"/>
    <col min="13" max="13" width="3.625" customWidth="1"/>
    <col min="14" max="15" width="9" bestFit="1" customWidth="1"/>
    <col min="16" max="16" width="11" customWidth="1"/>
    <col min="17" max="17" width="3" customWidth="1"/>
  </cols>
  <sheetData>
    <row r="1" spans="1:17">
      <c r="A1" s="24" t="s">
        <v>95</v>
      </c>
    </row>
    <row r="2" spans="1:17">
      <c r="A2" s="24"/>
    </row>
    <row r="3" spans="1:17">
      <c r="B3" t="s">
        <v>96</v>
      </c>
    </row>
    <row r="4" spans="1:17">
      <c r="C4" t="s">
        <v>97</v>
      </c>
    </row>
    <row r="5" spans="1:17">
      <c r="C5" t="s">
        <v>98</v>
      </c>
    </row>
    <row r="6" spans="1:17" ht="19.5" thickBot="1"/>
    <row r="7" spans="1:17">
      <c r="D7" s="26"/>
      <c r="E7" s="27"/>
      <c r="F7" s="27"/>
      <c r="G7" s="27"/>
      <c r="H7" s="27"/>
      <c r="I7" s="28"/>
      <c r="J7" s="28"/>
      <c r="K7" s="28"/>
      <c r="L7" s="28"/>
      <c r="M7" s="28"/>
      <c r="N7" s="28"/>
      <c r="O7" s="28"/>
      <c r="P7" s="28"/>
      <c r="Q7" s="29"/>
    </row>
    <row r="8" spans="1:17">
      <c r="D8" s="30">
        <v>1</v>
      </c>
      <c r="E8" s="25" t="s">
        <v>77</v>
      </c>
      <c r="Q8" s="31"/>
    </row>
    <row r="9" spans="1:17">
      <c r="D9" s="30"/>
      <c r="E9" s="23" t="s">
        <v>99</v>
      </c>
      <c r="F9" s="23">
        <v>250</v>
      </c>
      <c r="G9" s="23">
        <v>200</v>
      </c>
      <c r="H9" s="23">
        <v>150</v>
      </c>
      <c r="J9" s="23">
        <v>150</v>
      </c>
      <c r="K9" s="23">
        <v>200</v>
      </c>
      <c r="L9" s="23">
        <v>150</v>
      </c>
      <c r="M9" s="23"/>
      <c r="N9" s="23">
        <v>300</v>
      </c>
      <c r="O9" s="23">
        <v>350</v>
      </c>
      <c r="P9" s="23">
        <v>250</v>
      </c>
      <c r="Q9" s="31"/>
    </row>
    <row r="10" spans="1:17">
      <c r="D10" s="30"/>
      <c r="J10" s="23"/>
      <c r="K10" s="23"/>
      <c r="L10" s="23"/>
      <c r="M10" s="23"/>
      <c r="N10" s="23"/>
      <c r="O10" s="23"/>
      <c r="P10" s="23"/>
      <c r="Q10" s="31"/>
    </row>
    <row r="11" spans="1:17">
      <c r="D11" s="30"/>
      <c r="J11" s="23"/>
      <c r="K11" s="23"/>
      <c r="L11" s="23"/>
      <c r="M11" s="23"/>
      <c r="N11" s="23"/>
      <c r="O11" s="127" t="s">
        <v>100</v>
      </c>
      <c r="P11" s="23"/>
      <c r="Q11" s="31"/>
    </row>
    <row r="12" spans="1:17">
      <c r="D12" s="30"/>
      <c r="J12" s="23"/>
      <c r="K12" s="23"/>
      <c r="L12" s="23"/>
      <c r="M12" s="23"/>
      <c r="N12" s="128" t="s">
        <v>101</v>
      </c>
      <c r="O12" s="139"/>
      <c r="Q12" s="31"/>
    </row>
    <row r="13" spans="1:17">
      <c r="D13" s="30"/>
      <c r="F13" s="128" t="s">
        <v>102</v>
      </c>
      <c r="K13" s="23"/>
      <c r="L13" s="23"/>
      <c r="M13" s="23"/>
      <c r="N13" s="138"/>
      <c r="O13" s="139"/>
      <c r="P13" s="117" t="s">
        <v>103</v>
      </c>
      <c r="Q13" s="31"/>
    </row>
    <row r="14" spans="1:17">
      <c r="D14" s="30"/>
      <c r="F14" s="129"/>
      <c r="G14" s="118" t="s">
        <v>104</v>
      </c>
      <c r="K14" s="118" t="s">
        <v>104</v>
      </c>
      <c r="L14" s="23"/>
      <c r="M14" s="23"/>
      <c r="N14" s="138"/>
      <c r="O14" s="139"/>
      <c r="P14" s="139"/>
      <c r="Q14" s="31"/>
    </row>
    <row r="15" spans="1:17">
      <c r="D15" s="30"/>
      <c r="F15" s="129"/>
      <c r="G15" s="130"/>
      <c r="H15" s="119" t="s">
        <v>105</v>
      </c>
      <c r="J15" s="124" t="s">
        <v>102</v>
      </c>
      <c r="K15" s="130"/>
      <c r="L15" s="119" t="s">
        <v>105</v>
      </c>
      <c r="M15" s="32"/>
      <c r="N15" s="138"/>
      <c r="O15" s="139"/>
      <c r="P15" s="139"/>
      <c r="Q15" s="31"/>
    </row>
    <row r="16" spans="1:17">
      <c r="D16" s="30"/>
      <c r="F16" s="129"/>
      <c r="G16" s="130"/>
      <c r="H16" s="123"/>
      <c r="J16" s="125"/>
      <c r="K16" s="130"/>
      <c r="L16" s="123"/>
      <c r="M16" s="23"/>
      <c r="N16" s="138"/>
      <c r="O16" s="139"/>
      <c r="P16" s="139"/>
      <c r="Q16" s="31"/>
    </row>
    <row r="17" spans="4:17">
      <c r="D17" s="30"/>
      <c r="F17" s="129"/>
      <c r="G17" s="130"/>
      <c r="H17" s="123"/>
      <c r="J17" s="126"/>
      <c r="K17" s="130"/>
      <c r="L17" s="123"/>
      <c r="M17" s="23"/>
      <c r="N17" s="138"/>
      <c r="O17" s="142"/>
      <c r="P17" s="142"/>
      <c r="Q17" s="31"/>
    </row>
    <row r="18" spans="4:17">
      <c r="D18" s="30"/>
      <c r="E18" s="32" t="s">
        <v>106</v>
      </c>
      <c r="G18" s="23">
        <v>100</v>
      </c>
      <c r="H18" s="23">
        <v>50</v>
      </c>
      <c r="J18" s="23">
        <v>50</v>
      </c>
      <c r="K18" s="23">
        <v>100</v>
      </c>
      <c r="L18" s="23">
        <v>50</v>
      </c>
      <c r="M18" s="23"/>
      <c r="N18" s="23">
        <v>50</v>
      </c>
      <c r="O18" s="23">
        <v>-50</v>
      </c>
      <c r="P18" s="23">
        <v>100</v>
      </c>
      <c r="Q18" s="31"/>
    </row>
    <row r="19" spans="4:17">
      <c r="D19" s="30"/>
      <c r="E19" s="32" t="s">
        <v>107</v>
      </c>
      <c r="J19" s="23"/>
      <c r="K19" s="23"/>
      <c r="L19" s="23"/>
      <c r="M19" s="23"/>
      <c r="N19" s="23"/>
      <c r="O19" s="23"/>
      <c r="P19" s="23"/>
      <c r="Q19" s="31"/>
    </row>
    <row r="20" spans="4:17">
      <c r="D20" s="30"/>
      <c r="E20" s="43" t="s">
        <v>108</v>
      </c>
      <c r="F20" t="s">
        <v>109</v>
      </c>
      <c r="J20" s="23"/>
      <c r="K20" s="23"/>
      <c r="L20" s="23"/>
      <c r="M20" s="42" t="s">
        <v>110</v>
      </c>
      <c r="N20" s="23"/>
      <c r="O20" s="23"/>
      <c r="P20" s="23"/>
      <c r="Q20" s="31"/>
    </row>
    <row r="21" spans="4:17">
      <c r="D21" s="30"/>
      <c r="E21" s="43"/>
      <c r="F21" t="s">
        <v>111</v>
      </c>
      <c r="J21" s="23"/>
      <c r="K21" s="23"/>
      <c r="L21" s="23"/>
      <c r="M21" s="42"/>
      <c r="N21" s="23"/>
      <c r="O21" s="23"/>
      <c r="P21" s="23"/>
      <c r="Q21" s="31"/>
    </row>
    <row r="22" spans="4:17">
      <c r="D22" s="30"/>
      <c r="E22" s="43" t="s">
        <v>112</v>
      </c>
      <c r="F22" t="s">
        <v>13</v>
      </c>
      <c r="J22" s="23"/>
      <c r="K22" s="23"/>
      <c r="L22" s="23"/>
      <c r="M22" s="42" t="s">
        <v>113</v>
      </c>
      <c r="N22" s="23"/>
      <c r="O22" s="23"/>
      <c r="P22" s="23"/>
      <c r="Q22" s="31"/>
    </row>
    <row r="23" spans="4:17">
      <c r="D23" s="30"/>
      <c r="E23" s="32"/>
      <c r="F23" t="s">
        <v>114</v>
      </c>
      <c r="J23" s="23"/>
      <c r="K23" s="23"/>
      <c r="L23" s="23"/>
      <c r="M23" s="23"/>
      <c r="N23" s="23"/>
      <c r="O23" s="23"/>
      <c r="P23" s="23"/>
      <c r="Q23" s="31"/>
    </row>
    <row r="24" spans="4:17">
      <c r="D24" s="30"/>
      <c r="E24" s="43" t="s">
        <v>115</v>
      </c>
      <c r="F24" t="s">
        <v>116</v>
      </c>
      <c r="J24" s="23"/>
      <c r="K24" s="23"/>
      <c r="L24" s="23"/>
      <c r="M24" s="42" t="s">
        <v>117</v>
      </c>
      <c r="N24" s="23"/>
      <c r="O24" s="23"/>
      <c r="P24" s="23"/>
      <c r="Q24" s="31"/>
    </row>
    <row r="25" spans="4:17" ht="19.5" thickBot="1">
      <c r="D25" s="33"/>
      <c r="E25" s="34"/>
      <c r="F25" s="34"/>
      <c r="G25" s="34"/>
      <c r="H25" s="34"/>
      <c r="I25" s="35"/>
      <c r="J25" s="35"/>
      <c r="K25" s="35"/>
      <c r="L25" s="35"/>
      <c r="M25" s="35"/>
      <c r="N25" s="35"/>
      <c r="O25" s="35"/>
      <c r="P25" s="35"/>
      <c r="Q25" s="36"/>
    </row>
    <row r="26" spans="4:17" outlineLevel="1">
      <c r="D26" s="26"/>
      <c r="E26" s="27"/>
      <c r="F26" s="27"/>
      <c r="G26" s="27"/>
      <c r="H26" s="27"/>
      <c r="I26" s="28"/>
      <c r="J26" s="28"/>
      <c r="K26" s="28"/>
      <c r="L26" s="28"/>
      <c r="M26" s="28"/>
      <c r="N26" s="28"/>
      <c r="O26" s="28"/>
      <c r="P26" s="28"/>
      <c r="Q26" s="29"/>
    </row>
    <row r="27" spans="4:17" outlineLevel="1">
      <c r="D27" s="30">
        <v>2</v>
      </c>
      <c r="E27" s="25" t="s">
        <v>84</v>
      </c>
      <c r="Q27" s="31"/>
    </row>
    <row r="28" spans="4:17" outlineLevel="1">
      <c r="D28" s="30"/>
      <c r="E28" s="23" t="s">
        <v>99</v>
      </c>
      <c r="F28" s="23">
        <v>250</v>
      </c>
      <c r="G28" s="23">
        <v>200</v>
      </c>
      <c r="H28" s="23">
        <v>200</v>
      </c>
      <c r="J28" s="23">
        <v>150</v>
      </c>
      <c r="K28" s="23">
        <v>200</v>
      </c>
      <c r="L28" s="23">
        <v>200</v>
      </c>
      <c r="M28" s="23"/>
      <c r="N28" s="23">
        <v>150</v>
      </c>
      <c r="O28" s="23">
        <v>300</v>
      </c>
      <c r="P28" s="23">
        <v>300</v>
      </c>
      <c r="Q28" s="31"/>
    </row>
    <row r="29" spans="4:17" outlineLevel="1">
      <c r="D29" s="30"/>
      <c r="J29" s="23"/>
      <c r="K29" s="23"/>
      <c r="L29" s="23"/>
      <c r="M29" s="23"/>
      <c r="N29" s="23"/>
      <c r="O29" s="23"/>
      <c r="P29" s="23"/>
      <c r="Q29" s="31"/>
    </row>
    <row r="30" spans="4:17" outlineLevel="1">
      <c r="D30" s="30"/>
      <c r="J30" s="23"/>
      <c r="K30" s="23"/>
      <c r="L30" s="23"/>
      <c r="M30" s="23"/>
      <c r="N30" s="23"/>
      <c r="O30" s="118" t="s">
        <v>100</v>
      </c>
      <c r="P30" s="119" t="s">
        <v>118</v>
      </c>
      <c r="Q30" s="31"/>
    </row>
    <row r="31" spans="4:17" ht="18.75" customHeight="1" outlineLevel="1">
      <c r="D31" s="30"/>
      <c r="F31" s="128" t="s">
        <v>102</v>
      </c>
      <c r="K31" s="23"/>
      <c r="L31" s="23"/>
      <c r="M31" s="23"/>
      <c r="O31" s="113"/>
      <c r="P31" s="113"/>
      <c r="Q31" s="31"/>
    </row>
    <row r="32" spans="4:17" outlineLevel="1">
      <c r="D32" s="30"/>
      <c r="F32" s="129"/>
      <c r="G32" s="118" t="s">
        <v>104</v>
      </c>
      <c r="H32" s="119" t="s">
        <v>119</v>
      </c>
      <c r="K32" s="118" t="s">
        <v>104</v>
      </c>
      <c r="L32" s="119" t="s">
        <v>119</v>
      </c>
      <c r="M32" s="32"/>
      <c r="O32" s="113"/>
      <c r="P32" s="113"/>
      <c r="Q32" s="31"/>
    </row>
    <row r="33" spans="4:17" outlineLevel="1">
      <c r="D33" s="30"/>
      <c r="F33" s="129"/>
      <c r="G33" s="130"/>
      <c r="H33" s="123"/>
      <c r="J33" s="124" t="s">
        <v>102</v>
      </c>
      <c r="K33" s="130"/>
      <c r="L33" s="123"/>
      <c r="M33" s="23"/>
      <c r="N33" s="120" t="s">
        <v>101</v>
      </c>
      <c r="O33" s="113"/>
      <c r="P33" s="113"/>
      <c r="Q33" s="31"/>
    </row>
    <row r="34" spans="4:17" ht="18.75" customHeight="1" outlineLevel="1">
      <c r="D34" s="30"/>
      <c r="F34" s="129"/>
      <c r="G34" s="130"/>
      <c r="H34" s="123"/>
      <c r="J34" s="125"/>
      <c r="K34" s="130"/>
      <c r="L34" s="123"/>
      <c r="M34" s="23"/>
      <c r="N34" s="121"/>
      <c r="O34" s="113"/>
      <c r="P34" s="113"/>
      <c r="Q34" s="31"/>
    </row>
    <row r="35" spans="4:17" outlineLevel="1">
      <c r="D35" s="30"/>
      <c r="F35" s="129"/>
      <c r="G35" s="130"/>
      <c r="H35" s="123"/>
      <c r="J35" s="126"/>
      <c r="K35" s="130"/>
      <c r="L35" s="123"/>
      <c r="M35" s="23"/>
      <c r="N35" s="122"/>
      <c r="O35" s="113"/>
      <c r="P35" s="113"/>
      <c r="Q35" s="31"/>
    </row>
    <row r="36" spans="4:17" outlineLevel="1">
      <c r="D36" s="30"/>
      <c r="E36" s="32" t="s">
        <v>106</v>
      </c>
      <c r="G36" s="23">
        <v>100</v>
      </c>
      <c r="J36" s="23">
        <v>50</v>
      </c>
      <c r="K36" s="23">
        <v>100</v>
      </c>
      <c r="L36" s="23"/>
      <c r="M36" s="23"/>
      <c r="N36" s="23">
        <v>150</v>
      </c>
      <c r="O36" s="23">
        <v>0</v>
      </c>
      <c r="P36" s="23"/>
      <c r="Q36" s="31"/>
    </row>
    <row r="37" spans="4:17">
      <c r="D37" s="30"/>
      <c r="E37" s="32" t="s">
        <v>107</v>
      </c>
      <c r="J37" s="23"/>
      <c r="K37" s="23"/>
      <c r="L37" s="23"/>
      <c r="M37" s="23"/>
      <c r="N37" s="23"/>
      <c r="O37" s="23"/>
      <c r="P37" s="23"/>
      <c r="Q37" s="31"/>
    </row>
    <row r="38" spans="4:17">
      <c r="D38" s="30"/>
      <c r="E38" s="43" t="s">
        <v>108</v>
      </c>
      <c r="F38" t="s">
        <v>109</v>
      </c>
      <c r="J38" s="42" t="s">
        <v>110</v>
      </c>
      <c r="K38" s="23"/>
      <c r="L38" s="23"/>
      <c r="M38" s="23"/>
      <c r="N38" s="42" t="s">
        <v>110</v>
      </c>
      <c r="O38" s="23"/>
      <c r="P38" s="23"/>
      <c r="Q38" s="31"/>
    </row>
    <row r="39" spans="4:17">
      <c r="D39" s="30"/>
      <c r="E39" s="43"/>
      <c r="F39" t="s">
        <v>111</v>
      </c>
      <c r="J39" s="42"/>
      <c r="K39" s="23"/>
      <c r="L39" s="23"/>
      <c r="M39" s="23"/>
      <c r="N39" s="42"/>
      <c r="O39" s="23"/>
      <c r="P39" s="23"/>
      <c r="Q39" s="31"/>
    </row>
    <row r="40" spans="4:17">
      <c r="D40" s="30"/>
      <c r="E40" s="43" t="s">
        <v>112</v>
      </c>
      <c r="F40" t="s">
        <v>13</v>
      </c>
      <c r="J40" s="42" t="s">
        <v>113</v>
      </c>
      <c r="K40" s="23"/>
      <c r="L40" s="23"/>
      <c r="M40" s="23"/>
      <c r="N40" s="42" t="s">
        <v>113</v>
      </c>
      <c r="O40" s="23"/>
      <c r="P40" s="23"/>
      <c r="Q40" s="31"/>
    </row>
    <row r="41" spans="4:17">
      <c r="D41" s="30"/>
      <c r="E41" s="32"/>
      <c r="F41" t="s">
        <v>114</v>
      </c>
      <c r="J41" s="23"/>
      <c r="K41" s="23"/>
      <c r="L41" s="23"/>
      <c r="M41" s="23"/>
      <c r="N41" s="23"/>
      <c r="O41" s="23"/>
      <c r="P41" s="23"/>
      <c r="Q41" s="31"/>
    </row>
    <row r="42" spans="4:17" ht="19.5" outlineLevel="1" thickBot="1">
      <c r="D42" s="33"/>
      <c r="E42" s="34"/>
      <c r="F42" s="34"/>
      <c r="G42" s="34"/>
      <c r="H42" s="34"/>
      <c r="I42" s="35"/>
      <c r="J42" s="35"/>
      <c r="K42" s="35"/>
      <c r="L42" s="35"/>
      <c r="M42" s="35"/>
      <c r="N42" s="35"/>
      <c r="O42" s="35"/>
      <c r="P42" s="35"/>
      <c r="Q42" s="36"/>
    </row>
    <row r="43" spans="4:17">
      <c r="D43" s="26"/>
      <c r="E43" s="27"/>
      <c r="F43" s="27"/>
      <c r="G43" s="27"/>
      <c r="H43" s="27"/>
      <c r="I43" s="28"/>
      <c r="J43" s="28"/>
      <c r="K43" s="28"/>
      <c r="L43" s="28"/>
      <c r="M43" s="28"/>
      <c r="N43" s="28"/>
      <c r="O43" s="28"/>
      <c r="P43" s="28"/>
      <c r="Q43" s="29"/>
    </row>
    <row r="44" spans="4:17">
      <c r="D44" s="30">
        <v>3</v>
      </c>
      <c r="E44" s="25" t="s">
        <v>120</v>
      </c>
      <c r="Q44" s="31"/>
    </row>
    <row r="45" spans="4:17">
      <c r="D45" s="30"/>
      <c r="E45" s="23" t="s">
        <v>99</v>
      </c>
      <c r="F45" s="23">
        <v>250</v>
      </c>
      <c r="G45" s="23">
        <v>200</v>
      </c>
      <c r="H45" s="23">
        <v>250</v>
      </c>
      <c r="J45" s="23">
        <v>150</v>
      </c>
      <c r="K45" s="23">
        <v>200</v>
      </c>
      <c r="L45" s="23">
        <v>250</v>
      </c>
      <c r="M45" s="23"/>
      <c r="N45" s="23"/>
      <c r="O45" s="23"/>
      <c r="P45" s="23"/>
      <c r="Q45" s="31"/>
    </row>
    <row r="46" spans="4:17">
      <c r="D46" s="30"/>
      <c r="J46" s="23"/>
      <c r="K46" s="23"/>
      <c r="L46" s="23"/>
      <c r="M46" s="23"/>
      <c r="N46" s="23"/>
      <c r="O46" s="23"/>
      <c r="P46" s="23"/>
      <c r="Q46" s="31"/>
    </row>
    <row r="47" spans="4:17">
      <c r="D47" s="30"/>
      <c r="F47" s="124" t="s">
        <v>102</v>
      </c>
      <c r="H47" s="119" t="s">
        <v>119</v>
      </c>
      <c r="K47" s="23"/>
      <c r="L47" s="119" t="s">
        <v>119</v>
      </c>
      <c r="M47" s="32"/>
      <c r="N47" s="32"/>
      <c r="O47" s="32"/>
      <c r="P47" s="32"/>
      <c r="Q47" s="31"/>
    </row>
    <row r="48" spans="4:17" ht="18.75" customHeight="1">
      <c r="D48" s="30"/>
      <c r="F48" s="125"/>
      <c r="G48" s="131" t="s">
        <v>104</v>
      </c>
      <c r="H48" s="123"/>
      <c r="K48" s="118" t="s">
        <v>104</v>
      </c>
      <c r="L48" s="123"/>
      <c r="M48" s="23"/>
      <c r="N48" s="23"/>
      <c r="O48" s="23"/>
      <c r="P48" s="23"/>
      <c r="Q48" s="31"/>
    </row>
    <row r="49" spans="4:17" ht="18.75" customHeight="1">
      <c r="D49" s="30"/>
      <c r="F49" s="125"/>
      <c r="G49" s="132"/>
      <c r="H49" s="123"/>
      <c r="J49" s="124" t="s">
        <v>102</v>
      </c>
      <c r="K49" s="130"/>
      <c r="L49" s="123"/>
      <c r="M49" s="23"/>
      <c r="N49" s="23"/>
      <c r="O49" s="23"/>
      <c r="P49" s="23"/>
      <c r="Q49" s="31"/>
    </row>
    <row r="50" spans="4:17">
      <c r="D50" s="30"/>
      <c r="F50" s="125"/>
      <c r="G50" s="132"/>
      <c r="H50" s="123"/>
      <c r="J50" s="125"/>
      <c r="K50" s="130"/>
      <c r="L50" s="123"/>
      <c r="M50" s="23"/>
      <c r="N50" s="23"/>
      <c r="O50" s="23"/>
      <c r="P50" s="23"/>
      <c r="Q50" s="31"/>
    </row>
    <row r="51" spans="4:17">
      <c r="D51" s="30"/>
      <c r="F51" s="126"/>
      <c r="G51" s="132"/>
      <c r="H51" s="123"/>
      <c r="J51" s="126"/>
      <c r="K51" s="130"/>
      <c r="L51" s="123"/>
      <c r="M51" s="23"/>
      <c r="N51" s="23"/>
      <c r="O51" s="23"/>
      <c r="P51" s="23"/>
      <c r="Q51" s="31"/>
    </row>
    <row r="52" spans="4:17">
      <c r="D52" s="30"/>
      <c r="E52" s="32" t="s">
        <v>106</v>
      </c>
      <c r="H52" s="23">
        <v>50</v>
      </c>
      <c r="J52" s="23">
        <v>100</v>
      </c>
      <c r="K52" s="23"/>
      <c r="L52" s="23">
        <v>50</v>
      </c>
      <c r="M52" s="23"/>
      <c r="N52" s="23"/>
      <c r="O52" s="23"/>
      <c r="P52" s="23"/>
      <c r="Q52" s="31"/>
    </row>
    <row r="53" spans="4:17">
      <c r="D53" s="30"/>
      <c r="E53" s="32" t="s">
        <v>107</v>
      </c>
      <c r="J53" s="23"/>
      <c r="K53" s="23"/>
      <c r="L53" s="23"/>
      <c r="M53" s="23"/>
      <c r="N53" s="23"/>
      <c r="O53" s="23"/>
      <c r="P53" s="23"/>
      <c r="Q53" s="31"/>
    </row>
    <row r="54" spans="4:17">
      <c r="D54" s="30"/>
      <c r="E54" s="43" t="s">
        <v>108</v>
      </c>
      <c r="F54" t="s">
        <v>121</v>
      </c>
      <c r="J54" s="42"/>
      <c r="K54" s="23"/>
      <c r="L54" s="23"/>
      <c r="M54" s="23"/>
      <c r="N54" s="42" t="s">
        <v>110</v>
      </c>
      <c r="O54" s="23"/>
      <c r="P54" s="23"/>
      <c r="Q54" s="31"/>
    </row>
    <row r="55" spans="4:17">
      <c r="D55" s="30"/>
      <c r="E55" s="43"/>
      <c r="F55" t="s">
        <v>111</v>
      </c>
      <c r="G55" s="42"/>
      <c r="J55" s="23"/>
      <c r="K55" s="23"/>
      <c r="L55" s="23"/>
      <c r="M55" s="23"/>
      <c r="N55" s="23"/>
      <c r="O55" s="23"/>
      <c r="P55" s="23"/>
      <c r="Q55" s="31"/>
    </row>
    <row r="56" spans="4:17">
      <c r="D56" s="30"/>
      <c r="E56" s="43" t="s">
        <v>112</v>
      </c>
      <c r="F56" t="s">
        <v>122</v>
      </c>
      <c r="J56" s="42"/>
      <c r="K56" s="23"/>
      <c r="L56" s="23"/>
      <c r="M56" s="23"/>
      <c r="N56" s="42" t="s">
        <v>113</v>
      </c>
      <c r="O56" s="23"/>
      <c r="P56" s="23"/>
      <c r="Q56" s="31"/>
    </row>
    <row r="57" spans="4:17">
      <c r="D57" s="30"/>
      <c r="E57" s="32"/>
      <c r="F57" t="s">
        <v>114</v>
      </c>
      <c r="J57" s="23"/>
      <c r="K57" s="23"/>
      <c r="L57" s="23"/>
      <c r="M57" s="23"/>
      <c r="N57" s="23"/>
      <c r="O57" s="23"/>
      <c r="P57" s="23"/>
      <c r="Q57" s="31"/>
    </row>
    <row r="58" spans="4:17" ht="19.5" thickBot="1">
      <c r="D58" s="33"/>
      <c r="E58" s="34"/>
      <c r="F58" s="34"/>
      <c r="G58" s="34"/>
      <c r="H58" s="37"/>
      <c r="I58" s="35"/>
      <c r="J58" s="35"/>
      <c r="K58" s="35"/>
      <c r="L58" s="35"/>
      <c r="M58" s="35"/>
      <c r="N58" s="35"/>
      <c r="O58" s="35"/>
      <c r="P58" s="35"/>
      <c r="Q58" s="36"/>
    </row>
    <row r="59" spans="4:17">
      <c r="D59" s="42" t="s">
        <v>123</v>
      </c>
    </row>
  </sheetData>
  <mergeCells count="24">
    <mergeCell ref="F47:F51"/>
    <mergeCell ref="G48:G51"/>
    <mergeCell ref="K48:K51"/>
    <mergeCell ref="F31:F35"/>
    <mergeCell ref="G32:G35"/>
    <mergeCell ref="K32:K35"/>
    <mergeCell ref="J33:J35"/>
    <mergeCell ref="H32:H35"/>
    <mergeCell ref="J49:J51"/>
    <mergeCell ref="H47:H51"/>
    <mergeCell ref="J15:J17"/>
    <mergeCell ref="L32:L35"/>
    <mergeCell ref="O11:O17"/>
    <mergeCell ref="N12:N17"/>
    <mergeCell ref="F13:F17"/>
    <mergeCell ref="G14:G17"/>
    <mergeCell ref="H15:H17"/>
    <mergeCell ref="K14:K17"/>
    <mergeCell ref="P13:P17"/>
    <mergeCell ref="O30:O35"/>
    <mergeCell ref="P30:P35"/>
    <mergeCell ref="N33:N35"/>
    <mergeCell ref="L47:L51"/>
    <mergeCell ref="L15:L17"/>
  </mergeCells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K49"/>
  <sheetViews>
    <sheetView topLeftCell="O1" workbookViewId="0">
      <selection activeCell="Y2" sqref="Y2"/>
    </sheetView>
  </sheetViews>
  <sheetFormatPr defaultColWidth="91.625" defaultRowHeight="18.75" outlineLevelCol="1"/>
  <cols>
    <col min="1" max="1" width="5.25" bestFit="1" customWidth="1"/>
    <col min="2" max="2" width="6.5" bestFit="1" customWidth="1"/>
    <col min="3" max="3" width="17.25" bestFit="1" customWidth="1"/>
    <col min="4" max="4" width="6.5" bestFit="1" customWidth="1"/>
    <col min="5" max="5" width="12.375" bestFit="1" customWidth="1"/>
    <col min="6" max="6" width="6.5" bestFit="1" customWidth="1"/>
    <col min="7" max="7" width="13" bestFit="1" customWidth="1"/>
    <col min="8" max="8" width="6.5" bestFit="1" customWidth="1"/>
    <col min="9" max="9" width="18.125" bestFit="1" customWidth="1"/>
    <col min="10" max="10" width="84" hidden="1" customWidth="1" outlineLevel="1"/>
    <col min="11" max="11" width="5.25" hidden="1" customWidth="1" outlineLevel="1" collapsed="1"/>
    <col min="12" max="12" width="7.125" hidden="1" customWidth="1" outlineLevel="1"/>
    <col min="13" max="13" width="35.5" hidden="1" customWidth="1" outlineLevel="1"/>
    <col min="14" max="14" width="15" hidden="1" customWidth="1" outlineLevel="1"/>
    <col min="15" max="15" width="15" bestFit="1" customWidth="1" collapsed="1"/>
    <col min="16" max="16" width="11.75" hidden="1" customWidth="1" outlineLevel="1"/>
    <col min="17" max="17" width="5.5" hidden="1" customWidth="1" outlineLevel="1"/>
    <col min="18" max="18" width="13.5" style="23" hidden="1" customWidth="1" outlineLevel="1"/>
    <col min="19" max="19" width="5.25" hidden="1" customWidth="1" outlineLevel="1"/>
    <col min="20" max="20" width="12.375" bestFit="1" customWidth="1" collapsed="1"/>
    <col min="21" max="21" width="13" bestFit="1" customWidth="1"/>
    <col min="22" max="22" width="10.5" bestFit="1" customWidth="1"/>
    <col min="23" max="23" width="10.5" hidden="1" customWidth="1" outlineLevel="1"/>
    <col min="24" max="24" width="9" hidden="1" customWidth="1" outlineLevel="1"/>
    <col min="25" max="25" width="14.625" hidden="1" customWidth="1" outlineLevel="1"/>
    <col min="26" max="26" width="9.875" hidden="1" customWidth="1" outlineLevel="1"/>
    <col min="27" max="27" width="9.875" bestFit="1" customWidth="1" collapsed="1"/>
    <col min="28" max="28" width="9" bestFit="1" customWidth="1"/>
    <col min="29" max="29" width="7.125" bestFit="1" customWidth="1"/>
    <col min="30" max="30" width="9" bestFit="1" customWidth="1"/>
    <col min="31" max="31" width="16.125" bestFit="1" customWidth="1"/>
    <col min="32" max="32" width="10.875" bestFit="1" customWidth="1"/>
    <col min="33" max="33" width="9" bestFit="1" customWidth="1"/>
    <col min="34" max="34" width="11" bestFit="1" customWidth="1"/>
    <col min="35" max="36" width="13" bestFit="1" customWidth="1"/>
    <col min="37" max="37" width="9.875" bestFit="1" customWidth="1"/>
  </cols>
  <sheetData>
    <row r="1" spans="1:37">
      <c r="A1" s="38" t="s">
        <v>124</v>
      </c>
      <c r="B1" s="38" t="s">
        <v>125</v>
      </c>
      <c r="C1" s="38" t="s">
        <v>126</v>
      </c>
      <c r="D1" s="38" t="s">
        <v>127</v>
      </c>
      <c r="E1" s="38" t="s">
        <v>128</v>
      </c>
      <c r="F1" s="38" t="s">
        <v>129</v>
      </c>
      <c r="G1" s="38" t="s">
        <v>130</v>
      </c>
      <c r="H1" s="38" t="s">
        <v>131</v>
      </c>
      <c r="I1" s="38" t="s">
        <v>132</v>
      </c>
      <c r="J1" s="38" t="s">
        <v>133</v>
      </c>
      <c r="K1" s="38" t="s">
        <v>134</v>
      </c>
      <c r="L1" s="38" t="s">
        <v>135</v>
      </c>
      <c r="M1" s="38" t="s">
        <v>136</v>
      </c>
      <c r="N1" s="38" t="s">
        <v>137</v>
      </c>
      <c r="O1" s="38" t="s">
        <v>138</v>
      </c>
      <c r="P1" s="38" t="s">
        <v>79</v>
      </c>
      <c r="Q1" s="38" t="s">
        <v>139</v>
      </c>
      <c r="R1" s="38" t="s">
        <v>140</v>
      </c>
      <c r="S1" s="38" t="s">
        <v>141</v>
      </c>
      <c r="T1" s="38" t="s">
        <v>142</v>
      </c>
      <c r="U1" s="38" t="s">
        <v>17</v>
      </c>
      <c r="V1" s="38" t="s">
        <v>143</v>
      </c>
      <c r="W1" s="38"/>
      <c r="X1" s="38" t="s">
        <v>144</v>
      </c>
      <c r="Y1" s="38" t="s">
        <v>145</v>
      </c>
      <c r="Z1" s="38" t="s">
        <v>146</v>
      </c>
      <c r="AA1" s="38" t="s">
        <v>4</v>
      </c>
      <c r="AB1" s="38" t="s">
        <v>5</v>
      </c>
      <c r="AC1" s="38" t="s">
        <v>147</v>
      </c>
      <c r="AD1" s="38" t="s">
        <v>148</v>
      </c>
      <c r="AE1" s="38" t="s">
        <v>6</v>
      </c>
      <c r="AF1" s="38" t="s">
        <v>149</v>
      </c>
      <c r="AG1" s="38" t="s">
        <v>150</v>
      </c>
      <c r="AH1" s="38" t="s">
        <v>151</v>
      </c>
      <c r="AI1" s="38" t="s">
        <v>152</v>
      </c>
      <c r="AJ1" s="38" t="s">
        <v>153</v>
      </c>
      <c r="AK1" s="38" t="s">
        <v>154</v>
      </c>
    </row>
    <row r="2" spans="1:37" hidden="1">
      <c r="A2" s="39">
        <v>1</v>
      </c>
      <c r="B2" s="40" t="s">
        <v>155</v>
      </c>
      <c r="C2" s="40" t="s">
        <v>156</v>
      </c>
      <c r="D2" s="40" t="s">
        <v>155</v>
      </c>
      <c r="E2" s="40" t="s">
        <v>142</v>
      </c>
      <c r="F2" s="40" t="s">
        <v>155</v>
      </c>
      <c r="G2" s="40" t="s">
        <v>17</v>
      </c>
      <c r="H2" s="40" t="s">
        <v>155</v>
      </c>
      <c r="I2" s="40" t="s">
        <v>157</v>
      </c>
      <c r="J2" s="40" t="s">
        <v>158</v>
      </c>
      <c r="K2" s="40" t="s">
        <v>159</v>
      </c>
      <c r="L2" s="40" t="s">
        <v>160</v>
      </c>
      <c r="M2" s="40" t="s">
        <v>161</v>
      </c>
      <c r="N2" s="40" t="s">
        <v>162</v>
      </c>
      <c r="O2" s="40" t="s">
        <v>162</v>
      </c>
      <c r="P2" s="40" t="s">
        <v>163</v>
      </c>
      <c r="Q2" s="40" t="s">
        <v>164</v>
      </c>
      <c r="R2" s="41">
        <v>280</v>
      </c>
      <c r="S2" s="40" t="s">
        <v>165</v>
      </c>
      <c r="T2" s="40" t="s">
        <v>166</v>
      </c>
      <c r="U2" s="40" t="s">
        <v>167</v>
      </c>
      <c r="V2" s="40" t="s">
        <v>168</v>
      </c>
      <c r="W2" s="40"/>
      <c r="X2" s="40" t="s">
        <v>169</v>
      </c>
      <c r="Y2" s="40" t="s">
        <v>170</v>
      </c>
      <c r="Z2" s="40" t="s">
        <v>163</v>
      </c>
      <c r="AA2" s="40" t="s">
        <v>171</v>
      </c>
      <c r="AB2" s="40" t="s">
        <v>172</v>
      </c>
      <c r="AC2" s="40">
        <v>100</v>
      </c>
      <c r="AD2" s="40" t="s">
        <v>173</v>
      </c>
      <c r="AE2" s="40" t="s">
        <v>174</v>
      </c>
      <c r="AF2" s="40" t="s">
        <v>175</v>
      </c>
      <c r="AG2" s="40" t="s">
        <v>166</v>
      </c>
      <c r="AH2" s="40" t="s">
        <v>173</v>
      </c>
      <c r="AI2" s="40" t="s">
        <v>168</v>
      </c>
      <c r="AJ2" s="40" t="s">
        <v>173</v>
      </c>
      <c r="AK2" s="40" t="s">
        <v>176</v>
      </c>
    </row>
    <row r="3" spans="1:37" hidden="1">
      <c r="A3" s="39">
        <v>1</v>
      </c>
      <c r="B3" s="40" t="s">
        <v>155</v>
      </c>
      <c r="C3" s="40" t="s">
        <v>156</v>
      </c>
      <c r="D3" s="40" t="s">
        <v>155</v>
      </c>
      <c r="E3" s="40" t="s">
        <v>142</v>
      </c>
      <c r="F3" s="40" t="s">
        <v>155</v>
      </c>
      <c r="G3" s="40" t="s">
        <v>17</v>
      </c>
      <c r="H3" s="40" t="s">
        <v>155</v>
      </c>
      <c r="I3" s="40" t="s">
        <v>157</v>
      </c>
      <c r="J3" s="40" t="s">
        <v>158</v>
      </c>
      <c r="K3" s="40" t="s">
        <v>159</v>
      </c>
      <c r="L3" s="40" t="s">
        <v>160</v>
      </c>
      <c r="M3" s="40" t="s">
        <v>161</v>
      </c>
      <c r="N3" s="40" t="s">
        <v>162</v>
      </c>
      <c r="O3" s="40" t="s">
        <v>162</v>
      </c>
      <c r="P3" s="40" t="s">
        <v>163</v>
      </c>
      <c r="Q3" s="40" t="s">
        <v>164</v>
      </c>
      <c r="R3" s="41">
        <v>280</v>
      </c>
      <c r="S3" s="40" t="s">
        <v>165</v>
      </c>
      <c r="T3" s="40" t="s">
        <v>166</v>
      </c>
      <c r="U3" s="40" t="s">
        <v>167</v>
      </c>
      <c r="V3" s="40" t="s">
        <v>168</v>
      </c>
      <c r="W3" s="40"/>
      <c r="X3" s="40" t="s">
        <v>169</v>
      </c>
      <c r="Y3" s="40" t="s">
        <v>170</v>
      </c>
      <c r="Z3" s="40" t="s">
        <v>163</v>
      </c>
      <c r="AA3" s="40" t="s">
        <v>177</v>
      </c>
      <c r="AB3" s="40" t="s">
        <v>176</v>
      </c>
      <c r="AC3" s="40">
        <v>260</v>
      </c>
      <c r="AD3" s="40" t="s">
        <v>173</v>
      </c>
      <c r="AE3" s="40" t="s">
        <v>79</v>
      </c>
      <c r="AF3" s="40" t="s">
        <v>178</v>
      </c>
      <c r="AG3" s="40" t="s">
        <v>166</v>
      </c>
      <c r="AH3" s="40" t="s">
        <v>173</v>
      </c>
      <c r="AI3" s="40" t="s">
        <v>168</v>
      </c>
      <c r="AJ3" s="40" t="s">
        <v>173</v>
      </c>
      <c r="AK3" s="40" t="s">
        <v>176</v>
      </c>
    </row>
    <row r="4" spans="1:37" hidden="1">
      <c r="A4" s="39">
        <v>2</v>
      </c>
      <c r="B4" s="40" t="s">
        <v>155</v>
      </c>
      <c r="C4" s="40" t="s">
        <v>156</v>
      </c>
      <c r="D4" s="40" t="s">
        <v>155</v>
      </c>
      <c r="E4" s="40" t="s">
        <v>142</v>
      </c>
      <c r="F4" s="40" t="s">
        <v>155</v>
      </c>
      <c r="G4" s="40" t="s">
        <v>17</v>
      </c>
      <c r="H4" s="40" t="s">
        <v>179</v>
      </c>
      <c r="I4" s="40" t="s">
        <v>157</v>
      </c>
      <c r="J4" s="40" t="s">
        <v>180</v>
      </c>
      <c r="K4" s="40" t="s">
        <v>159</v>
      </c>
      <c r="L4" s="40" t="s">
        <v>160</v>
      </c>
      <c r="M4" s="40" t="s">
        <v>181</v>
      </c>
      <c r="N4" s="40" t="s">
        <v>182</v>
      </c>
      <c r="O4" s="40" t="s">
        <v>182</v>
      </c>
      <c r="P4" s="40" t="s">
        <v>163</v>
      </c>
      <c r="Q4" s="40" t="s">
        <v>164</v>
      </c>
      <c r="R4" s="41" t="s">
        <v>183</v>
      </c>
      <c r="S4" s="40" t="s">
        <v>165</v>
      </c>
      <c r="T4" s="40" t="s">
        <v>166</v>
      </c>
      <c r="U4" s="40" t="s">
        <v>167</v>
      </c>
      <c r="V4" s="40" t="s">
        <v>167</v>
      </c>
      <c r="W4" s="40"/>
      <c r="X4" s="40" t="s">
        <v>169</v>
      </c>
      <c r="Y4" s="40" t="s">
        <v>170</v>
      </c>
      <c r="Z4" s="40" t="s">
        <v>163</v>
      </c>
      <c r="AA4" s="40" t="s">
        <v>177</v>
      </c>
      <c r="AB4" s="40" t="s">
        <v>176</v>
      </c>
      <c r="AC4" s="40">
        <v>300</v>
      </c>
      <c r="AD4" s="40" t="s">
        <v>173</v>
      </c>
      <c r="AE4" s="40" t="s">
        <v>79</v>
      </c>
      <c r="AF4" s="40" t="s">
        <v>178</v>
      </c>
      <c r="AG4" s="40" t="s">
        <v>183</v>
      </c>
      <c r="AH4" s="40" t="s">
        <v>173</v>
      </c>
      <c r="AI4" s="40" t="s">
        <v>176</v>
      </c>
      <c r="AJ4" s="40" t="s">
        <v>176</v>
      </c>
      <c r="AK4" s="40" t="s">
        <v>176</v>
      </c>
    </row>
    <row r="5" spans="1:37" hidden="1">
      <c r="A5" s="39">
        <v>3</v>
      </c>
      <c r="B5" s="40" t="s">
        <v>155</v>
      </c>
      <c r="C5" s="40" t="s">
        <v>156</v>
      </c>
      <c r="D5" s="40" t="s">
        <v>155</v>
      </c>
      <c r="E5" s="40" t="s">
        <v>142</v>
      </c>
      <c r="F5" s="40" t="s">
        <v>155</v>
      </c>
      <c r="G5" s="40" t="s">
        <v>17</v>
      </c>
      <c r="H5" s="40" t="s">
        <v>184</v>
      </c>
      <c r="I5" s="40" t="s">
        <v>157</v>
      </c>
      <c r="J5" s="40" t="s">
        <v>185</v>
      </c>
      <c r="K5" s="40" t="s">
        <v>159</v>
      </c>
      <c r="L5" s="40" t="s">
        <v>160</v>
      </c>
      <c r="M5" s="40" t="s">
        <v>186</v>
      </c>
      <c r="N5" s="40" t="s">
        <v>187</v>
      </c>
      <c r="O5" s="40" t="s">
        <v>187</v>
      </c>
      <c r="P5" s="40" t="s">
        <v>163</v>
      </c>
      <c r="Q5" s="40" t="s">
        <v>164</v>
      </c>
      <c r="R5" s="41" t="s">
        <v>183</v>
      </c>
      <c r="S5" s="40" t="s">
        <v>165</v>
      </c>
      <c r="T5" s="40" t="s">
        <v>166</v>
      </c>
      <c r="U5" s="40" t="s">
        <v>167</v>
      </c>
      <c r="V5" s="40" t="s">
        <v>166</v>
      </c>
      <c r="W5" s="40"/>
      <c r="X5" s="40" t="s">
        <v>169</v>
      </c>
      <c r="Y5" s="40" t="s">
        <v>170</v>
      </c>
      <c r="Z5" s="40" t="s">
        <v>163</v>
      </c>
      <c r="AA5" s="40" t="s">
        <v>177</v>
      </c>
      <c r="AB5" s="40" t="s">
        <v>176</v>
      </c>
      <c r="AC5" s="40">
        <v>200</v>
      </c>
      <c r="AD5" s="40" t="s">
        <v>173</v>
      </c>
      <c r="AE5" s="40" t="s">
        <v>79</v>
      </c>
      <c r="AF5" s="40" t="s">
        <v>178</v>
      </c>
      <c r="AG5" s="40" t="s">
        <v>188</v>
      </c>
      <c r="AH5" s="40" t="s">
        <v>173</v>
      </c>
      <c r="AI5" s="40" t="s">
        <v>176</v>
      </c>
      <c r="AJ5" s="40" t="s">
        <v>176</v>
      </c>
      <c r="AK5" s="40" t="s">
        <v>176</v>
      </c>
    </row>
    <row r="6" spans="1:37" hidden="1">
      <c r="A6" s="39">
        <v>4</v>
      </c>
      <c r="B6" s="40" t="s">
        <v>155</v>
      </c>
      <c r="C6" s="40" t="s">
        <v>156</v>
      </c>
      <c r="D6" s="40" t="s">
        <v>155</v>
      </c>
      <c r="E6" s="40" t="s">
        <v>142</v>
      </c>
      <c r="F6" s="40" t="s">
        <v>179</v>
      </c>
      <c r="G6" s="40" t="s">
        <v>17</v>
      </c>
      <c r="H6" s="40" t="s">
        <v>155</v>
      </c>
      <c r="I6" s="40" t="s">
        <v>157</v>
      </c>
      <c r="J6" s="40" t="s">
        <v>189</v>
      </c>
      <c r="K6" s="40" t="s">
        <v>159</v>
      </c>
      <c r="L6" s="40" t="s">
        <v>160</v>
      </c>
      <c r="M6" s="40" t="s">
        <v>190</v>
      </c>
      <c r="N6" s="40" t="s">
        <v>191</v>
      </c>
      <c r="O6" s="40" t="s">
        <v>191</v>
      </c>
      <c r="P6" s="40" t="s">
        <v>163</v>
      </c>
      <c r="Q6" s="40" t="s">
        <v>192</v>
      </c>
      <c r="R6" s="41" t="s">
        <v>183</v>
      </c>
      <c r="S6" s="40" t="s">
        <v>165</v>
      </c>
      <c r="T6" s="40" t="s">
        <v>166</v>
      </c>
      <c r="U6" s="40" t="s">
        <v>166</v>
      </c>
      <c r="V6" s="40" t="s">
        <v>167</v>
      </c>
      <c r="W6" s="40"/>
      <c r="X6" s="40" t="s">
        <v>169</v>
      </c>
      <c r="Y6" s="40" t="s">
        <v>170</v>
      </c>
      <c r="Z6" s="40" t="s">
        <v>163</v>
      </c>
      <c r="AA6" s="40" t="s">
        <v>171</v>
      </c>
      <c r="AB6" s="40" t="s">
        <v>172</v>
      </c>
      <c r="AC6" s="40">
        <v>100</v>
      </c>
      <c r="AD6" s="40" t="s">
        <v>173</v>
      </c>
      <c r="AE6" s="40" t="s">
        <v>174</v>
      </c>
      <c r="AF6" s="40" t="s">
        <v>175</v>
      </c>
      <c r="AG6" s="40" t="s">
        <v>183</v>
      </c>
      <c r="AH6" s="40" t="s">
        <v>173</v>
      </c>
      <c r="AI6" s="40" t="s">
        <v>168</v>
      </c>
      <c r="AJ6" s="40" t="s">
        <v>173</v>
      </c>
      <c r="AK6" s="40" t="s">
        <v>176</v>
      </c>
    </row>
    <row r="7" spans="1:37" hidden="1">
      <c r="A7" s="39">
        <v>4</v>
      </c>
      <c r="B7" s="40" t="s">
        <v>155</v>
      </c>
      <c r="C7" s="40" t="s">
        <v>156</v>
      </c>
      <c r="D7" s="40" t="s">
        <v>155</v>
      </c>
      <c r="E7" s="40" t="s">
        <v>142</v>
      </c>
      <c r="F7" s="40" t="s">
        <v>179</v>
      </c>
      <c r="G7" s="40" t="s">
        <v>17</v>
      </c>
      <c r="H7" s="40" t="s">
        <v>155</v>
      </c>
      <c r="I7" s="40" t="s">
        <v>157</v>
      </c>
      <c r="J7" s="40" t="s">
        <v>189</v>
      </c>
      <c r="K7" s="40" t="s">
        <v>159</v>
      </c>
      <c r="L7" s="40" t="s">
        <v>160</v>
      </c>
      <c r="M7" s="40" t="s">
        <v>190</v>
      </c>
      <c r="N7" s="40" t="s">
        <v>191</v>
      </c>
      <c r="O7" s="40" t="s">
        <v>191</v>
      </c>
      <c r="P7" s="40" t="s">
        <v>163</v>
      </c>
      <c r="Q7" s="40" t="s">
        <v>192</v>
      </c>
      <c r="R7" s="41" t="s">
        <v>183</v>
      </c>
      <c r="S7" s="40" t="s">
        <v>165</v>
      </c>
      <c r="T7" s="40" t="s">
        <v>166</v>
      </c>
      <c r="U7" s="40" t="s">
        <v>166</v>
      </c>
      <c r="V7" s="40" t="s">
        <v>167</v>
      </c>
      <c r="W7" s="40"/>
      <c r="X7" s="40" t="s">
        <v>169</v>
      </c>
      <c r="Y7" s="40" t="s">
        <v>170</v>
      </c>
      <c r="Z7" s="40" t="s">
        <v>163</v>
      </c>
      <c r="AA7" s="40" t="s">
        <v>177</v>
      </c>
      <c r="AB7" s="40" t="s">
        <v>176</v>
      </c>
      <c r="AC7" s="40">
        <v>200</v>
      </c>
      <c r="AD7" s="40" t="s">
        <v>173</v>
      </c>
      <c r="AE7" s="40" t="s">
        <v>79</v>
      </c>
      <c r="AF7" s="40" t="s">
        <v>178</v>
      </c>
      <c r="AG7" s="40" t="s">
        <v>183</v>
      </c>
      <c r="AH7" s="40" t="s">
        <v>173</v>
      </c>
      <c r="AI7" s="40" t="s">
        <v>168</v>
      </c>
      <c r="AJ7" s="40" t="s">
        <v>173</v>
      </c>
      <c r="AK7" s="40" t="s">
        <v>176</v>
      </c>
    </row>
    <row r="8" spans="1:37" hidden="1">
      <c r="A8" s="39">
        <v>5</v>
      </c>
      <c r="B8" s="40" t="s">
        <v>155</v>
      </c>
      <c r="C8" s="40" t="s">
        <v>156</v>
      </c>
      <c r="D8" s="40" t="s">
        <v>155</v>
      </c>
      <c r="E8" s="40" t="s">
        <v>142</v>
      </c>
      <c r="F8" s="40" t="s">
        <v>179</v>
      </c>
      <c r="G8" s="40" t="s">
        <v>17</v>
      </c>
      <c r="H8" s="40" t="s">
        <v>179</v>
      </c>
      <c r="I8" s="40" t="s">
        <v>157</v>
      </c>
      <c r="J8" s="40" t="s">
        <v>193</v>
      </c>
      <c r="K8" s="40" t="s">
        <v>159</v>
      </c>
      <c r="L8" s="40" t="s">
        <v>160</v>
      </c>
      <c r="M8" s="40" t="s">
        <v>194</v>
      </c>
      <c r="N8" s="40" t="s">
        <v>195</v>
      </c>
      <c r="O8" s="40" t="s">
        <v>195</v>
      </c>
      <c r="P8" s="40" t="s">
        <v>163</v>
      </c>
      <c r="Q8" s="40" t="s">
        <v>192</v>
      </c>
      <c r="R8" s="41" t="s">
        <v>183</v>
      </c>
      <c r="S8" s="40" t="s">
        <v>165</v>
      </c>
      <c r="T8" s="40" t="s">
        <v>166</v>
      </c>
      <c r="U8" s="40" t="s">
        <v>166</v>
      </c>
      <c r="V8" s="40" t="s">
        <v>166</v>
      </c>
      <c r="W8" s="40"/>
      <c r="X8" s="40" t="s">
        <v>169</v>
      </c>
      <c r="Y8" s="40" t="s">
        <v>170</v>
      </c>
      <c r="Z8" s="40" t="s">
        <v>163</v>
      </c>
      <c r="AA8" s="40" t="s">
        <v>177</v>
      </c>
      <c r="AB8" s="40" t="s">
        <v>176</v>
      </c>
      <c r="AC8" s="40">
        <v>200</v>
      </c>
      <c r="AD8" s="40" t="s">
        <v>173</v>
      </c>
      <c r="AE8" s="40" t="s">
        <v>79</v>
      </c>
      <c r="AF8" s="40" t="s">
        <v>178</v>
      </c>
      <c r="AG8" s="40" t="s">
        <v>188</v>
      </c>
      <c r="AH8" s="40" t="s">
        <v>173</v>
      </c>
      <c r="AI8" s="40" t="s">
        <v>176</v>
      </c>
      <c r="AJ8" s="40" t="s">
        <v>176</v>
      </c>
      <c r="AK8" s="40" t="s">
        <v>176</v>
      </c>
    </row>
    <row r="9" spans="1:37" hidden="1">
      <c r="A9" s="39">
        <v>6</v>
      </c>
      <c r="B9" s="40" t="s">
        <v>155</v>
      </c>
      <c r="C9" s="40" t="s">
        <v>156</v>
      </c>
      <c r="D9" s="40" t="s">
        <v>155</v>
      </c>
      <c r="E9" s="40" t="s">
        <v>142</v>
      </c>
      <c r="F9" s="40" t="s">
        <v>179</v>
      </c>
      <c r="G9" s="40" t="s">
        <v>17</v>
      </c>
      <c r="H9" s="40" t="s">
        <v>184</v>
      </c>
      <c r="I9" s="40" t="s">
        <v>157</v>
      </c>
      <c r="J9" s="40" t="s">
        <v>196</v>
      </c>
      <c r="K9" s="40" t="s">
        <v>159</v>
      </c>
      <c r="L9" s="40" t="s">
        <v>160</v>
      </c>
      <c r="M9" s="40" t="s">
        <v>197</v>
      </c>
      <c r="N9" s="40" t="s">
        <v>198</v>
      </c>
      <c r="O9" s="40" t="s">
        <v>198</v>
      </c>
      <c r="P9" s="40" t="s">
        <v>163</v>
      </c>
      <c r="Q9" s="40" t="s">
        <v>164</v>
      </c>
      <c r="R9" s="41" t="s">
        <v>183</v>
      </c>
      <c r="S9" s="40" t="s">
        <v>165</v>
      </c>
      <c r="T9" s="40" t="s">
        <v>166</v>
      </c>
      <c r="U9" s="40" t="s">
        <v>166</v>
      </c>
      <c r="V9" s="40" t="s">
        <v>165</v>
      </c>
      <c r="W9" s="40"/>
      <c r="X9" s="40" t="s">
        <v>169</v>
      </c>
      <c r="Y9" s="40" t="s">
        <v>170</v>
      </c>
      <c r="Z9" s="40" t="s">
        <v>163</v>
      </c>
      <c r="AA9" s="40" t="s">
        <v>177</v>
      </c>
      <c r="AB9" s="40" t="s">
        <v>176</v>
      </c>
      <c r="AC9" s="40">
        <v>100</v>
      </c>
      <c r="AD9" s="40" t="s">
        <v>173</v>
      </c>
      <c r="AE9" s="40" t="s">
        <v>79</v>
      </c>
      <c r="AF9" s="40" t="s">
        <v>178</v>
      </c>
      <c r="AG9" s="40" t="s">
        <v>188</v>
      </c>
      <c r="AH9" s="40" t="s">
        <v>173</v>
      </c>
      <c r="AI9" s="40" t="s">
        <v>176</v>
      </c>
      <c r="AJ9" s="40" t="s">
        <v>176</v>
      </c>
      <c r="AK9" s="40" t="s">
        <v>176</v>
      </c>
    </row>
    <row r="10" spans="1:37">
      <c r="A10" s="39">
        <v>6</v>
      </c>
      <c r="B10" s="40" t="s">
        <v>155</v>
      </c>
      <c r="C10" s="40" t="s">
        <v>156</v>
      </c>
      <c r="D10" s="40" t="s">
        <v>155</v>
      </c>
      <c r="E10" s="40" t="s">
        <v>142</v>
      </c>
      <c r="F10" s="40" t="s">
        <v>179</v>
      </c>
      <c r="G10" s="40" t="s">
        <v>17</v>
      </c>
      <c r="H10" s="40" t="s">
        <v>184</v>
      </c>
      <c r="I10" s="40" t="s">
        <v>157</v>
      </c>
      <c r="J10" s="40" t="s">
        <v>196</v>
      </c>
      <c r="K10" s="40" t="s">
        <v>159</v>
      </c>
      <c r="L10" s="40" t="s">
        <v>160</v>
      </c>
      <c r="M10" s="40" t="s">
        <v>197</v>
      </c>
      <c r="N10" s="40" t="s">
        <v>198</v>
      </c>
      <c r="O10" s="40" t="s">
        <v>198</v>
      </c>
      <c r="P10" s="40" t="s">
        <v>163</v>
      </c>
      <c r="Q10" s="40" t="s">
        <v>164</v>
      </c>
      <c r="R10" s="41" t="s">
        <v>183</v>
      </c>
      <c r="S10" s="40" t="s">
        <v>165</v>
      </c>
      <c r="T10" s="40" t="s">
        <v>166</v>
      </c>
      <c r="U10" s="40" t="s">
        <v>166</v>
      </c>
      <c r="V10" s="40" t="s">
        <v>165</v>
      </c>
      <c r="W10" s="40">
        <f>U10-V10</f>
        <v>-50</v>
      </c>
      <c r="X10" s="40" t="s">
        <v>169</v>
      </c>
      <c r="Y10" s="40" t="s">
        <v>170</v>
      </c>
      <c r="Z10" s="40" t="s">
        <v>170</v>
      </c>
      <c r="AA10" s="40" t="s">
        <v>199</v>
      </c>
      <c r="AB10" s="40" t="s">
        <v>176</v>
      </c>
      <c r="AC10" s="40">
        <v>100</v>
      </c>
      <c r="AD10" s="40" t="s">
        <v>173</v>
      </c>
      <c r="AE10" s="40" t="s">
        <v>83</v>
      </c>
      <c r="AF10" s="40" t="s">
        <v>178</v>
      </c>
      <c r="AG10" s="40" t="s">
        <v>188</v>
      </c>
      <c r="AH10" s="40" t="s">
        <v>173</v>
      </c>
      <c r="AI10" s="40" t="s">
        <v>176</v>
      </c>
      <c r="AJ10" s="40" t="s">
        <v>176</v>
      </c>
      <c r="AK10" s="40" t="s">
        <v>176</v>
      </c>
    </row>
    <row r="11" spans="1:37" hidden="1">
      <c r="A11" s="39">
        <v>7</v>
      </c>
      <c r="B11" s="40" t="s">
        <v>155</v>
      </c>
      <c r="C11" s="40" t="s">
        <v>156</v>
      </c>
      <c r="D11" s="40" t="s">
        <v>155</v>
      </c>
      <c r="E11" s="40" t="s">
        <v>142</v>
      </c>
      <c r="F11" s="40" t="s">
        <v>184</v>
      </c>
      <c r="G11" s="40" t="s">
        <v>17</v>
      </c>
      <c r="H11" s="40" t="s">
        <v>155</v>
      </c>
      <c r="I11" s="40" t="s">
        <v>157</v>
      </c>
      <c r="J11" s="40" t="s">
        <v>200</v>
      </c>
      <c r="K11" s="40" t="s">
        <v>159</v>
      </c>
      <c r="L11" s="40" t="s">
        <v>160</v>
      </c>
      <c r="M11" s="40" t="s">
        <v>201</v>
      </c>
      <c r="N11" s="40" t="s">
        <v>202</v>
      </c>
      <c r="O11" s="40" t="s">
        <v>202</v>
      </c>
      <c r="P11" s="40" t="s">
        <v>163</v>
      </c>
      <c r="Q11" s="40" t="s">
        <v>203</v>
      </c>
      <c r="R11" s="41" t="s">
        <v>183</v>
      </c>
      <c r="S11" s="40" t="s">
        <v>165</v>
      </c>
      <c r="T11" s="40" t="s">
        <v>166</v>
      </c>
      <c r="U11" s="40" t="s">
        <v>165</v>
      </c>
      <c r="V11" s="40" t="s">
        <v>166</v>
      </c>
      <c r="W11" s="40"/>
      <c r="X11" s="40" t="s">
        <v>169</v>
      </c>
      <c r="Y11" s="40" t="s">
        <v>170</v>
      </c>
      <c r="Z11" s="40" t="s">
        <v>163</v>
      </c>
      <c r="AA11" s="40" t="s">
        <v>171</v>
      </c>
      <c r="AB11" s="40" t="s">
        <v>172</v>
      </c>
      <c r="AC11" s="40">
        <v>100</v>
      </c>
      <c r="AD11" s="40" t="s">
        <v>173</v>
      </c>
      <c r="AE11" s="40" t="s">
        <v>174</v>
      </c>
      <c r="AF11" s="40" t="s">
        <v>175</v>
      </c>
      <c r="AG11" s="40" t="s">
        <v>188</v>
      </c>
      <c r="AH11" s="40" t="s">
        <v>173</v>
      </c>
      <c r="AI11" s="40" t="s">
        <v>176</v>
      </c>
      <c r="AJ11" s="40" t="s">
        <v>176</v>
      </c>
      <c r="AK11" s="40" t="s">
        <v>176</v>
      </c>
    </row>
    <row r="12" spans="1:37" hidden="1">
      <c r="A12" s="39">
        <v>7</v>
      </c>
      <c r="B12" s="40" t="s">
        <v>155</v>
      </c>
      <c r="C12" s="40" t="s">
        <v>156</v>
      </c>
      <c r="D12" s="40" t="s">
        <v>155</v>
      </c>
      <c r="E12" s="40" t="s">
        <v>142</v>
      </c>
      <c r="F12" s="40" t="s">
        <v>184</v>
      </c>
      <c r="G12" s="40" t="s">
        <v>17</v>
      </c>
      <c r="H12" s="40" t="s">
        <v>155</v>
      </c>
      <c r="I12" s="40" t="s">
        <v>157</v>
      </c>
      <c r="J12" s="40" t="s">
        <v>200</v>
      </c>
      <c r="K12" s="40" t="s">
        <v>159</v>
      </c>
      <c r="L12" s="40" t="s">
        <v>160</v>
      </c>
      <c r="M12" s="40" t="s">
        <v>201</v>
      </c>
      <c r="N12" s="40" t="s">
        <v>202</v>
      </c>
      <c r="O12" s="40" t="s">
        <v>202</v>
      </c>
      <c r="P12" s="40" t="s">
        <v>163</v>
      </c>
      <c r="Q12" s="40" t="s">
        <v>203</v>
      </c>
      <c r="R12" s="41" t="s">
        <v>183</v>
      </c>
      <c r="S12" s="40" t="s">
        <v>165</v>
      </c>
      <c r="T12" s="40" t="s">
        <v>166</v>
      </c>
      <c r="U12" s="40" t="s">
        <v>165</v>
      </c>
      <c r="V12" s="40" t="s">
        <v>166</v>
      </c>
      <c r="W12" s="40"/>
      <c r="X12" s="40" t="s">
        <v>169</v>
      </c>
      <c r="Y12" s="40" t="s">
        <v>170</v>
      </c>
      <c r="Z12" s="40" t="s">
        <v>163</v>
      </c>
      <c r="AA12" s="40" t="s">
        <v>177</v>
      </c>
      <c r="AB12" s="40" t="s">
        <v>176</v>
      </c>
      <c r="AC12" s="40">
        <v>100</v>
      </c>
      <c r="AD12" s="40" t="s">
        <v>173</v>
      </c>
      <c r="AE12" s="40" t="s">
        <v>79</v>
      </c>
      <c r="AF12" s="40" t="s">
        <v>178</v>
      </c>
      <c r="AG12" s="40" t="s">
        <v>188</v>
      </c>
      <c r="AH12" s="40" t="s">
        <v>173</v>
      </c>
      <c r="AI12" s="40" t="s">
        <v>176</v>
      </c>
      <c r="AJ12" s="40" t="s">
        <v>176</v>
      </c>
      <c r="AK12" s="40" t="s">
        <v>176</v>
      </c>
    </row>
    <row r="13" spans="1:37">
      <c r="A13" s="39">
        <v>7</v>
      </c>
      <c r="B13" s="40" t="s">
        <v>155</v>
      </c>
      <c r="C13" s="40" t="s">
        <v>156</v>
      </c>
      <c r="D13" s="40" t="s">
        <v>155</v>
      </c>
      <c r="E13" s="40" t="s">
        <v>142</v>
      </c>
      <c r="F13" s="40" t="s">
        <v>184</v>
      </c>
      <c r="G13" s="40" t="s">
        <v>17</v>
      </c>
      <c r="H13" s="40" t="s">
        <v>155</v>
      </c>
      <c r="I13" s="40" t="s">
        <v>157</v>
      </c>
      <c r="J13" s="40" t="s">
        <v>200</v>
      </c>
      <c r="K13" s="40" t="s">
        <v>159</v>
      </c>
      <c r="L13" s="40" t="s">
        <v>160</v>
      </c>
      <c r="M13" s="40" t="s">
        <v>201</v>
      </c>
      <c r="N13" s="40" t="s">
        <v>202</v>
      </c>
      <c r="O13" s="40" t="s">
        <v>202</v>
      </c>
      <c r="P13" s="40" t="s">
        <v>163</v>
      </c>
      <c r="Q13" s="40" t="s">
        <v>203</v>
      </c>
      <c r="R13" s="41" t="s">
        <v>183</v>
      </c>
      <c r="S13" s="40" t="s">
        <v>165</v>
      </c>
      <c r="T13" s="40" t="s">
        <v>166</v>
      </c>
      <c r="U13" s="40" t="s">
        <v>165</v>
      </c>
      <c r="V13" s="40" t="s">
        <v>166</v>
      </c>
      <c r="W13" s="40">
        <f>U13-V13</f>
        <v>50</v>
      </c>
      <c r="X13" s="40" t="s">
        <v>169</v>
      </c>
      <c r="Y13" s="40" t="s">
        <v>170</v>
      </c>
      <c r="Z13" s="40" t="s">
        <v>170</v>
      </c>
      <c r="AA13" s="40" t="s">
        <v>199</v>
      </c>
      <c r="AB13" s="40" t="s">
        <v>176</v>
      </c>
      <c r="AC13" s="40">
        <v>100</v>
      </c>
      <c r="AD13" s="40" t="s">
        <v>173</v>
      </c>
      <c r="AE13" s="40" t="s">
        <v>83</v>
      </c>
      <c r="AF13" s="40" t="s">
        <v>178</v>
      </c>
      <c r="AG13" s="40" t="s">
        <v>188</v>
      </c>
      <c r="AH13" s="40" t="s">
        <v>173</v>
      </c>
      <c r="AI13" s="40" t="s">
        <v>176</v>
      </c>
      <c r="AJ13" s="40" t="s">
        <v>176</v>
      </c>
      <c r="AK13" s="40" t="s">
        <v>176</v>
      </c>
    </row>
    <row r="14" spans="1:37">
      <c r="A14" s="39">
        <v>8</v>
      </c>
      <c r="B14" s="40" t="s">
        <v>155</v>
      </c>
      <c r="C14" s="40" t="s">
        <v>156</v>
      </c>
      <c r="D14" s="40" t="s">
        <v>155</v>
      </c>
      <c r="E14" s="40" t="s">
        <v>142</v>
      </c>
      <c r="F14" s="40" t="s">
        <v>184</v>
      </c>
      <c r="G14" s="40" t="s">
        <v>17</v>
      </c>
      <c r="H14" s="40" t="s">
        <v>179</v>
      </c>
      <c r="I14" s="40" t="s">
        <v>157</v>
      </c>
      <c r="J14" s="40" t="s">
        <v>204</v>
      </c>
      <c r="K14" s="40" t="s">
        <v>159</v>
      </c>
      <c r="L14" s="40" t="s">
        <v>160</v>
      </c>
      <c r="M14" s="40" t="s">
        <v>205</v>
      </c>
      <c r="N14" s="40" t="s">
        <v>206</v>
      </c>
      <c r="O14" s="40" t="s">
        <v>206</v>
      </c>
      <c r="P14" s="40" t="s">
        <v>163</v>
      </c>
      <c r="Q14" s="40" t="s">
        <v>203</v>
      </c>
      <c r="R14" s="41" t="s">
        <v>183</v>
      </c>
      <c r="S14" s="40" t="s">
        <v>165</v>
      </c>
      <c r="T14" s="40" t="s">
        <v>166</v>
      </c>
      <c r="U14" s="40" t="s">
        <v>165</v>
      </c>
      <c r="V14" s="40" t="s">
        <v>165</v>
      </c>
      <c r="W14" s="40">
        <f>U14-V14</f>
        <v>0</v>
      </c>
      <c r="X14" s="40" t="s">
        <v>169</v>
      </c>
      <c r="Y14" s="40" t="s">
        <v>170</v>
      </c>
      <c r="Z14" s="40" t="s">
        <v>170</v>
      </c>
      <c r="AA14" s="40" t="s">
        <v>199</v>
      </c>
      <c r="AB14" s="40" t="s">
        <v>176</v>
      </c>
      <c r="AC14" s="40">
        <v>100</v>
      </c>
      <c r="AD14" s="40" t="s">
        <v>173</v>
      </c>
      <c r="AE14" s="40" t="s">
        <v>83</v>
      </c>
      <c r="AF14" s="40" t="s">
        <v>178</v>
      </c>
      <c r="AG14" s="40" t="s">
        <v>188</v>
      </c>
      <c r="AH14" s="40" t="s">
        <v>173</v>
      </c>
      <c r="AI14" s="40" t="s">
        <v>176</v>
      </c>
      <c r="AJ14" s="40" t="s">
        <v>176</v>
      </c>
      <c r="AK14" s="40" t="s">
        <v>176</v>
      </c>
    </row>
    <row r="15" spans="1:37" hidden="1">
      <c r="A15" s="39">
        <v>8</v>
      </c>
      <c r="B15" s="40" t="s">
        <v>155</v>
      </c>
      <c r="C15" s="40" t="s">
        <v>156</v>
      </c>
      <c r="D15" s="40" t="s">
        <v>155</v>
      </c>
      <c r="E15" s="40" t="s">
        <v>142</v>
      </c>
      <c r="F15" s="40" t="s">
        <v>184</v>
      </c>
      <c r="G15" s="40" t="s">
        <v>17</v>
      </c>
      <c r="H15" s="40" t="s">
        <v>179</v>
      </c>
      <c r="I15" s="40" t="s">
        <v>157</v>
      </c>
      <c r="J15" s="40" t="s">
        <v>204</v>
      </c>
      <c r="K15" s="40" t="s">
        <v>159</v>
      </c>
      <c r="L15" s="40" t="s">
        <v>160</v>
      </c>
      <c r="M15" s="40" t="s">
        <v>205</v>
      </c>
      <c r="N15" s="40" t="s">
        <v>206</v>
      </c>
      <c r="O15" s="40" t="s">
        <v>206</v>
      </c>
      <c r="P15" s="40" t="s">
        <v>163</v>
      </c>
      <c r="Q15" s="40" t="s">
        <v>203</v>
      </c>
      <c r="R15" s="41" t="s">
        <v>183</v>
      </c>
      <c r="S15" s="40" t="s">
        <v>165</v>
      </c>
      <c r="T15" s="40" t="s">
        <v>166</v>
      </c>
      <c r="U15" s="40" t="s">
        <v>165</v>
      </c>
      <c r="V15" s="40" t="s">
        <v>165</v>
      </c>
      <c r="W15" s="40"/>
      <c r="X15" s="40" t="s">
        <v>169</v>
      </c>
      <c r="Y15" s="40" t="s">
        <v>170</v>
      </c>
      <c r="Z15" s="40" t="s">
        <v>163</v>
      </c>
      <c r="AA15" s="40" t="s">
        <v>177</v>
      </c>
      <c r="AB15" s="40" t="s">
        <v>176</v>
      </c>
      <c r="AC15" s="40">
        <v>100</v>
      </c>
      <c r="AD15" s="40" t="s">
        <v>173</v>
      </c>
      <c r="AE15" s="40" t="s">
        <v>79</v>
      </c>
      <c r="AF15" s="40" t="s">
        <v>178</v>
      </c>
      <c r="AG15" s="40" t="s">
        <v>188</v>
      </c>
      <c r="AH15" s="40" t="s">
        <v>173</v>
      </c>
      <c r="AI15" s="40" t="s">
        <v>176</v>
      </c>
      <c r="AJ15" s="40" t="s">
        <v>176</v>
      </c>
      <c r="AK15" s="40" t="s">
        <v>176</v>
      </c>
    </row>
    <row r="16" spans="1:37" hidden="1">
      <c r="A16" s="39">
        <v>9</v>
      </c>
      <c r="B16" s="40" t="s">
        <v>155</v>
      </c>
      <c r="C16" s="40" t="s">
        <v>156</v>
      </c>
      <c r="D16" s="40" t="s">
        <v>155</v>
      </c>
      <c r="E16" s="40" t="s">
        <v>142</v>
      </c>
      <c r="F16" s="40" t="s">
        <v>184</v>
      </c>
      <c r="G16" s="40" t="s">
        <v>17</v>
      </c>
      <c r="H16" s="40" t="s">
        <v>184</v>
      </c>
      <c r="I16" s="40" t="s">
        <v>157</v>
      </c>
      <c r="J16" s="40" t="s">
        <v>207</v>
      </c>
      <c r="K16" s="40" t="s">
        <v>159</v>
      </c>
      <c r="L16" s="40" t="s">
        <v>160</v>
      </c>
      <c r="M16" s="40" t="s">
        <v>208</v>
      </c>
      <c r="N16" s="40" t="s">
        <v>209</v>
      </c>
      <c r="O16" s="40" t="s">
        <v>209</v>
      </c>
      <c r="P16" s="40" t="s">
        <v>163</v>
      </c>
      <c r="Q16" s="40" t="s">
        <v>164</v>
      </c>
      <c r="R16" s="41" t="s">
        <v>183</v>
      </c>
      <c r="S16" s="40" t="s">
        <v>165</v>
      </c>
      <c r="T16" s="40" t="s">
        <v>166</v>
      </c>
      <c r="U16" s="40" t="s">
        <v>165</v>
      </c>
      <c r="V16" s="40" t="s">
        <v>183</v>
      </c>
      <c r="W16" s="40"/>
      <c r="X16" s="40" t="s">
        <v>169</v>
      </c>
      <c r="Y16" s="40" t="s">
        <v>170</v>
      </c>
      <c r="Z16" s="40" t="s">
        <v>163</v>
      </c>
      <c r="AA16" s="40" t="s">
        <v>177</v>
      </c>
      <c r="AB16" s="40" t="s">
        <v>176</v>
      </c>
      <c r="AC16" s="40">
        <v>0</v>
      </c>
      <c r="AD16" s="40" t="s">
        <v>173</v>
      </c>
      <c r="AE16" s="40" t="s">
        <v>79</v>
      </c>
      <c r="AF16" s="40" t="s">
        <v>178</v>
      </c>
      <c r="AG16" s="40" t="s">
        <v>188</v>
      </c>
      <c r="AH16" s="40" t="s">
        <v>173</v>
      </c>
      <c r="AI16" s="40" t="s">
        <v>176</v>
      </c>
      <c r="AJ16" s="40" t="s">
        <v>176</v>
      </c>
      <c r="AK16" s="40" t="s">
        <v>176</v>
      </c>
    </row>
    <row r="17" spans="1:37">
      <c r="A17" s="39">
        <v>9</v>
      </c>
      <c r="B17" s="40" t="s">
        <v>155</v>
      </c>
      <c r="C17" s="40" t="s">
        <v>156</v>
      </c>
      <c r="D17" s="40" t="s">
        <v>155</v>
      </c>
      <c r="E17" s="40" t="s">
        <v>142</v>
      </c>
      <c r="F17" s="40" t="s">
        <v>184</v>
      </c>
      <c r="G17" s="40" t="s">
        <v>17</v>
      </c>
      <c r="H17" s="40" t="s">
        <v>184</v>
      </c>
      <c r="I17" s="40" t="s">
        <v>157</v>
      </c>
      <c r="J17" s="40" t="s">
        <v>207</v>
      </c>
      <c r="K17" s="40" t="s">
        <v>159</v>
      </c>
      <c r="L17" s="40" t="s">
        <v>160</v>
      </c>
      <c r="M17" s="40" t="s">
        <v>208</v>
      </c>
      <c r="N17" s="40" t="s">
        <v>209</v>
      </c>
      <c r="O17" s="40" t="s">
        <v>209</v>
      </c>
      <c r="P17" s="40" t="s">
        <v>163</v>
      </c>
      <c r="Q17" s="40" t="s">
        <v>164</v>
      </c>
      <c r="R17" s="41" t="s">
        <v>183</v>
      </c>
      <c r="S17" s="40" t="s">
        <v>165</v>
      </c>
      <c r="T17" s="40" t="s">
        <v>166</v>
      </c>
      <c r="U17" s="40" t="s">
        <v>165</v>
      </c>
      <c r="V17" s="40" t="s">
        <v>183</v>
      </c>
      <c r="W17" s="40">
        <f>U17-V17</f>
        <v>-50</v>
      </c>
      <c r="X17" s="40" t="s">
        <v>169</v>
      </c>
      <c r="Y17" s="40" t="s">
        <v>170</v>
      </c>
      <c r="Z17" s="40" t="s">
        <v>170</v>
      </c>
      <c r="AA17" s="40" t="s">
        <v>199</v>
      </c>
      <c r="AB17" s="40" t="s">
        <v>176</v>
      </c>
      <c r="AC17" s="40">
        <v>200</v>
      </c>
      <c r="AD17" s="40" t="s">
        <v>173</v>
      </c>
      <c r="AE17" s="40" t="s">
        <v>83</v>
      </c>
      <c r="AF17" s="40" t="s">
        <v>178</v>
      </c>
      <c r="AG17" s="40" t="s">
        <v>188</v>
      </c>
      <c r="AH17" s="40" t="s">
        <v>173</v>
      </c>
      <c r="AI17" s="40" t="s">
        <v>176</v>
      </c>
      <c r="AJ17" s="40" t="s">
        <v>176</v>
      </c>
      <c r="AK17" s="40" t="s">
        <v>176</v>
      </c>
    </row>
    <row r="18" spans="1:37" hidden="1">
      <c r="A18" s="39">
        <v>10</v>
      </c>
      <c r="B18" s="40" t="s">
        <v>155</v>
      </c>
      <c r="C18" s="40" t="s">
        <v>156</v>
      </c>
      <c r="D18" s="40" t="s">
        <v>179</v>
      </c>
      <c r="E18" s="40" t="s">
        <v>142</v>
      </c>
      <c r="F18" s="40" t="s">
        <v>155</v>
      </c>
      <c r="G18" s="40" t="s">
        <v>17</v>
      </c>
      <c r="H18" s="40" t="s">
        <v>155</v>
      </c>
      <c r="I18" s="40" t="s">
        <v>157</v>
      </c>
      <c r="J18" s="40" t="s">
        <v>210</v>
      </c>
      <c r="K18" s="40" t="s">
        <v>159</v>
      </c>
      <c r="L18" s="40" t="s">
        <v>160</v>
      </c>
      <c r="M18" s="40" t="s">
        <v>211</v>
      </c>
      <c r="N18" s="40" t="s">
        <v>212</v>
      </c>
      <c r="O18" s="40" t="s">
        <v>212</v>
      </c>
      <c r="P18" s="40" t="s">
        <v>163</v>
      </c>
      <c r="Q18" s="40" t="s">
        <v>164</v>
      </c>
      <c r="R18" s="41" t="s">
        <v>183</v>
      </c>
      <c r="S18" s="40" t="s">
        <v>165</v>
      </c>
      <c r="T18" s="40" t="s">
        <v>165</v>
      </c>
      <c r="U18" s="40" t="s">
        <v>166</v>
      </c>
      <c r="V18" s="40" t="s">
        <v>167</v>
      </c>
      <c r="W18" s="40"/>
      <c r="X18" s="40" t="s">
        <v>169</v>
      </c>
      <c r="Y18" s="40" t="s">
        <v>213</v>
      </c>
      <c r="Z18" s="40" t="s">
        <v>163</v>
      </c>
      <c r="AA18" s="40" t="s">
        <v>177</v>
      </c>
      <c r="AB18" s="40" t="s">
        <v>176</v>
      </c>
      <c r="AC18" s="40">
        <v>200</v>
      </c>
      <c r="AD18" s="40" t="s">
        <v>173</v>
      </c>
      <c r="AE18" s="40" t="s">
        <v>79</v>
      </c>
      <c r="AF18" s="40" t="s">
        <v>178</v>
      </c>
      <c r="AG18" s="40" t="s">
        <v>183</v>
      </c>
      <c r="AH18" s="40" t="s">
        <v>173</v>
      </c>
      <c r="AI18" s="40" t="s">
        <v>168</v>
      </c>
      <c r="AJ18" s="40" t="s">
        <v>173</v>
      </c>
      <c r="AK18" s="40" t="s">
        <v>176</v>
      </c>
    </row>
    <row r="19" spans="1:37" hidden="1">
      <c r="A19" s="39">
        <v>10</v>
      </c>
      <c r="B19" s="40" t="s">
        <v>155</v>
      </c>
      <c r="C19" s="40" t="s">
        <v>156</v>
      </c>
      <c r="D19" s="40" t="s">
        <v>179</v>
      </c>
      <c r="E19" s="40" t="s">
        <v>142</v>
      </c>
      <c r="F19" s="40" t="s">
        <v>155</v>
      </c>
      <c r="G19" s="40" t="s">
        <v>17</v>
      </c>
      <c r="H19" s="40" t="s">
        <v>155</v>
      </c>
      <c r="I19" s="40" t="s">
        <v>157</v>
      </c>
      <c r="J19" s="40" t="s">
        <v>210</v>
      </c>
      <c r="K19" s="40" t="s">
        <v>159</v>
      </c>
      <c r="L19" s="40" t="s">
        <v>160</v>
      </c>
      <c r="M19" s="40" t="s">
        <v>211</v>
      </c>
      <c r="N19" s="40" t="s">
        <v>212</v>
      </c>
      <c r="O19" s="40" t="s">
        <v>212</v>
      </c>
      <c r="P19" s="40" t="s">
        <v>163</v>
      </c>
      <c r="Q19" s="40" t="s">
        <v>164</v>
      </c>
      <c r="R19" s="41" t="s">
        <v>183</v>
      </c>
      <c r="S19" s="40" t="s">
        <v>165</v>
      </c>
      <c r="T19" s="40" t="s">
        <v>165</v>
      </c>
      <c r="U19" s="40" t="s">
        <v>166</v>
      </c>
      <c r="V19" s="40" t="s">
        <v>167</v>
      </c>
      <c r="W19" s="40"/>
      <c r="X19" s="40" t="s">
        <v>169</v>
      </c>
      <c r="Y19" s="40" t="s">
        <v>213</v>
      </c>
      <c r="Z19" s="40" t="s">
        <v>163</v>
      </c>
      <c r="AA19" s="40" t="s">
        <v>171</v>
      </c>
      <c r="AB19" s="40" t="s">
        <v>172</v>
      </c>
      <c r="AC19" s="40">
        <v>100</v>
      </c>
      <c r="AD19" s="40" t="s">
        <v>173</v>
      </c>
      <c r="AE19" s="40" t="s">
        <v>174</v>
      </c>
      <c r="AF19" s="40" t="s">
        <v>175</v>
      </c>
      <c r="AG19" s="40" t="s">
        <v>183</v>
      </c>
      <c r="AH19" s="40" t="s">
        <v>173</v>
      </c>
      <c r="AI19" s="40" t="s">
        <v>168</v>
      </c>
      <c r="AJ19" s="40" t="s">
        <v>173</v>
      </c>
      <c r="AK19" s="40" t="s">
        <v>176</v>
      </c>
    </row>
    <row r="20" spans="1:37" hidden="1">
      <c r="A20" s="39">
        <v>11</v>
      </c>
      <c r="B20" s="40" t="s">
        <v>155</v>
      </c>
      <c r="C20" s="40" t="s">
        <v>156</v>
      </c>
      <c r="D20" s="40" t="s">
        <v>179</v>
      </c>
      <c r="E20" s="40" t="s">
        <v>142</v>
      </c>
      <c r="F20" s="40" t="s">
        <v>155</v>
      </c>
      <c r="G20" s="40" t="s">
        <v>17</v>
      </c>
      <c r="H20" s="40" t="s">
        <v>179</v>
      </c>
      <c r="I20" s="40" t="s">
        <v>157</v>
      </c>
      <c r="J20" s="40" t="s">
        <v>214</v>
      </c>
      <c r="K20" s="40" t="s">
        <v>159</v>
      </c>
      <c r="L20" s="40" t="s">
        <v>160</v>
      </c>
      <c r="M20" s="40" t="s">
        <v>215</v>
      </c>
      <c r="N20" s="40" t="s">
        <v>216</v>
      </c>
      <c r="O20" s="40" t="s">
        <v>216</v>
      </c>
      <c r="P20" s="40" t="s">
        <v>163</v>
      </c>
      <c r="Q20" s="40" t="s">
        <v>164</v>
      </c>
      <c r="R20" s="41" t="s">
        <v>183</v>
      </c>
      <c r="S20" s="40" t="s">
        <v>165</v>
      </c>
      <c r="T20" s="40" t="s">
        <v>165</v>
      </c>
      <c r="U20" s="40" t="s">
        <v>166</v>
      </c>
      <c r="V20" s="40" t="s">
        <v>166</v>
      </c>
      <c r="W20" s="40"/>
      <c r="X20" s="40" t="s">
        <v>169</v>
      </c>
      <c r="Y20" s="40" t="s">
        <v>213</v>
      </c>
      <c r="Z20" s="40" t="s">
        <v>163</v>
      </c>
      <c r="AA20" s="40" t="s">
        <v>177</v>
      </c>
      <c r="AB20" s="40" t="s">
        <v>176</v>
      </c>
      <c r="AC20" s="40">
        <v>200</v>
      </c>
      <c r="AD20" s="40" t="s">
        <v>173</v>
      </c>
      <c r="AE20" s="40" t="s">
        <v>79</v>
      </c>
      <c r="AF20" s="40" t="s">
        <v>178</v>
      </c>
      <c r="AG20" s="40" t="s">
        <v>188</v>
      </c>
      <c r="AH20" s="40" t="s">
        <v>173</v>
      </c>
      <c r="AI20" s="40" t="s">
        <v>176</v>
      </c>
      <c r="AJ20" s="40" t="s">
        <v>176</v>
      </c>
      <c r="AK20" s="40" t="s">
        <v>176</v>
      </c>
    </row>
    <row r="21" spans="1:37" hidden="1">
      <c r="A21" s="39">
        <v>12</v>
      </c>
      <c r="B21" s="40" t="s">
        <v>155</v>
      </c>
      <c r="C21" s="40" t="s">
        <v>156</v>
      </c>
      <c r="D21" s="40" t="s">
        <v>179</v>
      </c>
      <c r="E21" s="40" t="s">
        <v>142</v>
      </c>
      <c r="F21" s="40" t="s">
        <v>155</v>
      </c>
      <c r="G21" s="40" t="s">
        <v>17</v>
      </c>
      <c r="H21" s="40" t="s">
        <v>184</v>
      </c>
      <c r="I21" s="40" t="s">
        <v>157</v>
      </c>
      <c r="J21" s="40" t="s">
        <v>217</v>
      </c>
      <c r="K21" s="40" t="s">
        <v>159</v>
      </c>
      <c r="L21" s="40" t="s">
        <v>160</v>
      </c>
      <c r="M21" s="40" t="s">
        <v>218</v>
      </c>
      <c r="N21" s="40" t="s">
        <v>219</v>
      </c>
      <c r="O21" s="40" t="s">
        <v>219</v>
      </c>
      <c r="P21" s="40" t="s">
        <v>163</v>
      </c>
      <c r="Q21" s="40" t="s">
        <v>164</v>
      </c>
      <c r="R21" s="41" t="s">
        <v>183</v>
      </c>
      <c r="S21" s="40" t="s">
        <v>165</v>
      </c>
      <c r="T21" s="40" t="s">
        <v>165</v>
      </c>
      <c r="U21" s="40" t="s">
        <v>166</v>
      </c>
      <c r="V21" s="40" t="s">
        <v>165</v>
      </c>
      <c r="W21" s="40"/>
      <c r="X21" s="40" t="s">
        <v>169</v>
      </c>
      <c r="Y21" s="40" t="s">
        <v>213</v>
      </c>
      <c r="Z21" s="40" t="s">
        <v>163</v>
      </c>
      <c r="AA21" s="40" t="s">
        <v>177</v>
      </c>
      <c r="AB21" s="40" t="s">
        <v>176</v>
      </c>
      <c r="AC21" s="40">
        <v>100</v>
      </c>
      <c r="AD21" s="40" t="s">
        <v>173</v>
      </c>
      <c r="AE21" s="40" t="s">
        <v>79</v>
      </c>
      <c r="AF21" s="40" t="s">
        <v>178</v>
      </c>
      <c r="AG21" s="40" t="s">
        <v>220</v>
      </c>
      <c r="AH21" s="40" t="s">
        <v>173</v>
      </c>
      <c r="AI21" s="40" t="s">
        <v>176</v>
      </c>
      <c r="AJ21" s="40" t="s">
        <v>176</v>
      </c>
      <c r="AK21" s="40" t="s">
        <v>176</v>
      </c>
    </row>
    <row r="22" spans="1:37" hidden="1">
      <c r="A22" s="39">
        <v>13</v>
      </c>
      <c r="B22" s="40" t="s">
        <v>155</v>
      </c>
      <c r="C22" s="40" t="s">
        <v>156</v>
      </c>
      <c r="D22" s="40" t="s">
        <v>179</v>
      </c>
      <c r="E22" s="40" t="s">
        <v>142</v>
      </c>
      <c r="F22" s="40" t="s">
        <v>179</v>
      </c>
      <c r="G22" s="40" t="s">
        <v>17</v>
      </c>
      <c r="H22" s="40" t="s">
        <v>155</v>
      </c>
      <c r="I22" s="40" t="s">
        <v>157</v>
      </c>
      <c r="J22" s="40" t="s">
        <v>221</v>
      </c>
      <c r="K22" s="40" t="s">
        <v>159</v>
      </c>
      <c r="L22" s="40" t="s">
        <v>160</v>
      </c>
      <c r="M22" s="40" t="s">
        <v>222</v>
      </c>
      <c r="N22" s="40" t="s">
        <v>223</v>
      </c>
      <c r="O22" s="40" t="s">
        <v>223</v>
      </c>
      <c r="P22" s="40" t="s">
        <v>163</v>
      </c>
      <c r="Q22" s="40" t="s">
        <v>164</v>
      </c>
      <c r="R22" s="41" t="s">
        <v>183</v>
      </c>
      <c r="S22" s="40" t="s">
        <v>165</v>
      </c>
      <c r="T22" s="40" t="s">
        <v>165</v>
      </c>
      <c r="U22" s="40" t="s">
        <v>165</v>
      </c>
      <c r="V22" s="40" t="s">
        <v>166</v>
      </c>
      <c r="W22" s="40"/>
      <c r="X22" s="40" t="s">
        <v>169</v>
      </c>
      <c r="Y22" s="40" t="s">
        <v>213</v>
      </c>
      <c r="Z22" s="40" t="s">
        <v>163</v>
      </c>
      <c r="AA22" s="40" t="s">
        <v>177</v>
      </c>
      <c r="AB22" s="40" t="s">
        <v>176</v>
      </c>
      <c r="AC22" s="40">
        <v>100</v>
      </c>
      <c r="AD22" s="40" t="s">
        <v>173</v>
      </c>
      <c r="AE22" s="40" t="s">
        <v>79</v>
      </c>
      <c r="AF22" s="40" t="s">
        <v>178</v>
      </c>
      <c r="AG22" s="40" t="s">
        <v>188</v>
      </c>
      <c r="AH22" s="40" t="s">
        <v>173</v>
      </c>
      <c r="AI22" s="40" t="s">
        <v>168</v>
      </c>
      <c r="AJ22" s="40" t="s">
        <v>173</v>
      </c>
      <c r="AK22" s="40" t="s">
        <v>176</v>
      </c>
    </row>
    <row r="23" spans="1:37" hidden="1">
      <c r="A23" s="39">
        <v>13</v>
      </c>
      <c r="B23" s="40" t="s">
        <v>155</v>
      </c>
      <c r="C23" s="40" t="s">
        <v>156</v>
      </c>
      <c r="D23" s="40" t="s">
        <v>179</v>
      </c>
      <c r="E23" s="40" t="s">
        <v>142</v>
      </c>
      <c r="F23" s="40" t="s">
        <v>179</v>
      </c>
      <c r="G23" s="40" t="s">
        <v>17</v>
      </c>
      <c r="H23" s="40" t="s">
        <v>155</v>
      </c>
      <c r="I23" s="40" t="s">
        <v>157</v>
      </c>
      <c r="J23" s="40" t="s">
        <v>221</v>
      </c>
      <c r="K23" s="40" t="s">
        <v>159</v>
      </c>
      <c r="L23" s="40" t="s">
        <v>160</v>
      </c>
      <c r="M23" s="40" t="s">
        <v>222</v>
      </c>
      <c r="N23" s="40" t="s">
        <v>223</v>
      </c>
      <c r="O23" s="40" t="s">
        <v>223</v>
      </c>
      <c r="P23" s="40" t="s">
        <v>163</v>
      </c>
      <c r="Q23" s="40" t="s">
        <v>164</v>
      </c>
      <c r="R23" s="41" t="s">
        <v>183</v>
      </c>
      <c r="S23" s="40" t="s">
        <v>165</v>
      </c>
      <c r="T23" s="40" t="s">
        <v>165</v>
      </c>
      <c r="U23" s="40" t="s">
        <v>165</v>
      </c>
      <c r="V23" s="40" t="s">
        <v>166</v>
      </c>
      <c r="W23" s="40"/>
      <c r="X23" s="40" t="s">
        <v>169</v>
      </c>
      <c r="Y23" s="40" t="s">
        <v>213</v>
      </c>
      <c r="Z23" s="40" t="s">
        <v>163</v>
      </c>
      <c r="AA23" s="40" t="s">
        <v>171</v>
      </c>
      <c r="AB23" s="40" t="s">
        <v>172</v>
      </c>
      <c r="AC23" s="40">
        <v>100</v>
      </c>
      <c r="AD23" s="40" t="s">
        <v>173</v>
      </c>
      <c r="AE23" s="40" t="s">
        <v>174</v>
      </c>
      <c r="AF23" s="40" t="s">
        <v>175</v>
      </c>
      <c r="AG23" s="40" t="s">
        <v>188</v>
      </c>
      <c r="AH23" s="40" t="s">
        <v>173</v>
      </c>
      <c r="AI23" s="40" t="s">
        <v>168</v>
      </c>
      <c r="AJ23" s="40" t="s">
        <v>173</v>
      </c>
      <c r="AK23" s="40" t="s">
        <v>176</v>
      </c>
    </row>
    <row r="24" spans="1:37" hidden="1">
      <c r="A24" s="39">
        <v>14</v>
      </c>
      <c r="B24" s="40" t="s">
        <v>155</v>
      </c>
      <c r="C24" s="40" t="s">
        <v>156</v>
      </c>
      <c r="D24" s="40" t="s">
        <v>179</v>
      </c>
      <c r="E24" s="40" t="s">
        <v>142</v>
      </c>
      <c r="F24" s="40" t="s">
        <v>179</v>
      </c>
      <c r="G24" s="40" t="s">
        <v>17</v>
      </c>
      <c r="H24" s="40" t="s">
        <v>179</v>
      </c>
      <c r="I24" s="40" t="s">
        <v>157</v>
      </c>
      <c r="J24" s="40" t="s">
        <v>224</v>
      </c>
      <c r="K24" s="40" t="s">
        <v>159</v>
      </c>
      <c r="L24" s="40" t="s">
        <v>160</v>
      </c>
      <c r="M24" s="40" t="s">
        <v>225</v>
      </c>
      <c r="N24" s="40" t="s">
        <v>226</v>
      </c>
      <c r="O24" s="40" t="s">
        <v>226</v>
      </c>
      <c r="P24" s="40" t="s">
        <v>163</v>
      </c>
      <c r="Q24" s="40" t="s">
        <v>203</v>
      </c>
      <c r="R24" s="41" t="s">
        <v>183</v>
      </c>
      <c r="S24" s="40" t="s">
        <v>165</v>
      </c>
      <c r="T24" s="40" t="s">
        <v>165</v>
      </c>
      <c r="U24" s="40" t="s">
        <v>165</v>
      </c>
      <c r="V24" s="40" t="s">
        <v>165</v>
      </c>
      <c r="W24" s="40"/>
      <c r="X24" s="40" t="s">
        <v>169</v>
      </c>
      <c r="Y24" s="40" t="s">
        <v>213</v>
      </c>
      <c r="Z24" s="40" t="s">
        <v>163</v>
      </c>
      <c r="AA24" s="40" t="s">
        <v>177</v>
      </c>
      <c r="AB24" s="40" t="s">
        <v>176</v>
      </c>
      <c r="AC24" s="40">
        <v>100</v>
      </c>
      <c r="AD24" s="40" t="s">
        <v>173</v>
      </c>
      <c r="AE24" s="40" t="s">
        <v>79</v>
      </c>
      <c r="AF24" s="40" t="s">
        <v>178</v>
      </c>
      <c r="AG24" s="40" t="s">
        <v>220</v>
      </c>
      <c r="AH24" s="40" t="s">
        <v>173</v>
      </c>
      <c r="AI24" s="40" t="s">
        <v>176</v>
      </c>
      <c r="AJ24" s="40" t="s">
        <v>176</v>
      </c>
      <c r="AK24" s="40" t="s">
        <v>176</v>
      </c>
    </row>
    <row r="25" spans="1:37" hidden="1">
      <c r="A25" s="39">
        <v>15</v>
      </c>
      <c r="B25" s="40" t="s">
        <v>155</v>
      </c>
      <c r="C25" s="40" t="s">
        <v>156</v>
      </c>
      <c r="D25" s="40" t="s">
        <v>179</v>
      </c>
      <c r="E25" s="40" t="s">
        <v>142</v>
      </c>
      <c r="F25" s="40" t="s">
        <v>179</v>
      </c>
      <c r="G25" s="40" t="s">
        <v>17</v>
      </c>
      <c r="H25" s="40" t="s">
        <v>184</v>
      </c>
      <c r="I25" s="40" t="s">
        <v>157</v>
      </c>
      <c r="J25" s="40" t="s">
        <v>227</v>
      </c>
      <c r="K25" s="40" t="s">
        <v>159</v>
      </c>
      <c r="L25" s="40" t="s">
        <v>160</v>
      </c>
      <c r="M25" s="40" t="s">
        <v>228</v>
      </c>
      <c r="N25" s="40" t="s">
        <v>229</v>
      </c>
      <c r="O25" s="40" t="s">
        <v>229</v>
      </c>
      <c r="P25" s="40" t="s">
        <v>163</v>
      </c>
      <c r="Q25" s="40" t="s">
        <v>230</v>
      </c>
      <c r="R25" s="41" t="s">
        <v>183</v>
      </c>
      <c r="S25" s="40" t="s">
        <v>165</v>
      </c>
      <c r="T25" s="40" t="s">
        <v>165</v>
      </c>
      <c r="U25" s="40" t="s">
        <v>165</v>
      </c>
      <c r="V25" s="40" t="s">
        <v>183</v>
      </c>
      <c r="W25" s="40"/>
      <c r="X25" s="40" t="s">
        <v>169</v>
      </c>
      <c r="Y25" s="40" t="s">
        <v>213</v>
      </c>
      <c r="Z25" s="40" t="s">
        <v>163</v>
      </c>
      <c r="AA25" s="40" t="s">
        <v>177</v>
      </c>
      <c r="AB25" s="40" t="s">
        <v>176</v>
      </c>
      <c r="AC25" s="40">
        <v>0</v>
      </c>
      <c r="AD25" s="40" t="s">
        <v>173</v>
      </c>
      <c r="AE25" s="40" t="s">
        <v>79</v>
      </c>
      <c r="AF25" s="40" t="s">
        <v>178</v>
      </c>
      <c r="AG25" s="40" t="s">
        <v>220</v>
      </c>
      <c r="AH25" s="40" t="s">
        <v>173</v>
      </c>
      <c r="AI25" s="40" t="s">
        <v>176</v>
      </c>
      <c r="AJ25" s="40" t="s">
        <v>176</v>
      </c>
      <c r="AK25" s="40" t="s">
        <v>176</v>
      </c>
    </row>
    <row r="26" spans="1:37">
      <c r="A26" s="39">
        <v>15</v>
      </c>
      <c r="B26" s="40" t="s">
        <v>155</v>
      </c>
      <c r="C26" s="40" t="s">
        <v>156</v>
      </c>
      <c r="D26" s="40" t="s">
        <v>179</v>
      </c>
      <c r="E26" s="40" t="s">
        <v>142</v>
      </c>
      <c r="F26" s="40" t="s">
        <v>179</v>
      </c>
      <c r="G26" s="40" t="s">
        <v>17</v>
      </c>
      <c r="H26" s="40" t="s">
        <v>184</v>
      </c>
      <c r="I26" s="40" t="s">
        <v>157</v>
      </c>
      <c r="J26" s="40" t="s">
        <v>227</v>
      </c>
      <c r="K26" s="40" t="s">
        <v>159</v>
      </c>
      <c r="L26" s="40" t="s">
        <v>160</v>
      </c>
      <c r="M26" s="40" t="s">
        <v>228</v>
      </c>
      <c r="N26" s="40" t="s">
        <v>229</v>
      </c>
      <c r="O26" s="40" t="s">
        <v>229</v>
      </c>
      <c r="P26" s="40" t="s">
        <v>163</v>
      </c>
      <c r="Q26" s="40" t="s">
        <v>230</v>
      </c>
      <c r="R26" s="41" t="s">
        <v>183</v>
      </c>
      <c r="S26" s="40" t="s">
        <v>165</v>
      </c>
      <c r="T26" s="40" t="s">
        <v>165</v>
      </c>
      <c r="U26" s="40" t="s">
        <v>165</v>
      </c>
      <c r="V26" s="40" t="s">
        <v>183</v>
      </c>
      <c r="W26" s="40">
        <f>U26-V26</f>
        <v>-50</v>
      </c>
      <c r="X26" s="40" t="s">
        <v>169</v>
      </c>
      <c r="Y26" s="40" t="s">
        <v>213</v>
      </c>
      <c r="Z26" s="40" t="s">
        <v>213</v>
      </c>
      <c r="AA26" s="40" t="s">
        <v>199</v>
      </c>
      <c r="AB26" s="40" t="s">
        <v>176</v>
      </c>
      <c r="AC26" s="40">
        <v>100</v>
      </c>
      <c r="AD26" s="40" t="s">
        <v>173</v>
      </c>
      <c r="AE26" s="40" t="s">
        <v>83</v>
      </c>
      <c r="AF26" s="40" t="s">
        <v>178</v>
      </c>
      <c r="AG26" s="40" t="s">
        <v>220</v>
      </c>
      <c r="AH26" s="40" t="s">
        <v>173</v>
      </c>
      <c r="AI26" s="40" t="s">
        <v>176</v>
      </c>
      <c r="AJ26" s="40" t="s">
        <v>176</v>
      </c>
      <c r="AK26" s="40" t="s">
        <v>176</v>
      </c>
    </row>
    <row r="27" spans="1:37">
      <c r="A27" s="39">
        <v>16</v>
      </c>
      <c r="B27" s="40" t="s">
        <v>155</v>
      </c>
      <c r="C27" s="40" t="s">
        <v>156</v>
      </c>
      <c r="D27" s="40" t="s">
        <v>179</v>
      </c>
      <c r="E27" s="40" t="s">
        <v>142</v>
      </c>
      <c r="F27" s="40" t="s">
        <v>184</v>
      </c>
      <c r="G27" s="40" t="s">
        <v>17</v>
      </c>
      <c r="H27" s="40" t="s">
        <v>155</v>
      </c>
      <c r="I27" s="40" t="s">
        <v>157</v>
      </c>
      <c r="J27" s="40" t="s">
        <v>231</v>
      </c>
      <c r="K27" s="40" t="s">
        <v>159</v>
      </c>
      <c r="L27" s="40" t="s">
        <v>160</v>
      </c>
      <c r="M27" s="40" t="s">
        <v>232</v>
      </c>
      <c r="N27" s="40" t="s">
        <v>233</v>
      </c>
      <c r="O27" s="40" t="s">
        <v>233</v>
      </c>
      <c r="P27" s="40" t="s">
        <v>163</v>
      </c>
      <c r="Q27" s="40" t="s">
        <v>234</v>
      </c>
      <c r="R27" s="41" t="s">
        <v>183</v>
      </c>
      <c r="S27" s="40" t="s">
        <v>165</v>
      </c>
      <c r="T27" s="40" t="s">
        <v>165</v>
      </c>
      <c r="U27" s="40" t="s">
        <v>183</v>
      </c>
      <c r="V27" s="40" t="s">
        <v>165</v>
      </c>
      <c r="W27" s="40">
        <f>U27-V27</f>
        <v>50</v>
      </c>
      <c r="X27" s="40" t="s">
        <v>169</v>
      </c>
      <c r="Y27" s="40" t="s">
        <v>213</v>
      </c>
      <c r="Z27" s="40" t="s">
        <v>213</v>
      </c>
      <c r="AA27" s="40" t="s">
        <v>199</v>
      </c>
      <c r="AB27" s="40" t="s">
        <v>176</v>
      </c>
      <c r="AC27" s="40">
        <v>100</v>
      </c>
      <c r="AD27" s="40" t="s">
        <v>173</v>
      </c>
      <c r="AE27" s="40" t="s">
        <v>83</v>
      </c>
      <c r="AF27" s="40" t="s">
        <v>178</v>
      </c>
      <c r="AG27" s="40" t="s">
        <v>183</v>
      </c>
      <c r="AH27" s="40" t="s">
        <v>173</v>
      </c>
      <c r="AI27" s="40" t="s">
        <v>166</v>
      </c>
      <c r="AJ27" s="40" t="s">
        <v>173</v>
      </c>
      <c r="AK27" s="40" t="s">
        <v>176</v>
      </c>
    </row>
    <row r="28" spans="1:37" hidden="1">
      <c r="A28" s="39">
        <v>16</v>
      </c>
      <c r="B28" s="40" t="s">
        <v>155</v>
      </c>
      <c r="C28" s="40" t="s">
        <v>156</v>
      </c>
      <c r="D28" s="40" t="s">
        <v>179</v>
      </c>
      <c r="E28" s="40" t="s">
        <v>142</v>
      </c>
      <c r="F28" s="40" t="s">
        <v>184</v>
      </c>
      <c r="G28" s="40" t="s">
        <v>17</v>
      </c>
      <c r="H28" s="40" t="s">
        <v>155</v>
      </c>
      <c r="I28" s="40" t="s">
        <v>157</v>
      </c>
      <c r="J28" s="40" t="s">
        <v>231</v>
      </c>
      <c r="K28" s="40" t="s">
        <v>159</v>
      </c>
      <c r="L28" s="40" t="s">
        <v>160</v>
      </c>
      <c r="M28" s="40" t="s">
        <v>232</v>
      </c>
      <c r="N28" s="40" t="s">
        <v>233</v>
      </c>
      <c r="O28" s="40" t="s">
        <v>233</v>
      </c>
      <c r="P28" s="40" t="s">
        <v>163</v>
      </c>
      <c r="Q28" s="40" t="s">
        <v>234</v>
      </c>
      <c r="R28" s="41" t="s">
        <v>183</v>
      </c>
      <c r="S28" s="40" t="s">
        <v>165</v>
      </c>
      <c r="T28" s="40" t="s">
        <v>165</v>
      </c>
      <c r="U28" s="40" t="s">
        <v>183</v>
      </c>
      <c r="V28" s="40" t="s">
        <v>165</v>
      </c>
      <c r="W28" s="40"/>
      <c r="X28" s="40" t="s">
        <v>169</v>
      </c>
      <c r="Y28" s="40" t="s">
        <v>213</v>
      </c>
      <c r="Z28" s="40" t="s">
        <v>163</v>
      </c>
      <c r="AA28" s="40" t="s">
        <v>171</v>
      </c>
      <c r="AB28" s="40" t="s">
        <v>172</v>
      </c>
      <c r="AC28" s="40">
        <v>100</v>
      </c>
      <c r="AD28" s="40" t="s">
        <v>173</v>
      </c>
      <c r="AE28" s="40" t="s">
        <v>174</v>
      </c>
      <c r="AF28" s="40" t="s">
        <v>175</v>
      </c>
      <c r="AG28" s="40" t="s">
        <v>183</v>
      </c>
      <c r="AH28" s="40" t="s">
        <v>173</v>
      </c>
      <c r="AI28" s="40" t="s">
        <v>166</v>
      </c>
      <c r="AJ28" s="40" t="s">
        <v>173</v>
      </c>
      <c r="AK28" s="40" t="s">
        <v>176</v>
      </c>
    </row>
    <row r="29" spans="1:37" hidden="1">
      <c r="A29" s="39">
        <v>16</v>
      </c>
      <c r="B29" s="40" t="s">
        <v>155</v>
      </c>
      <c r="C29" s="40" t="s">
        <v>156</v>
      </c>
      <c r="D29" s="40" t="s">
        <v>179</v>
      </c>
      <c r="E29" s="40" t="s">
        <v>142</v>
      </c>
      <c r="F29" s="40" t="s">
        <v>184</v>
      </c>
      <c r="G29" s="40" t="s">
        <v>17</v>
      </c>
      <c r="H29" s="40" t="s">
        <v>155</v>
      </c>
      <c r="I29" s="40" t="s">
        <v>157</v>
      </c>
      <c r="J29" s="40" t="s">
        <v>231</v>
      </c>
      <c r="K29" s="40" t="s">
        <v>159</v>
      </c>
      <c r="L29" s="40" t="s">
        <v>160</v>
      </c>
      <c r="M29" s="40" t="s">
        <v>232</v>
      </c>
      <c r="N29" s="40" t="s">
        <v>233</v>
      </c>
      <c r="O29" s="40" t="s">
        <v>233</v>
      </c>
      <c r="P29" s="40" t="s">
        <v>163</v>
      </c>
      <c r="Q29" s="40" t="s">
        <v>234</v>
      </c>
      <c r="R29" s="41" t="s">
        <v>183</v>
      </c>
      <c r="S29" s="40" t="s">
        <v>165</v>
      </c>
      <c r="T29" s="40" t="s">
        <v>165</v>
      </c>
      <c r="U29" s="40" t="s">
        <v>183</v>
      </c>
      <c r="V29" s="40" t="s">
        <v>165</v>
      </c>
      <c r="W29" s="40"/>
      <c r="X29" s="40" t="s">
        <v>169</v>
      </c>
      <c r="Y29" s="40" t="s">
        <v>213</v>
      </c>
      <c r="Z29" s="40" t="s">
        <v>163</v>
      </c>
      <c r="AA29" s="40" t="s">
        <v>177</v>
      </c>
      <c r="AB29" s="40" t="s">
        <v>176</v>
      </c>
      <c r="AC29" s="40">
        <v>0</v>
      </c>
      <c r="AD29" s="40" t="s">
        <v>173</v>
      </c>
      <c r="AE29" s="40" t="s">
        <v>79</v>
      </c>
      <c r="AF29" s="40" t="s">
        <v>178</v>
      </c>
      <c r="AG29" s="40" t="s">
        <v>183</v>
      </c>
      <c r="AH29" s="40" t="s">
        <v>173</v>
      </c>
      <c r="AI29" s="40" t="s">
        <v>166</v>
      </c>
      <c r="AJ29" s="40" t="s">
        <v>173</v>
      </c>
      <c r="AK29" s="40" t="s">
        <v>176</v>
      </c>
    </row>
    <row r="30" spans="1:37">
      <c r="A30" s="39">
        <v>17</v>
      </c>
      <c r="B30" s="40" t="s">
        <v>155</v>
      </c>
      <c r="C30" s="40" t="s">
        <v>156</v>
      </c>
      <c r="D30" s="40" t="s">
        <v>179</v>
      </c>
      <c r="E30" s="40" t="s">
        <v>142</v>
      </c>
      <c r="F30" s="40" t="s">
        <v>184</v>
      </c>
      <c r="G30" s="40" t="s">
        <v>17</v>
      </c>
      <c r="H30" s="40" t="s">
        <v>179</v>
      </c>
      <c r="I30" s="40" t="s">
        <v>157</v>
      </c>
      <c r="J30" s="40" t="s">
        <v>235</v>
      </c>
      <c r="K30" s="40" t="s">
        <v>159</v>
      </c>
      <c r="L30" s="40" t="s">
        <v>160</v>
      </c>
      <c r="M30" s="40" t="s">
        <v>236</v>
      </c>
      <c r="N30" s="40" t="s">
        <v>237</v>
      </c>
      <c r="O30" s="40" t="s">
        <v>237</v>
      </c>
      <c r="P30" s="40" t="s">
        <v>163</v>
      </c>
      <c r="Q30" s="40" t="s">
        <v>230</v>
      </c>
      <c r="R30" s="41" t="s">
        <v>183</v>
      </c>
      <c r="S30" s="40" t="s">
        <v>165</v>
      </c>
      <c r="T30" s="40" t="s">
        <v>165</v>
      </c>
      <c r="U30" s="40" t="s">
        <v>183</v>
      </c>
      <c r="V30" s="40" t="s">
        <v>183</v>
      </c>
      <c r="W30" s="40">
        <f>U30-V30</f>
        <v>0</v>
      </c>
      <c r="X30" s="40" t="s">
        <v>169</v>
      </c>
      <c r="Y30" s="40" t="s">
        <v>213</v>
      </c>
      <c r="Z30" s="40" t="s">
        <v>213</v>
      </c>
      <c r="AA30" s="40" t="s">
        <v>199</v>
      </c>
      <c r="AB30" s="40" t="s">
        <v>176</v>
      </c>
      <c r="AC30" s="40">
        <v>100</v>
      </c>
      <c r="AD30" s="40" t="s">
        <v>173</v>
      </c>
      <c r="AE30" s="40" t="s">
        <v>83</v>
      </c>
      <c r="AF30" s="40" t="s">
        <v>178</v>
      </c>
      <c r="AG30" s="40" t="s">
        <v>166</v>
      </c>
      <c r="AH30" s="40" t="s">
        <v>173</v>
      </c>
      <c r="AI30" s="40" t="s">
        <v>183</v>
      </c>
      <c r="AJ30" s="40" t="s">
        <v>173</v>
      </c>
      <c r="AK30" s="40" t="s">
        <v>176</v>
      </c>
    </row>
    <row r="31" spans="1:37" hidden="1">
      <c r="A31" s="39">
        <v>17</v>
      </c>
      <c r="B31" s="40" t="s">
        <v>155</v>
      </c>
      <c r="C31" s="40" t="s">
        <v>156</v>
      </c>
      <c r="D31" s="40" t="s">
        <v>179</v>
      </c>
      <c r="E31" s="40" t="s">
        <v>142</v>
      </c>
      <c r="F31" s="40" t="s">
        <v>184</v>
      </c>
      <c r="G31" s="40" t="s">
        <v>17</v>
      </c>
      <c r="H31" s="40" t="s">
        <v>179</v>
      </c>
      <c r="I31" s="40" t="s">
        <v>157</v>
      </c>
      <c r="J31" s="40" t="s">
        <v>235</v>
      </c>
      <c r="K31" s="40" t="s">
        <v>159</v>
      </c>
      <c r="L31" s="40" t="s">
        <v>160</v>
      </c>
      <c r="M31" s="40" t="s">
        <v>236</v>
      </c>
      <c r="N31" s="40" t="s">
        <v>237</v>
      </c>
      <c r="O31" s="40" t="s">
        <v>237</v>
      </c>
      <c r="P31" s="40" t="s">
        <v>163</v>
      </c>
      <c r="Q31" s="40" t="s">
        <v>230</v>
      </c>
      <c r="R31" s="41" t="s">
        <v>183</v>
      </c>
      <c r="S31" s="40" t="s">
        <v>165</v>
      </c>
      <c r="T31" s="40" t="s">
        <v>165</v>
      </c>
      <c r="U31" s="40" t="s">
        <v>183</v>
      </c>
      <c r="V31" s="40" t="s">
        <v>183</v>
      </c>
      <c r="W31" s="40"/>
      <c r="X31" s="40" t="s">
        <v>169</v>
      </c>
      <c r="Y31" s="40" t="s">
        <v>213</v>
      </c>
      <c r="Z31" s="40" t="s">
        <v>163</v>
      </c>
      <c r="AA31" s="40" t="s">
        <v>177</v>
      </c>
      <c r="AB31" s="40" t="s">
        <v>176</v>
      </c>
      <c r="AC31" s="40">
        <v>0</v>
      </c>
      <c r="AD31" s="40" t="s">
        <v>173</v>
      </c>
      <c r="AE31" s="40" t="s">
        <v>79</v>
      </c>
      <c r="AF31" s="40" t="s">
        <v>178</v>
      </c>
      <c r="AG31" s="40" t="s">
        <v>166</v>
      </c>
      <c r="AH31" s="40" t="s">
        <v>173</v>
      </c>
      <c r="AI31" s="40" t="s">
        <v>183</v>
      </c>
      <c r="AJ31" s="40" t="s">
        <v>173</v>
      </c>
      <c r="AK31" s="40" t="s">
        <v>176</v>
      </c>
    </row>
    <row r="32" spans="1:37">
      <c r="A32" s="39">
        <v>18</v>
      </c>
      <c r="B32" s="40" t="s">
        <v>155</v>
      </c>
      <c r="C32" s="40" t="s">
        <v>156</v>
      </c>
      <c r="D32" s="40" t="s">
        <v>179</v>
      </c>
      <c r="E32" s="40" t="s">
        <v>142</v>
      </c>
      <c r="F32" s="40" t="s">
        <v>184</v>
      </c>
      <c r="G32" s="40" t="s">
        <v>17</v>
      </c>
      <c r="H32" s="40" t="s">
        <v>184</v>
      </c>
      <c r="I32" s="40" t="s">
        <v>157</v>
      </c>
      <c r="J32" s="40" t="s">
        <v>238</v>
      </c>
      <c r="K32" s="40" t="s">
        <v>159</v>
      </c>
      <c r="L32" s="40" t="s">
        <v>160</v>
      </c>
      <c r="M32" s="40" t="s">
        <v>239</v>
      </c>
      <c r="N32" s="40" t="s">
        <v>240</v>
      </c>
      <c r="O32" s="40" t="s">
        <v>240</v>
      </c>
      <c r="P32" s="40" t="s">
        <v>163</v>
      </c>
      <c r="Q32" s="40" t="s">
        <v>230</v>
      </c>
      <c r="R32" s="41" t="s">
        <v>183</v>
      </c>
      <c r="S32" s="40" t="s">
        <v>165</v>
      </c>
      <c r="T32" s="40" t="s">
        <v>165</v>
      </c>
      <c r="U32" s="40" t="s">
        <v>183</v>
      </c>
      <c r="V32" s="40" t="s">
        <v>241</v>
      </c>
      <c r="W32" s="40">
        <f>U32-V32</f>
        <v>-50</v>
      </c>
      <c r="X32" s="40" t="s">
        <v>169</v>
      </c>
      <c r="Y32" s="40" t="s">
        <v>213</v>
      </c>
      <c r="Z32" s="40" t="s">
        <v>213</v>
      </c>
      <c r="AA32" s="40" t="s">
        <v>199</v>
      </c>
      <c r="AB32" s="40" t="s">
        <v>176</v>
      </c>
      <c r="AC32" s="40">
        <v>200</v>
      </c>
      <c r="AD32" s="40" t="s">
        <v>173</v>
      </c>
      <c r="AE32" s="40" t="s">
        <v>83</v>
      </c>
      <c r="AF32" s="40" t="s">
        <v>178</v>
      </c>
      <c r="AG32" s="40" t="s">
        <v>220</v>
      </c>
      <c r="AH32" s="40" t="s">
        <v>173</v>
      </c>
      <c r="AI32" s="40" t="s">
        <v>176</v>
      </c>
      <c r="AJ32" s="40" t="s">
        <v>176</v>
      </c>
      <c r="AK32" s="40" t="s">
        <v>176</v>
      </c>
    </row>
    <row r="33" spans="1:37" hidden="1">
      <c r="A33" s="39">
        <v>18</v>
      </c>
      <c r="B33" s="40" t="s">
        <v>155</v>
      </c>
      <c r="C33" s="40" t="s">
        <v>156</v>
      </c>
      <c r="D33" s="40" t="s">
        <v>179</v>
      </c>
      <c r="E33" s="40" t="s">
        <v>142</v>
      </c>
      <c r="F33" s="40" t="s">
        <v>184</v>
      </c>
      <c r="G33" s="40" t="s">
        <v>17</v>
      </c>
      <c r="H33" s="40" t="s">
        <v>184</v>
      </c>
      <c r="I33" s="40" t="s">
        <v>157</v>
      </c>
      <c r="J33" s="40" t="s">
        <v>238</v>
      </c>
      <c r="K33" s="40" t="s">
        <v>159</v>
      </c>
      <c r="L33" s="40" t="s">
        <v>160</v>
      </c>
      <c r="M33" s="40" t="s">
        <v>239</v>
      </c>
      <c r="N33" s="40" t="s">
        <v>240</v>
      </c>
      <c r="O33" s="40" t="s">
        <v>240</v>
      </c>
      <c r="P33" s="40" t="s">
        <v>163</v>
      </c>
      <c r="Q33" s="40" t="s">
        <v>230</v>
      </c>
      <c r="R33" s="41" t="s">
        <v>183</v>
      </c>
      <c r="S33" s="40" t="s">
        <v>165</v>
      </c>
      <c r="T33" s="40" t="s">
        <v>165</v>
      </c>
      <c r="U33" s="40" t="s">
        <v>183</v>
      </c>
      <c r="V33" s="40" t="s">
        <v>241</v>
      </c>
      <c r="W33" s="40"/>
      <c r="X33" s="40" t="s">
        <v>169</v>
      </c>
      <c r="Y33" s="40" t="s">
        <v>213</v>
      </c>
      <c r="Z33" s="40" t="s">
        <v>163</v>
      </c>
      <c r="AA33" s="40" t="s">
        <v>177</v>
      </c>
      <c r="AB33" s="40" t="s">
        <v>176</v>
      </c>
      <c r="AC33" s="40">
        <v>-100</v>
      </c>
      <c r="AD33" s="40" t="s">
        <v>173</v>
      </c>
      <c r="AE33" s="40" t="s">
        <v>79</v>
      </c>
      <c r="AF33" s="40" t="s">
        <v>178</v>
      </c>
      <c r="AG33" s="40" t="s">
        <v>220</v>
      </c>
      <c r="AH33" s="40" t="s">
        <v>173</v>
      </c>
      <c r="AI33" s="40" t="s">
        <v>176</v>
      </c>
      <c r="AJ33" s="40" t="s">
        <v>176</v>
      </c>
      <c r="AK33" s="40" t="s">
        <v>176</v>
      </c>
    </row>
    <row r="34" spans="1:37" hidden="1">
      <c r="A34" s="39">
        <v>19</v>
      </c>
      <c r="B34" s="40" t="s">
        <v>155</v>
      </c>
      <c r="C34" s="40" t="s">
        <v>156</v>
      </c>
      <c r="D34" s="40" t="s">
        <v>184</v>
      </c>
      <c r="E34" s="40" t="s">
        <v>142</v>
      </c>
      <c r="F34" s="40" t="s">
        <v>155</v>
      </c>
      <c r="G34" s="40" t="s">
        <v>17</v>
      </c>
      <c r="H34" s="40" t="s">
        <v>155</v>
      </c>
      <c r="I34" s="40" t="s">
        <v>157</v>
      </c>
      <c r="J34" s="40" t="s">
        <v>242</v>
      </c>
      <c r="K34" s="40" t="s">
        <v>159</v>
      </c>
      <c r="L34" s="40" t="s">
        <v>160</v>
      </c>
      <c r="M34" s="40" t="s">
        <v>243</v>
      </c>
      <c r="N34" s="40" t="s">
        <v>244</v>
      </c>
      <c r="O34" s="40" t="s">
        <v>244</v>
      </c>
      <c r="P34" s="40" t="s">
        <v>163</v>
      </c>
      <c r="Q34" s="40" t="s">
        <v>245</v>
      </c>
      <c r="R34" s="41" t="s">
        <v>183</v>
      </c>
      <c r="S34" s="40" t="s">
        <v>165</v>
      </c>
      <c r="T34" s="40" t="s">
        <v>183</v>
      </c>
      <c r="U34" s="40" t="s">
        <v>165</v>
      </c>
      <c r="V34" s="40" t="s">
        <v>166</v>
      </c>
      <c r="W34" s="40"/>
      <c r="X34" s="40" t="s">
        <v>169</v>
      </c>
      <c r="Y34" s="40" t="s">
        <v>246</v>
      </c>
      <c r="Z34" s="40" t="s">
        <v>163</v>
      </c>
      <c r="AA34" s="40" t="s">
        <v>171</v>
      </c>
      <c r="AB34" s="40" t="s">
        <v>172</v>
      </c>
      <c r="AC34" s="40">
        <v>100</v>
      </c>
      <c r="AD34" s="40" t="s">
        <v>173</v>
      </c>
      <c r="AE34" s="40" t="s">
        <v>174</v>
      </c>
      <c r="AF34" s="40" t="s">
        <v>175</v>
      </c>
      <c r="AG34" s="40" t="s">
        <v>163</v>
      </c>
      <c r="AH34" s="40" t="s">
        <v>163</v>
      </c>
      <c r="AI34" s="40" t="s">
        <v>163</v>
      </c>
      <c r="AJ34" s="40" t="s">
        <v>163</v>
      </c>
      <c r="AK34" s="40" t="s">
        <v>163</v>
      </c>
    </row>
    <row r="35" spans="1:37" hidden="1">
      <c r="A35" s="39">
        <v>19</v>
      </c>
      <c r="B35" s="40" t="s">
        <v>155</v>
      </c>
      <c r="C35" s="40" t="s">
        <v>156</v>
      </c>
      <c r="D35" s="40" t="s">
        <v>184</v>
      </c>
      <c r="E35" s="40" t="s">
        <v>142</v>
      </c>
      <c r="F35" s="40" t="s">
        <v>155</v>
      </c>
      <c r="G35" s="40" t="s">
        <v>17</v>
      </c>
      <c r="H35" s="40" t="s">
        <v>155</v>
      </c>
      <c r="I35" s="40" t="s">
        <v>157</v>
      </c>
      <c r="J35" s="40" t="s">
        <v>242</v>
      </c>
      <c r="K35" s="40" t="s">
        <v>159</v>
      </c>
      <c r="L35" s="40" t="s">
        <v>160</v>
      </c>
      <c r="M35" s="40" t="s">
        <v>243</v>
      </c>
      <c r="N35" s="40" t="s">
        <v>244</v>
      </c>
      <c r="O35" s="40" t="s">
        <v>244</v>
      </c>
      <c r="P35" s="40" t="s">
        <v>163</v>
      </c>
      <c r="Q35" s="40" t="s">
        <v>245</v>
      </c>
      <c r="R35" s="41" t="s">
        <v>183</v>
      </c>
      <c r="S35" s="40" t="s">
        <v>165</v>
      </c>
      <c r="T35" s="40" t="s">
        <v>183</v>
      </c>
      <c r="U35" s="40" t="s">
        <v>165</v>
      </c>
      <c r="V35" s="40" t="s">
        <v>166</v>
      </c>
      <c r="W35" s="40"/>
      <c r="X35" s="40" t="s">
        <v>169</v>
      </c>
      <c r="Y35" s="40" t="s">
        <v>246</v>
      </c>
      <c r="Z35" s="40" t="s">
        <v>163</v>
      </c>
      <c r="AA35" s="40" t="s">
        <v>177</v>
      </c>
      <c r="AB35" s="40" t="s">
        <v>176</v>
      </c>
      <c r="AC35" s="40">
        <v>100</v>
      </c>
      <c r="AD35" s="40" t="s">
        <v>173</v>
      </c>
      <c r="AE35" s="40" t="s">
        <v>79</v>
      </c>
      <c r="AF35" s="40" t="s">
        <v>178</v>
      </c>
      <c r="AG35" s="40" t="s">
        <v>163</v>
      </c>
      <c r="AH35" s="40" t="s">
        <v>163</v>
      </c>
      <c r="AI35" s="40" t="s">
        <v>163</v>
      </c>
      <c r="AJ35" s="40" t="s">
        <v>163</v>
      </c>
      <c r="AK35" s="40" t="s">
        <v>163</v>
      </c>
    </row>
    <row r="36" spans="1:37" hidden="1">
      <c r="A36" s="39">
        <v>20</v>
      </c>
      <c r="B36" s="40" t="s">
        <v>155</v>
      </c>
      <c r="C36" s="40" t="s">
        <v>156</v>
      </c>
      <c r="D36" s="40" t="s">
        <v>184</v>
      </c>
      <c r="E36" s="40" t="s">
        <v>142</v>
      </c>
      <c r="F36" s="40" t="s">
        <v>155</v>
      </c>
      <c r="G36" s="40" t="s">
        <v>17</v>
      </c>
      <c r="H36" s="40" t="s">
        <v>179</v>
      </c>
      <c r="I36" s="40" t="s">
        <v>157</v>
      </c>
      <c r="J36" s="40" t="s">
        <v>247</v>
      </c>
      <c r="K36" s="40" t="s">
        <v>159</v>
      </c>
      <c r="L36" s="40" t="s">
        <v>160</v>
      </c>
      <c r="M36" s="40" t="s">
        <v>248</v>
      </c>
      <c r="N36" s="40" t="s">
        <v>249</v>
      </c>
      <c r="O36" s="40" t="s">
        <v>249</v>
      </c>
      <c r="P36" s="40" t="s">
        <v>163</v>
      </c>
      <c r="Q36" s="40" t="s">
        <v>203</v>
      </c>
      <c r="R36" s="41" t="s">
        <v>183</v>
      </c>
      <c r="S36" s="40" t="s">
        <v>165</v>
      </c>
      <c r="T36" s="40" t="s">
        <v>183</v>
      </c>
      <c r="U36" s="40" t="s">
        <v>165</v>
      </c>
      <c r="V36" s="40" t="s">
        <v>165</v>
      </c>
      <c r="W36" s="40"/>
      <c r="X36" s="40" t="s">
        <v>169</v>
      </c>
      <c r="Y36" s="40" t="s">
        <v>246</v>
      </c>
      <c r="Z36" s="40" t="s">
        <v>163</v>
      </c>
      <c r="AA36" s="40" t="s">
        <v>177</v>
      </c>
      <c r="AB36" s="40" t="s">
        <v>176</v>
      </c>
      <c r="AC36" s="40">
        <v>100</v>
      </c>
      <c r="AD36" s="40" t="s">
        <v>173</v>
      </c>
      <c r="AE36" s="40" t="s">
        <v>79</v>
      </c>
      <c r="AF36" s="40" t="s">
        <v>178</v>
      </c>
      <c r="AG36" s="40" t="s">
        <v>163</v>
      </c>
      <c r="AH36" s="40" t="s">
        <v>163</v>
      </c>
      <c r="AI36" s="40" t="s">
        <v>163</v>
      </c>
      <c r="AJ36" s="40" t="s">
        <v>163</v>
      </c>
      <c r="AK36" s="40" t="s">
        <v>163</v>
      </c>
    </row>
    <row r="37" spans="1:37" hidden="1">
      <c r="A37" s="39">
        <v>21</v>
      </c>
      <c r="B37" s="40" t="s">
        <v>155</v>
      </c>
      <c r="C37" s="40" t="s">
        <v>156</v>
      </c>
      <c r="D37" s="40" t="s">
        <v>184</v>
      </c>
      <c r="E37" s="40" t="s">
        <v>142</v>
      </c>
      <c r="F37" s="40" t="s">
        <v>155</v>
      </c>
      <c r="G37" s="40" t="s">
        <v>17</v>
      </c>
      <c r="H37" s="40" t="s">
        <v>184</v>
      </c>
      <c r="I37" s="40" t="s">
        <v>157</v>
      </c>
      <c r="J37" s="40" t="s">
        <v>250</v>
      </c>
      <c r="K37" s="40" t="s">
        <v>159</v>
      </c>
      <c r="L37" s="40" t="s">
        <v>160</v>
      </c>
      <c r="M37" s="40" t="s">
        <v>251</v>
      </c>
      <c r="N37" s="40" t="s">
        <v>252</v>
      </c>
      <c r="O37" s="40" t="s">
        <v>252</v>
      </c>
      <c r="P37" s="40" t="s">
        <v>163</v>
      </c>
      <c r="Q37" s="40" t="s">
        <v>253</v>
      </c>
      <c r="R37" s="41" t="s">
        <v>183</v>
      </c>
      <c r="S37" s="40" t="s">
        <v>165</v>
      </c>
      <c r="T37" s="40" t="s">
        <v>183</v>
      </c>
      <c r="U37" s="40" t="s">
        <v>165</v>
      </c>
      <c r="V37" s="40" t="s">
        <v>183</v>
      </c>
      <c r="W37" s="40"/>
      <c r="X37" s="40" t="s">
        <v>169</v>
      </c>
      <c r="Y37" s="40" t="s">
        <v>246</v>
      </c>
      <c r="Z37" s="40" t="s">
        <v>163</v>
      </c>
      <c r="AA37" s="40" t="s">
        <v>177</v>
      </c>
      <c r="AB37" s="40" t="s">
        <v>176</v>
      </c>
      <c r="AC37" s="40">
        <v>0</v>
      </c>
      <c r="AD37" s="40" t="s">
        <v>173</v>
      </c>
      <c r="AE37" s="40" t="s">
        <v>79</v>
      </c>
      <c r="AF37" s="40" t="s">
        <v>178</v>
      </c>
      <c r="AG37" s="40" t="s">
        <v>163</v>
      </c>
      <c r="AH37" s="40" t="s">
        <v>163</v>
      </c>
      <c r="AI37" s="40" t="s">
        <v>163</v>
      </c>
      <c r="AJ37" s="40" t="s">
        <v>163</v>
      </c>
      <c r="AK37" s="40" t="s">
        <v>163</v>
      </c>
    </row>
    <row r="38" spans="1:37" hidden="1">
      <c r="A38" s="39">
        <v>22</v>
      </c>
      <c r="B38" s="40" t="s">
        <v>155</v>
      </c>
      <c r="C38" s="40" t="s">
        <v>156</v>
      </c>
      <c r="D38" s="40" t="s">
        <v>184</v>
      </c>
      <c r="E38" s="40" t="s">
        <v>142</v>
      </c>
      <c r="F38" s="40" t="s">
        <v>179</v>
      </c>
      <c r="G38" s="40" t="s">
        <v>17</v>
      </c>
      <c r="H38" s="40" t="s">
        <v>155</v>
      </c>
      <c r="I38" s="40" t="s">
        <v>157</v>
      </c>
      <c r="J38" s="40" t="s">
        <v>254</v>
      </c>
      <c r="K38" s="40" t="s">
        <v>159</v>
      </c>
      <c r="L38" s="40" t="s">
        <v>160</v>
      </c>
      <c r="M38" s="40" t="s">
        <v>255</v>
      </c>
      <c r="N38" s="40" t="s">
        <v>256</v>
      </c>
      <c r="O38" s="40" t="s">
        <v>256</v>
      </c>
      <c r="P38" s="40" t="s">
        <v>163</v>
      </c>
      <c r="Q38" s="40" t="s">
        <v>164</v>
      </c>
      <c r="R38" s="41" t="s">
        <v>183</v>
      </c>
      <c r="S38" s="40" t="s">
        <v>165</v>
      </c>
      <c r="T38" s="40" t="s">
        <v>183</v>
      </c>
      <c r="U38" s="40" t="s">
        <v>183</v>
      </c>
      <c r="V38" s="40" t="s">
        <v>165</v>
      </c>
      <c r="W38" s="40"/>
      <c r="X38" s="40" t="s">
        <v>169</v>
      </c>
      <c r="Y38" s="40" t="s">
        <v>246</v>
      </c>
      <c r="Z38" s="40" t="s">
        <v>163</v>
      </c>
      <c r="AA38" s="40" t="s">
        <v>171</v>
      </c>
      <c r="AB38" s="40" t="s">
        <v>172</v>
      </c>
      <c r="AC38" s="40">
        <v>100</v>
      </c>
      <c r="AD38" s="40" t="s">
        <v>173</v>
      </c>
      <c r="AE38" s="40" t="s">
        <v>174</v>
      </c>
      <c r="AF38" s="40" t="s">
        <v>175</v>
      </c>
      <c r="AG38" s="40" t="s">
        <v>163</v>
      </c>
      <c r="AH38" s="40" t="s">
        <v>163</v>
      </c>
      <c r="AI38" s="40" t="s">
        <v>163</v>
      </c>
      <c r="AJ38" s="40" t="s">
        <v>163</v>
      </c>
      <c r="AK38" s="40" t="s">
        <v>163</v>
      </c>
    </row>
    <row r="39" spans="1:37" hidden="1">
      <c r="A39" s="39">
        <v>22</v>
      </c>
      <c r="B39" s="40" t="s">
        <v>155</v>
      </c>
      <c r="C39" s="40" t="s">
        <v>156</v>
      </c>
      <c r="D39" s="40" t="s">
        <v>184</v>
      </c>
      <c r="E39" s="40" t="s">
        <v>142</v>
      </c>
      <c r="F39" s="40" t="s">
        <v>179</v>
      </c>
      <c r="G39" s="40" t="s">
        <v>17</v>
      </c>
      <c r="H39" s="40" t="s">
        <v>155</v>
      </c>
      <c r="I39" s="40" t="s">
        <v>157</v>
      </c>
      <c r="J39" s="40" t="s">
        <v>254</v>
      </c>
      <c r="K39" s="40" t="s">
        <v>159</v>
      </c>
      <c r="L39" s="40" t="s">
        <v>160</v>
      </c>
      <c r="M39" s="40" t="s">
        <v>255</v>
      </c>
      <c r="N39" s="40" t="s">
        <v>256</v>
      </c>
      <c r="O39" s="40" t="s">
        <v>256</v>
      </c>
      <c r="P39" s="40" t="s">
        <v>163</v>
      </c>
      <c r="Q39" s="40" t="s">
        <v>164</v>
      </c>
      <c r="R39" s="41" t="s">
        <v>183</v>
      </c>
      <c r="S39" s="40" t="s">
        <v>165</v>
      </c>
      <c r="T39" s="40" t="s">
        <v>183</v>
      </c>
      <c r="U39" s="40" t="s">
        <v>183</v>
      </c>
      <c r="V39" s="40" t="s">
        <v>165</v>
      </c>
      <c r="W39" s="40"/>
      <c r="X39" s="40" t="s">
        <v>169</v>
      </c>
      <c r="Y39" s="40" t="s">
        <v>246</v>
      </c>
      <c r="Z39" s="40" t="s">
        <v>163</v>
      </c>
      <c r="AA39" s="40" t="s">
        <v>177</v>
      </c>
      <c r="AB39" s="40" t="s">
        <v>176</v>
      </c>
      <c r="AC39" s="40">
        <v>0</v>
      </c>
      <c r="AD39" s="40" t="s">
        <v>173</v>
      </c>
      <c r="AE39" s="40" t="s">
        <v>79</v>
      </c>
      <c r="AF39" s="40" t="s">
        <v>178</v>
      </c>
      <c r="AG39" s="40" t="s">
        <v>163</v>
      </c>
      <c r="AH39" s="40" t="s">
        <v>163</v>
      </c>
      <c r="AI39" s="40" t="s">
        <v>163</v>
      </c>
      <c r="AJ39" s="40" t="s">
        <v>163</v>
      </c>
      <c r="AK39" s="40" t="s">
        <v>163</v>
      </c>
    </row>
    <row r="40" spans="1:37" hidden="1">
      <c r="A40" s="39">
        <v>23</v>
      </c>
      <c r="B40" s="40" t="s">
        <v>155</v>
      </c>
      <c r="C40" s="40" t="s">
        <v>156</v>
      </c>
      <c r="D40" s="40" t="s">
        <v>184</v>
      </c>
      <c r="E40" s="40" t="s">
        <v>142</v>
      </c>
      <c r="F40" s="40" t="s">
        <v>179</v>
      </c>
      <c r="G40" s="40" t="s">
        <v>17</v>
      </c>
      <c r="H40" s="40" t="s">
        <v>179</v>
      </c>
      <c r="I40" s="40" t="s">
        <v>157</v>
      </c>
      <c r="J40" s="40" t="s">
        <v>257</v>
      </c>
      <c r="K40" s="40" t="s">
        <v>159</v>
      </c>
      <c r="L40" s="40" t="s">
        <v>160</v>
      </c>
      <c r="M40" s="40" t="s">
        <v>258</v>
      </c>
      <c r="N40" s="40" t="s">
        <v>259</v>
      </c>
      <c r="O40" s="40" t="s">
        <v>259</v>
      </c>
      <c r="P40" s="40" t="s">
        <v>163</v>
      </c>
      <c r="Q40" s="40" t="s">
        <v>164</v>
      </c>
      <c r="R40" s="41" t="s">
        <v>183</v>
      </c>
      <c r="S40" s="40" t="s">
        <v>165</v>
      </c>
      <c r="T40" s="40" t="s">
        <v>183</v>
      </c>
      <c r="U40" s="40" t="s">
        <v>183</v>
      </c>
      <c r="V40" s="40" t="s">
        <v>183</v>
      </c>
      <c r="W40" s="40"/>
      <c r="X40" s="40" t="s">
        <v>169</v>
      </c>
      <c r="Y40" s="40" t="s">
        <v>246</v>
      </c>
      <c r="Z40" s="40" t="s">
        <v>163</v>
      </c>
      <c r="AA40" s="40" t="s">
        <v>177</v>
      </c>
      <c r="AB40" s="40" t="s">
        <v>176</v>
      </c>
      <c r="AC40" s="40">
        <v>0</v>
      </c>
      <c r="AD40" s="40" t="s">
        <v>173</v>
      </c>
      <c r="AE40" s="40" t="s">
        <v>79</v>
      </c>
      <c r="AF40" s="40" t="s">
        <v>178</v>
      </c>
      <c r="AG40" s="40" t="s">
        <v>163</v>
      </c>
      <c r="AH40" s="40" t="s">
        <v>163</v>
      </c>
      <c r="AI40" s="40" t="s">
        <v>163</v>
      </c>
      <c r="AJ40" s="40" t="s">
        <v>163</v>
      </c>
      <c r="AK40" s="40" t="s">
        <v>163</v>
      </c>
    </row>
    <row r="41" spans="1:37" hidden="1">
      <c r="A41" s="39">
        <v>24</v>
      </c>
      <c r="B41" s="40" t="s">
        <v>155</v>
      </c>
      <c r="C41" s="40" t="s">
        <v>156</v>
      </c>
      <c r="D41" s="40" t="s">
        <v>184</v>
      </c>
      <c r="E41" s="40" t="s">
        <v>142</v>
      </c>
      <c r="F41" s="40" t="s">
        <v>179</v>
      </c>
      <c r="G41" s="40" t="s">
        <v>17</v>
      </c>
      <c r="H41" s="40" t="s">
        <v>184</v>
      </c>
      <c r="I41" s="40" t="s">
        <v>157</v>
      </c>
      <c r="J41" s="40" t="s">
        <v>260</v>
      </c>
      <c r="K41" s="40" t="s">
        <v>159</v>
      </c>
      <c r="L41" s="40" t="s">
        <v>160</v>
      </c>
      <c r="M41" s="40" t="s">
        <v>261</v>
      </c>
      <c r="N41" s="40" t="s">
        <v>262</v>
      </c>
      <c r="O41" s="40" t="s">
        <v>262</v>
      </c>
      <c r="P41" s="40" t="s">
        <v>163</v>
      </c>
      <c r="Q41" s="40" t="s">
        <v>230</v>
      </c>
      <c r="R41" s="41" t="s">
        <v>183</v>
      </c>
      <c r="S41" s="40" t="s">
        <v>165</v>
      </c>
      <c r="T41" s="40" t="s">
        <v>183</v>
      </c>
      <c r="U41" s="40" t="s">
        <v>183</v>
      </c>
      <c r="V41" s="40" t="s">
        <v>241</v>
      </c>
      <c r="W41" s="40"/>
      <c r="X41" s="40" t="s">
        <v>169</v>
      </c>
      <c r="Y41" s="40" t="s">
        <v>246</v>
      </c>
      <c r="Z41" s="40" t="s">
        <v>163</v>
      </c>
      <c r="AA41" s="40" t="s">
        <v>177</v>
      </c>
      <c r="AB41" s="40" t="s">
        <v>176</v>
      </c>
      <c r="AC41" s="40">
        <v>-100</v>
      </c>
      <c r="AD41" s="40" t="s">
        <v>173</v>
      </c>
      <c r="AE41" s="40" t="s">
        <v>79</v>
      </c>
      <c r="AF41" s="40" t="s">
        <v>178</v>
      </c>
      <c r="AG41" s="40" t="s">
        <v>163</v>
      </c>
      <c r="AH41" s="40" t="s">
        <v>163</v>
      </c>
      <c r="AI41" s="40" t="s">
        <v>163</v>
      </c>
      <c r="AJ41" s="40" t="s">
        <v>163</v>
      </c>
      <c r="AK41" s="40" t="s">
        <v>163</v>
      </c>
    </row>
    <row r="42" spans="1:37">
      <c r="A42" s="39">
        <v>24</v>
      </c>
      <c r="B42" s="40" t="s">
        <v>155</v>
      </c>
      <c r="C42" s="40" t="s">
        <v>156</v>
      </c>
      <c r="D42" s="40" t="s">
        <v>184</v>
      </c>
      <c r="E42" s="40" t="s">
        <v>142</v>
      </c>
      <c r="F42" s="40" t="s">
        <v>179</v>
      </c>
      <c r="G42" s="40" t="s">
        <v>17</v>
      </c>
      <c r="H42" s="40" t="s">
        <v>184</v>
      </c>
      <c r="I42" s="40" t="s">
        <v>157</v>
      </c>
      <c r="J42" s="40" t="s">
        <v>260</v>
      </c>
      <c r="K42" s="40" t="s">
        <v>159</v>
      </c>
      <c r="L42" s="40" t="s">
        <v>160</v>
      </c>
      <c r="M42" s="40" t="s">
        <v>261</v>
      </c>
      <c r="N42" s="40" t="s">
        <v>262</v>
      </c>
      <c r="O42" s="40" t="s">
        <v>262</v>
      </c>
      <c r="P42" s="40" t="s">
        <v>163</v>
      </c>
      <c r="Q42" s="40" t="s">
        <v>230</v>
      </c>
      <c r="R42" s="41" t="s">
        <v>183</v>
      </c>
      <c r="S42" s="40" t="s">
        <v>165</v>
      </c>
      <c r="T42" s="40" t="s">
        <v>183</v>
      </c>
      <c r="U42" s="40" t="s">
        <v>183</v>
      </c>
      <c r="V42" s="40" t="s">
        <v>241</v>
      </c>
      <c r="W42" s="40">
        <f>U42-V42</f>
        <v>-50</v>
      </c>
      <c r="X42" s="40" t="s">
        <v>169</v>
      </c>
      <c r="Y42" s="40" t="s">
        <v>246</v>
      </c>
      <c r="Z42" s="40" t="s">
        <v>246</v>
      </c>
      <c r="AA42" s="40" t="s">
        <v>199</v>
      </c>
      <c r="AB42" s="40" t="s">
        <v>176</v>
      </c>
      <c r="AC42" s="40">
        <v>100</v>
      </c>
      <c r="AD42" s="40" t="s">
        <v>173</v>
      </c>
      <c r="AE42" s="40" t="s">
        <v>83</v>
      </c>
      <c r="AF42" s="40" t="s">
        <v>178</v>
      </c>
      <c r="AG42" s="40" t="s">
        <v>163</v>
      </c>
      <c r="AH42" s="40" t="s">
        <v>163</v>
      </c>
      <c r="AI42" s="40" t="s">
        <v>163</v>
      </c>
      <c r="AJ42" s="40" t="s">
        <v>163</v>
      </c>
      <c r="AK42" s="40" t="s">
        <v>163</v>
      </c>
    </row>
    <row r="43" spans="1:37" hidden="1">
      <c r="A43" s="39">
        <v>25</v>
      </c>
      <c r="B43" s="40" t="s">
        <v>155</v>
      </c>
      <c r="C43" s="40" t="s">
        <v>156</v>
      </c>
      <c r="D43" s="40" t="s">
        <v>184</v>
      </c>
      <c r="E43" s="40" t="s">
        <v>142</v>
      </c>
      <c r="F43" s="40" t="s">
        <v>184</v>
      </c>
      <c r="G43" s="40" t="s">
        <v>17</v>
      </c>
      <c r="H43" s="40" t="s">
        <v>155</v>
      </c>
      <c r="I43" s="40" t="s">
        <v>157</v>
      </c>
      <c r="J43" s="40" t="s">
        <v>263</v>
      </c>
      <c r="K43" s="40" t="s">
        <v>159</v>
      </c>
      <c r="L43" s="40" t="s">
        <v>160</v>
      </c>
      <c r="M43" s="40" t="s">
        <v>264</v>
      </c>
      <c r="N43" s="40" t="s">
        <v>265</v>
      </c>
      <c r="O43" s="40" t="s">
        <v>265</v>
      </c>
      <c r="P43" s="40" t="s">
        <v>163</v>
      </c>
      <c r="Q43" s="40" t="s">
        <v>164</v>
      </c>
      <c r="R43" s="41" t="s">
        <v>183</v>
      </c>
      <c r="S43" s="40" t="s">
        <v>165</v>
      </c>
      <c r="T43" s="40" t="s">
        <v>183</v>
      </c>
      <c r="U43" s="40" t="s">
        <v>241</v>
      </c>
      <c r="V43" s="40" t="s">
        <v>183</v>
      </c>
      <c r="W43" s="40"/>
      <c r="X43" s="40" t="s">
        <v>169</v>
      </c>
      <c r="Y43" s="40" t="s">
        <v>246</v>
      </c>
      <c r="Z43" s="40" t="s">
        <v>163</v>
      </c>
      <c r="AA43" s="40" t="s">
        <v>171</v>
      </c>
      <c r="AB43" s="40" t="s">
        <v>172</v>
      </c>
      <c r="AC43" s="40">
        <v>100</v>
      </c>
      <c r="AD43" s="40" t="s">
        <v>173</v>
      </c>
      <c r="AE43" s="40" t="s">
        <v>174</v>
      </c>
      <c r="AF43" s="40" t="s">
        <v>175</v>
      </c>
      <c r="AG43" s="40" t="s">
        <v>163</v>
      </c>
      <c r="AH43" s="40" t="s">
        <v>163</v>
      </c>
      <c r="AI43" s="40" t="s">
        <v>163</v>
      </c>
      <c r="AJ43" s="40" t="s">
        <v>163</v>
      </c>
      <c r="AK43" s="40" t="s">
        <v>163</v>
      </c>
    </row>
    <row r="44" spans="1:37">
      <c r="A44" s="39">
        <v>25</v>
      </c>
      <c r="B44" s="40" t="s">
        <v>155</v>
      </c>
      <c r="C44" s="40" t="s">
        <v>156</v>
      </c>
      <c r="D44" s="40" t="s">
        <v>184</v>
      </c>
      <c r="E44" s="40" t="s">
        <v>142</v>
      </c>
      <c r="F44" s="40" t="s">
        <v>184</v>
      </c>
      <c r="G44" s="40" t="s">
        <v>17</v>
      </c>
      <c r="H44" s="40" t="s">
        <v>155</v>
      </c>
      <c r="I44" s="40" t="s">
        <v>157</v>
      </c>
      <c r="J44" s="40" t="s">
        <v>263</v>
      </c>
      <c r="K44" s="40" t="s">
        <v>159</v>
      </c>
      <c r="L44" s="40" t="s">
        <v>160</v>
      </c>
      <c r="M44" s="40" t="s">
        <v>264</v>
      </c>
      <c r="N44" s="40" t="s">
        <v>265</v>
      </c>
      <c r="O44" s="40" t="s">
        <v>265</v>
      </c>
      <c r="P44" s="40" t="s">
        <v>163</v>
      </c>
      <c r="Q44" s="40" t="s">
        <v>164</v>
      </c>
      <c r="R44" s="41" t="s">
        <v>183</v>
      </c>
      <c r="S44" s="40" t="s">
        <v>165</v>
      </c>
      <c r="T44" s="40" t="s">
        <v>183</v>
      </c>
      <c r="U44" s="40" t="s">
        <v>241</v>
      </c>
      <c r="V44" s="40" t="s">
        <v>183</v>
      </c>
      <c r="W44" s="40">
        <f>U44-V44</f>
        <v>50</v>
      </c>
      <c r="X44" s="40" t="s">
        <v>169</v>
      </c>
      <c r="Y44" s="40" t="s">
        <v>246</v>
      </c>
      <c r="Z44" s="40" t="s">
        <v>246</v>
      </c>
      <c r="AA44" s="40" t="s">
        <v>199</v>
      </c>
      <c r="AB44" s="40" t="s">
        <v>176</v>
      </c>
      <c r="AC44" s="40">
        <v>100</v>
      </c>
      <c r="AD44" s="40" t="s">
        <v>173</v>
      </c>
      <c r="AE44" s="40" t="s">
        <v>83</v>
      </c>
      <c r="AF44" s="40" t="s">
        <v>178</v>
      </c>
      <c r="AG44" s="40" t="s">
        <v>163</v>
      </c>
      <c r="AH44" s="40" t="s">
        <v>163</v>
      </c>
      <c r="AI44" s="40" t="s">
        <v>163</v>
      </c>
      <c r="AJ44" s="40" t="s">
        <v>163</v>
      </c>
      <c r="AK44" s="40" t="s">
        <v>163</v>
      </c>
    </row>
    <row r="45" spans="1:37" hidden="1">
      <c r="A45" s="39">
        <v>25</v>
      </c>
      <c r="B45" s="40" t="s">
        <v>155</v>
      </c>
      <c r="C45" s="40" t="s">
        <v>156</v>
      </c>
      <c r="D45" s="40" t="s">
        <v>184</v>
      </c>
      <c r="E45" s="40" t="s">
        <v>142</v>
      </c>
      <c r="F45" s="40" t="s">
        <v>184</v>
      </c>
      <c r="G45" s="40" t="s">
        <v>17</v>
      </c>
      <c r="H45" s="40" t="s">
        <v>155</v>
      </c>
      <c r="I45" s="40" t="s">
        <v>157</v>
      </c>
      <c r="J45" s="40" t="s">
        <v>263</v>
      </c>
      <c r="K45" s="40" t="s">
        <v>159</v>
      </c>
      <c r="L45" s="40" t="s">
        <v>160</v>
      </c>
      <c r="M45" s="40" t="s">
        <v>264</v>
      </c>
      <c r="N45" s="40" t="s">
        <v>265</v>
      </c>
      <c r="O45" s="40" t="s">
        <v>265</v>
      </c>
      <c r="P45" s="40" t="s">
        <v>163</v>
      </c>
      <c r="Q45" s="40" t="s">
        <v>164</v>
      </c>
      <c r="R45" s="41" t="s">
        <v>183</v>
      </c>
      <c r="S45" s="40" t="s">
        <v>165</v>
      </c>
      <c r="T45" s="40" t="s">
        <v>183</v>
      </c>
      <c r="U45" s="40" t="s">
        <v>241</v>
      </c>
      <c r="V45" s="40" t="s">
        <v>183</v>
      </c>
      <c r="W45" s="40"/>
      <c r="X45" s="40" t="s">
        <v>169</v>
      </c>
      <c r="Y45" s="40" t="s">
        <v>246</v>
      </c>
      <c r="Z45" s="40" t="s">
        <v>163</v>
      </c>
      <c r="AA45" s="40" t="s">
        <v>177</v>
      </c>
      <c r="AB45" s="40" t="s">
        <v>176</v>
      </c>
      <c r="AC45" s="40">
        <v>-100</v>
      </c>
      <c r="AD45" s="40" t="s">
        <v>173</v>
      </c>
      <c r="AE45" s="40" t="s">
        <v>79</v>
      </c>
      <c r="AF45" s="40" t="s">
        <v>178</v>
      </c>
      <c r="AG45" s="40" t="s">
        <v>163</v>
      </c>
      <c r="AH45" s="40" t="s">
        <v>163</v>
      </c>
      <c r="AI45" s="40" t="s">
        <v>163</v>
      </c>
      <c r="AJ45" s="40" t="s">
        <v>163</v>
      </c>
      <c r="AK45" s="40" t="s">
        <v>163</v>
      </c>
    </row>
    <row r="46" spans="1:37">
      <c r="A46" s="39">
        <v>26</v>
      </c>
      <c r="B46" s="40" t="s">
        <v>155</v>
      </c>
      <c r="C46" s="40" t="s">
        <v>156</v>
      </c>
      <c r="D46" s="40" t="s">
        <v>184</v>
      </c>
      <c r="E46" s="40" t="s">
        <v>142</v>
      </c>
      <c r="F46" s="40" t="s">
        <v>184</v>
      </c>
      <c r="G46" s="40" t="s">
        <v>17</v>
      </c>
      <c r="H46" s="40" t="s">
        <v>179</v>
      </c>
      <c r="I46" s="40" t="s">
        <v>157</v>
      </c>
      <c r="J46" s="40" t="s">
        <v>266</v>
      </c>
      <c r="K46" s="40" t="s">
        <v>159</v>
      </c>
      <c r="L46" s="40" t="s">
        <v>160</v>
      </c>
      <c r="M46" s="40" t="s">
        <v>267</v>
      </c>
      <c r="N46" s="40" t="s">
        <v>268</v>
      </c>
      <c r="O46" s="40" t="s">
        <v>268</v>
      </c>
      <c r="P46" s="40" t="s">
        <v>163</v>
      </c>
      <c r="Q46" s="40" t="s">
        <v>164</v>
      </c>
      <c r="R46" s="41" t="s">
        <v>183</v>
      </c>
      <c r="S46" s="40" t="s">
        <v>165</v>
      </c>
      <c r="T46" s="40" t="s">
        <v>183</v>
      </c>
      <c r="U46" s="40" t="s">
        <v>241</v>
      </c>
      <c r="V46" s="40" t="s">
        <v>241</v>
      </c>
      <c r="W46" s="40">
        <f>U46-V46</f>
        <v>0</v>
      </c>
      <c r="X46" s="40" t="s">
        <v>169</v>
      </c>
      <c r="Y46" s="40" t="s">
        <v>246</v>
      </c>
      <c r="Z46" s="40" t="s">
        <v>246</v>
      </c>
      <c r="AA46" s="40" t="s">
        <v>199</v>
      </c>
      <c r="AB46" s="40" t="s">
        <v>176</v>
      </c>
      <c r="AC46" s="40">
        <v>100</v>
      </c>
      <c r="AD46" s="40" t="s">
        <v>173</v>
      </c>
      <c r="AE46" s="40" t="s">
        <v>83</v>
      </c>
      <c r="AF46" s="40" t="s">
        <v>178</v>
      </c>
      <c r="AG46" s="40" t="s">
        <v>163</v>
      </c>
      <c r="AH46" s="40" t="s">
        <v>163</v>
      </c>
      <c r="AI46" s="40" t="s">
        <v>163</v>
      </c>
      <c r="AJ46" s="40" t="s">
        <v>163</v>
      </c>
      <c r="AK46" s="40" t="s">
        <v>163</v>
      </c>
    </row>
    <row r="47" spans="1:37" hidden="1">
      <c r="A47" s="39">
        <v>26</v>
      </c>
      <c r="B47" s="40" t="s">
        <v>155</v>
      </c>
      <c r="C47" s="40" t="s">
        <v>156</v>
      </c>
      <c r="D47" s="40" t="s">
        <v>184</v>
      </c>
      <c r="E47" s="40" t="s">
        <v>142</v>
      </c>
      <c r="F47" s="40" t="s">
        <v>184</v>
      </c>
      <c r="G47" s="40" t="s">
        <v>17</v>
      </c>
      <c r="H47" s="40" t="s">
        <v>179</v>
      </c>
      <c r="I47" s="40" t="s">
        <v>157</v>
      </c>
      <c r="J47" s="40" t="s">
        <v>266</v>
      </c>
      <c r="K47" s="40" t="s">
        <v>159</v>
      </c>
      <c r="L47" s="40" t="s">
        <v>160</v>
      </c>
      <c r="M47" s="40" t="s">
        <v>267</v>
      </c>
      <c r="N47" s="40" t="s">
        <v>268</v>
      </c>
      <c r="O47" s="40" t="s">
        <v>268</v>
      </c>
      <c r="P47" s="40" t="s">
        <v>163</v>
      </c>
      <c r="Q47" s="40" t="s">
        <v>164</v>
      </c>
      <c r="R47" s="41" t="s">
        <v>183</v>
      </c>
      <c r="S47" s="40" t="s">
        <v>165</v>
      </c>
      <c r="T47" s="40" t="s">
        <v>183</v>
      </c>
      <c r="U47" s="40" t="s">
        <v>241</v>
      </c>
      <c r="V47" s="40" t="s">
        <v>241</v>
      </c>
      <c r="W47" s="40"/>
      <c r="X47" s="40" t="s">
        <v>169</v>
      </c>
      <c r="Y47" s="40" t="s">
        <v>246</v>
      </c>
      <c r="Z47" s="40" t="s">
        <v>163</v>
      </c>
      <c r="AA47" s="40" t="s">
        <v>177</v>
      </c>
      <c r="AB47" s="40" t="s">
        <v>176</v>
      </c>
      <c r="AC47" s="40">
        <v>-100</v>
      </c>
      <c r="AD47" s="40" t="s">
        <v>173</v>
      </c>
      <c r="AE47" s="40" t="s">
        <v>79</v>
      </c>
      <c r="AF47" s="40" t="s">
        <v>178</v>
      </c>
      <c r="AG47" s="40" t="s">
        <v>163</v>
      </c>
      <c r="AH47" s="40" t="s">
        <v>163</v>
      </c>
      <c r="AI47" s="40" t="s">
        <v>163</v>
      </c>
      <c r="AJ47" s="40" t="s">
        <v>163</v>
      </c>
      <c r="AK47" s="40" t="s">
        <v>163</v>
      </c>
    </row>
    <row r="48" spans="1:37" hidden="1">
      <c r="A48" s="39">
        <v>27</v>
      </c>
      <c r="B48" s="40" t="s">
        <v>155</v>
      </c>
      <c r="C48" s="40" t="s">
        <v>156</v>
      </c>
      <c r="D48" s="40" t="s">
        <v>184</v>
      </c>
      <c r="E48" s="40" t="s">
        <v>142</v>
      </c>
      <c r="F48" s="40" t="s">
        <v>184</v>
      </c>
      <c r="G48" s="40" t="s">
        <v>17</v>
      </c>
      <c r="H48" s="40" t="s">
        <v>184</v>
      </c>
      <c r="I48" s="40" t="s">
        <v>157</v>
      </c>
      <c r="J48" s="40" t="s">
        <v>269</v>
      </c>
      <c r="K48" s="40" t="s">
        <v>159</v>
      </c>
      <c r="L48" s="40" t="s">
        <v>160</v>
      </c>
      <c r="M48" s="40" t="s">
        <v>270</v>
      </c>
      <c r="N48" s="40" t="s">
        <v>271</v>
      </c>
      <c r="O48" s="40" t="s">
        <v>271</v>
      </c>
      <c r="P48" s="40" t="s">
        <v>163</v>
      </c>
      <c r="Q48" s="40" t="s">
        <v>164</v>
      </c>
      <c r="R48" s="41" t="s">
        <v>183</v>
      </c>
      <c r="S48" s="40" t="s">
        <v>165</v>
      </c>
      <c r="T48" s="40" t="s">
        <v>183</v>
      </c>
      <c r="U48" s="40" t="s">
        <v>241</v>
      </c>
      <c r="V48" s="40" t="s">
        <v>188</v>
      </c>
      <c r="W48" s="40"/>
      <c r="X48" s="40" t="s">
        <v>169</v>
      </c>
      <c r="Y48" s="40" t="s">
        <v>246</v>
      </c>
      <c r="Z48" s="40" t="s">
        <v>163</v>
      </c>
      <c r="AA48" s="40" t="s">
        <v>177</v>
      </c>
      <c r="AB48" s="40" t="s">
        <v>176</v>
      </c>
      <c r="AC48" s="40">
        <v>-200</v>
      </c>
      <c r="AD48" s="40" t="s">
        <v>173</v>
      </c>
      <c r="AE48" s="40" t="s">
        <v>79</v>
      </c>
      <c r="AF48" s="40" t="s">
        <v>178</v>
      </c>
      <c r="AG48" s="40" t="s">
        <v>163</v>
      </c>
      <c r="AH48" s="40" t="s">
        <v>163</v>
      </c>
      <c r="AI48" s="40" t="s">
        <v>163</v>
      </c>
      <c r="AJ48" s="40" t="s">
        <v>163</v>
      </c>
      <c r="AK48" s="40" t="s">
        <v>163</v>
      </c>
    </row>
    <row r="49" spans="1:37">
      <c r="A49" s="39">
        <v>27</v>
      </c>
      <c r="B49" s="40" t="s">
        <v>155</v>
      </c>
      <c r="C49" s="40" t="s">
        <v>156</v>
      </c>
      <c r="D49" s="40" t="s">
        <v>184</v>
      </c>
      <c r="E49" s="40" t="s">
        <v>142</v>
      </c>
      <c r="F49" s="40" t="s">
        <v>184</v>
      </c>
      <c r="G49" s="40" t="s">
        <v>17</v>
      </c>
      <c r="H49" s="40" t="s">
        <v>184</v>
      </c>
      <c r="I49" s="40" t="s">
        <v>157</v>
      </c>
      <c r="J49" s="40" t="s">
        <v>269</v>
      </c>
      <c r="K49" s="40" t="s">
        <v>159</v>
      </c>
      <c r="L49" s="40" t="s">
        <v>160</v>
      </c>
      <c r="M49" s="40" t="s">
        <v>270</v>
      </c>
      <c r="N49" s="40" t="s">
        <v>271</v>
      </c>
      <c r="O49" s="40" t="s">
        <v>271</v>
      </c>
      <c r="P49" s="40" t="s">
        <v>163</v>
      </c>
      <c r="Q49" s="40" t="s">
        <v>164</v>
      </c>
      <c r="R49" s="41" t="s">
        <v>183</v>
      </c>
      <c r="S49" s="40" t="s">
        <v>165</v>
      </c>
      <c r="T49" s="40" t="s">
        <v>183</v>
      </c>
      <c r="U49" s="40" t="s">
        <v>241</v>
      </c>
      <c r="V49" s="40" t="s">
        <v>188</v>
      </c>
      <c r="W49" s="40">
        <f>U49-V49</f>
        <v>-50</v>
      </c>
      <c r="X49" s="40" t="s">
        <v>169</v>
      </c>
      <c r="Y49" s="40" t="s">
        <v>246</v>
      </c>
      <c r="Z49" s="40" t="s">
        <v>246</v>
      </c>
      <c r="AA49" s="40" t="s">
        <v>199</v>
      </c>
      <c r="AB49" s="40" t="s">
        <v>176</v>
      </c>
      <c r="AC49" s="40">
        <v>200</v>
      </c>
      <c r="AD49" s="40" t="s">
        <v>173</v>
      </c>
      <c r="AE49" s="40" t="s">
        <v>83</v>
      </c>
      <c r="AF49" s="40" t="s">
        <v>178</v>
      </c>
      <c r="AG49" s="40" t="s">
        <v>163</v>
      </c>
      <c r="AH49" s="40" t="s">
        <v>163</v>
      </c>
      <c r="AI49" s="40" t="s">
        <v>163</v>
      </c>
      <c r="AJ49" s="40" t="s">
        <v>163</v>
      </c>
      <c r="AK49" s="40" t="s">
        <v>163</v>
      </c>
    </row>
  </sheetData>
  <autoFilter ref="A1:AK49" xr:uid="{C382AE39-0D9A-42D1-933D-7B027A69C79C}">
    <filterColumn colId="30">
      <filters>
        <filter val="ミックス"/>
      </filters>
    </filterColumn>
  </autoFilter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5"/>
  <sheetViews>
    <sheetView topLeftCell="A382" zoomScale="85" zoomScaleNormal="85" workbookViewId="0">
      <selection activeCell="E400" sqref="E400"/>
    </sheetView>
  </sheetViews>
  <sheetFormatPr defaultRowHeight="13.5" outlineLevelRow="1"/>
  <cols>
    <col min="1" max="1" width="14.125" style="1" customWidth="1"/>
    <col min="2" max="2" width="35.875" style="1" bestFit="1" customWidth="1"/>
    <col min="3" max="3" width="5.5" style="1" bestFit="1" customWidth="1"/>
    <col min="4" max="4" width="54.625" style="1" bestFit="1" customWidth="1"/>
    <col min="5" max="5" width="7.125" style="1" bestFit="1" customWidth="1"/>
    <col min="6" max="6" width="25" style="1" customWidth="1"/>
    <col min="7" max="7" width="46.5" style="1" customWidth="1"/>
    <col min="8" max="16384" width="9" style="1"/>
  </cols>
  <sheetData>
    <row r="1" spans="1:7">
      <c r="A1" s="1" t="s">
        <v>272</v>
      </c>
    </row>
    <row r="3" spans="1:7">
      <c r="B3" s="7" t="s">
        <v>273</v>
      </c>
    </row>
    <row r="4" spans="1:7">
      <c r="B4" s="2" t="s">
        <v>274</v>
      </c>
      <c r="C4" s="2" t="s">
        <v>275</v>
      </c>
      <c r="D4" s="2" t="s">
        <v>3</v>
      </c>
      <c r="E4" s="2" t="s">
        <v>40</v>
      </c>
      <c r="F4" s="2" t="s">
        <v>6</v>
      </c>
      <c r="G4" s="2" t="s">
        <v>7</v>
      </c>
    </row>
    <row r="5" spans="1:7">
      <c r="B5" s="3" t="s">
        <v>276</v>
      </c>
      <c r="C5" s="4">
        <v>300</v>
      </c>
      <c r="D5" s="4"/>
      <c r="E5" s="2" t="s">
        <v>277</v>
      </c>
      <c r="F5" s="4"/>
      <c r="G5" s="4"/>
    </row>
    <row r="6" spans="1:7">
      <c r="B6" s="3" t="s">
        <v>278</v>
      </c>
      <c r="C6" s="4">
        <v>250</v>
      </c>
      <c r="D6" s="4"/>
      <c r="E6" s="4">
        <v>0</v>
      </c>
      <c r="F6" s="4"/>
      <c r="G6" s="4"/>
    </row>
    <row r="7" spans="1:7">
      <c r="B7" s="3" t="s">
        <v>279</v>
      </c>
      <c r="C7" s="4">
        <v>200</v>
      </c>
      <c r="D7" s="4"/>
      <c r="E7" s="4">
        <v>0</v>
      </c>
      <c r="F7" s="4"/>
      <c r="G7" s="4"/>
    </row>
    <row r="8" spans="1:7">
      <c r="B8" s="5" t="s">
        <v>10</v>
      </c>
      <c r="C8" s="4">
        <v>150</v>
      </c>
      <c r="D8" s="4" t="s">
        <v>280</v>
      </c>
      <c r="E8" s="4">
        <v>300</v>
      </c>
      <c r="F8" s="4" t="s">
        <v>79</v>
      </c>
      <c r="G8" s="4" t="s">
        <v>77</v>
      </c>
    </row>
    <row r="9" spans="1:7">
      <c r="B9" s="6" t="s">
        <v>281</v>
      </c>
      <c r="C9" s="4">
        <v>100</v>
      </c>
      <c r="D9" s="4" t="s">
        <v>282</v>
      </c>
      <c r="E9" s="4">
        <v>100</v>
      </c>
      <c r="F9" s="4" t="s">
        <v>283</v>
      </c>
      <c r="G9" s="4"/>
    </row>
    <row r="10" spans="1:7">
      <c r="D10" s="1" t="s">
        <v>284</v>
      </c>
      <c r="E10" s="1">
        <f>SUM(E7:E9)</f>
        <v>400</v>
      </c>
    </row>
    <row r="12" spans="1:7">
      <c r="B12" s="7" t="s">
        <v>285</v>
      </c>
    </row>
    <row r="13" spans="1:7">
      <c r="B13" s="2" t="s">
        <v>274</v>
      </c>
      <c r="C13" s="2" t="s">
        <v>275</v>
      </c>
      <c r="D13" s="2" t="s">
        <v>3</v>
      </c>
      <c r="E13" s="2" t="s">
        <v>40</v>
      </c>
      <c r="F13" s="2" t="s">
        <v>6</v>
      </c>
      <c r="G13" s="2" t="s">
        <v>7</v>
      </c>
    </row>
    <row r="14" spans="1:7">
      <c r="B14" s="3" t="s">
        <v>276</v>
      </c>
      <c r="C14" s="4">
        <v>300</v>
      </c>
      <c r="D14" s="4"/>
      <c r="E14" s="2" t="s">
        <v>277</v>
      </c>
      <c r="F14" s="4"/>
      <c r="G14" s="4"/>
    </row>
    <row r="15" spans="1:7">
      <c r="B15" s="3" t="s">
        <v>278</v>
      </c>
      <c r="C15" s="4">
        <v>250</v>
      </c>
      <c r="D15" s="4"/>
      <c r="E15" s="4">
        <v>0</v>
      </c>
      <c r="F15" s="4"/>
      <c r="G15" s="4"/>
    </row>
    <row r="16" spans="1:7">
      <c r="B16" s="3" t="s">
        <v>279</v>
      </c>
      <c r="C16" s="4">
        <v>200</v>
      </c>
      <c r="D16" s="4"/>
      <c r="E16" s="4">
        <v>0</v>
      </c>
      <c r="F16" s="4"/>
      <c r="G16" s="4"/>
    </row>
    <row r="17" spans="2:7">
      <c r="B17" s="5" t="s">
        <v>10</v>
      </c>
      <c r="C17" s="4">
        <v>150</v>
      </c>
      <c r="D17" s="4" t="s">
        <v>280</v>
      </c>
      <c r="E17" s="4">
        <v>300</v>
      </c>
      <c r="F17" s="4" t="s">
        <v>79</v>
      </c>
      <c r="G17" s="4" t="s">
        <v>84</v>
      </c>
    </row>
    <row r="18" spans="2:7">
      <c r="B18" s="6" t="s">
        <v>281</v>
      </c>
      <c r="C18" s="4">
        <v>150</v>
      </c>
      <c r="D18" s="4" t="s">
        <v>282</v>
      </c>
      <c r="E18" s="4">
        <v>0</v>
      </c>
      <c r="F18" s="4"/>
      <c r="G18" s="4"/>
    </row>
    <row r="19" spans="2:7">
      <c r="D19" s="1" t="s">
        <v>284</v>
      </c>
      <c r="E19" s="1">
        <f>SUM(E16:E18)</f>
        <v>300</v>
      </c>
    </row>
    <row r="20" spans="2:7">
      <c r="B20" s="7" t="s">
        <v>286</v>
      </c>
    </row>
    <row r="21" spans="2:7">
      <c r="B21" s="2" t="s">
        <v>274</v>
      </c>
      <c r="C21" s="2" t="s">
        <v>275</v>
      </c>
      <c r="D21" s="2" t="s">
        <v>3</v>
      </c>
      <c r="E21" s="2" t="s">
        <v>40</v>
      </c>
      <c r="F21" s="2" t="s">
        <v>6</v>
      </c>
      <c r="G21" s="2" t="s">
        <v>7</v>
      </c>
    </row>
    <row r="22" spans="2:7">
      <c r="B22" s="3" t="s">
        <v>276</v>
      </c>
      <c r="C22" s="4">
        <v>300</v>
      </c>
      <c r="D22" s="4"/>
      <c r="E22" s="2" t="s">
        <v>277</v>
      </c>
      <c r="F22" s="4"/>
      <c r="G22" s="4"/>
    </row>
    <row r="23" spans="2:7">
      <c r="B23" s="3" t="s">
        <v>278</v>
      </c>
      <c r="C23" s="4">
        <v>250</v>
      </c>
      <c r="D23" s="4"/>
      <c r="E23" s="4">
        <v>0</v>
      </c>
      <c r="F23" s="4"/>
      <c r="G23" s="4"/>
    </row>
    <row r="24" spans="2:7">
      <c r="B24" s="3" t="s">
        <v>279</v>
      </c>
      <c r="C24" s="4">
        <v>200</v>
      </c>
      <c r="D24" s="4"/>
      <c r="E24" s="4">
        <v>0</v>
      </c>
      <c r="F24" s="4"/>
      <c r="G24" s="4"/>
    </row>
    <row r="25" spans="2:7">
      <c r="B25" s="5" t="s">
        <v>10</v>
      </c>
      <c r="C25" s="4">
        <v>100</v>
      </c>
      <c r="D25" s="4"/>
      <c r="E25" s="4">
        <v>0</v>
      </c>
      <c r="F25" s="4"/>
      <c r="G25" s="4"/>
    </row>
    <row r="26" spans="2:7">
      <c r="B26" s="6" t="s">
        <v>281</v>
      </c>
      <c r="C26" s="4">
        <v>150</v>
      </c>
      <c r="D26" s="4" t="s">
        <v>287</v>
      </c>
      <c r="E26" s="4">
        <v>300</v>
      </c>
      <c r="F26" s="4" t="s">
        <v>79</v>
      </c>
      <c r="G26" s="4" t="s">
        <v>86</v>
      </c>
    </row>
    <row r="27" spans="2:7">
      <c r="D27" s="1" t="s">
        <v>284</v>
      </c>
      <c r="E27" s="1">
        <f>SUM(E24:E26)</f>
        <v>300</v>
      </c>
    </row>
    <row r="28" spans="2:7">
      <c r="B28" s="7" t="s">
        <v>288</v>
      </c>
    </row>
    <row r="29" spans="2:7">
      <c r="B29" s="2" t="s">
        <v>274</v>
      </c>
      <c r="C29" s="2" t="s">
        <v>275</v>
      </c>
      <c r="D29" s="2" t="s">
        <v>3</v>
      </c>
      <c r="E29" s="2" t="s">
        <v>40</v>
      </c>
      <c r="F29" s="2" t="s">
        <v>6</v>
      </c>
      <c r="G29" s="2" t="s">
        <v>7</v>
      </c>
    </row>
    <row r="30" spans="2:7">
      <c r="B30" s="3" t="s">
        <v>276</v>
      </c>
      <c r="C30" s="4">
        <v>300</v>
      </c>
      <c r="D30" s="4"/>
      <c r="E30" s="2" t="s">
        <v>277</v>
      </c>
      <c r="F30" s="4"/>
      <c r="G30" s="4"/>
    </row>
    <row r="31" spans="2:7">
      <c r="B31" s="3" t="s">
        <v>278</v>
      </c>
      <c r="C31" s="4">
        <v>250</v>
      </c>
      <c r="D31" s="4"/>
      <c r="E31" s="4">
        <v>0</v>
      </c>
      <c r="F31" s="4"/>
      <c r="G31" s="4"/>
    </row>
    <row r="32" spans="2:7">
      <c r="B32" s="3" t="s">
        <v>279</v>
      </c>
      <c r="C32" s="4">
        <v>200</v>
      </c>
      <c r="D32" s="4"/>
      <c r="E32" s="4">
        <v>0</v>
      </c>
      <c r="F32" s="4"/>
      <c r="G32" s="4"/>
    </row>
    <row r="33" spans="2:7">
      <c r="B33" s="5" t="s">
        <v>10</v>
      </c>
      <c r="C33" s="4">
        <v>150</v>
      </c>
      <c r="D33" s="4"/>
      <c r="E33" s="4">
        <v>0</v>
      </c>
      <c r="F33" s="4"/>
      <c r="G33" s="4"/>
    </row>
    <row r="34" spans="2:7">
      <c r="B34" s="6" t="s">
        <v>281</v>
      </c>
      <c r="C34" s="4">
        <v>200</v>
      </c>
      <c r="D34" s="4" t="s">
        <v>287</v>
      </c>
      <c r="E34" s="4">
        <v>200</v>
      </c>
      <c r="F34" s="4" t="s">
        <v>79</v>
      </c>
      <c r="G34" s="4" t="s">
        <v>86</v>
      </c>
    </row>
    <row r="35" spans="2:7">
      <c r="D35" s="1" t="s">
        <v>284</v>
      </c>
      <c r="E35" s="1">
        <f>SUM(E32:E34)</f>
        <v>200</v>
      </c>
    </row>
    <row r="36" spans="2:7">
      <c r="B36" s="7" t="s">
        <v>289</v>
      </c>
    </row>
    <row r="37" spans="2:7">
      <c r="B37" s="2" t="s">
        <v>274</v>
      </c>
      <c r="C37" s="2" t="s">
        <v>275</v>
      </c>
      <c r="D37" s="2" t="s">
        <v>3</v>
      </c>
      <c r="E37" s="2" t="s">
        <v>40</v>
      </c>
      <c r="F37" s="2" t="s">
        <v>6</v>
      </c>
      <c r="G37" s="2" t="s">
        <v>7</v>
      </c>
    </row>
    <row r="38" spans="2:7">
      <c r="B38" s="3" t="s">
        <v>276</v>
      </c>
      <c r="C38" s="4">
        <v>300</v>
      </c>
      <c r="D38" s="4"/>
      <c r="E38" s="2" t="s">
        <v>277</v>
      </c>
      <c r="F38" s="4"/>
      <c r="G38" s="4"/>
    </row>
    <row r="39" spans="2:7">
      <c r="B39" s="3" t="s">
        <v>278</v>
      </c>
      <c r="C39" s="4">
        <v>250</v>
      </c>
      <c r="D39" s="4"/>
      <c r="E39" s="4">
        <v>0</v>
      </c>
      <c r="F39" s="4"/>
      <c r="G39" s="4"/>
    </row>
    <row r="40" spans="2:7">
      <c r="B40" s="3" t="s">
        <v>279</v>
      </c>
      <c r="C40" s="4">
        <v>150</v>
      </c>
      <c r="D40" s="4" t="s">
        <v>290</v>
      </c>
      <c r="E40" s="4">
        <v>100</v>
      </c>
      <c r="F40" s="4" t="s">
        <v>83</v>
      </c>
      <c r="G40" s="4" t="s">
        <v>86</v>
      </c>
    </row>
    <row r="41" spans="2:7">
      <c r="B41" s="5" t="s">
        <v>17</v>
      </c>
      <c r="C41" s="4">
        <v>100</v>
      </c>
      <c r="D41" s="4"/>
      <c r="E41" s="4">
        <v>0</v>
      </c>
      <c r="F41" s="4"/>
      <c r="G41" s="4"/>
    </row>
    <row r="42" spans="2:7">
      <c r="B42" s="6" t="s">
        <v>281</v>
      </c>
      <c r="C42" s="4">
        <v>200</v>
      </c>
      <c r="D42" s="4" t="s">
        <v>287</v>
      </c>
      <c r="E42" s="4">
        <v>200</v>
      </c>
      <c r="F42" s="4" t="s">
        <v>79</v>
      </c>
      <c r="G42" s="4" t="s">
        <v>86</v>
      </c>
    </row>
    <row r="43" spans="2:7">
      <c r="D43" s="1" t="s">
        <v>284</v>
      </c>
      <c r="E43" s="1">
        <f>SUM(E40:E42)</f>
        <v>300</v>
      </c>
    </row>
    <row r="44" spans="2:7" outlineLevel="1">
      <c r="B44" s="7" t="s">
        <v>291</v>
      </c>
    </row>
    <row r="45" spans="2:7" outlineLevel="1">
      <c r="B45" s="2" t="s">
        <v>274</v>
      </c>
      <c r="C45" s="2" t="s">
        <v>275</v>
      </c>
      <c r="D45" s="2" t="s">
        <v>3</v>
      </c>
      <c r="E45" s="2" t="s">
        <v>40</v>
      </c>
      <c r="F45" s="2" t="s">
        <v>6</v>
      </c>
      <c r="G45" s="2" t="s">
        <v>7</v>
      </c>
    </row>
    <row r="46" spans="2:7" outlineLevel="1">
      <c r="B46" s="3" t="s">
        <v>276</v>
      </c>
      <c r="C46" s="4">
        <v>300</v>
      </c>
      <c r="D46" s="4"/>
      <c r="E46" s="2" t="s">
        <v>277</v>
      </c>
      <c r="F46" s="4"/>
      <c r="G46" s="4"/>
    </row>
    <row r="47" spans="2:7" outlineLevel="1">
      <c r="B47" s="3" t="s">
        <v>278</v>
      </c>
      <c r="C47" s="4">
        <v>250</v>
      </c>
      <c r="D47" s="4"/>
      <c r="E47" s="4">
        <v>0</v>
      </c>
      <c r="F47" s="4"/>
      <c r="G47" s="4"/>
    </row>
    <row r="48" spans="2:7" outlineLevel="1">
      <c r="B48" s="3" t="s">
        <v>279</v>
      </c>
      <c r="C48" s="4">
        <v>200</v>
      </c>
      <c r="D48" s="4"/>
      <c r="E48" s="4">
        <v>0</v>
      </c>
      <c r="F48" s="4"/>
      <c r="G48" s="4"/>
    </row>
    <row r="49" spans="2:7" outlineLevel="1">
      <c r="B49" s="5" t="s">
        <v>17</v>
      </c>
      <c r="C49" s="4">
        <v>150</v>
      </c>
      <c r="D49" s="4"/>
      <c r="E49" s="4">
        <v>0</v>
      </c>
      <c r="F49" s="4"/>
      <c r="G49" s="4"/>
    </row>
    <row r="50" spans="2:7" outlineLevel="1">
      <c r="B50" s="6" t="s">
        <v>281</v>
      </c>
      <c r="C50" s="4">
        <v>200</v>
      </c>
      <c r="D50" s="4" t="s">
        <v>287</v>
      </c>
      <c r="E50" s="4">
        <v>200</v>
      </c>
      <c r="F50" s="4" t="s">
        <v>79</v>
      </c>
      <c r="G50" s="4" t="s">
        <v>86</v>
      </c>
    </row>
    <row r="51" spans="2:7" outlineLevel="1">
      <c r="D51" s="1" t="s">
        <v>284</v>
      </c>
      <c r="E51" s="1">
        <f>SUM(E48:E50)</f>
        <v>200</v>
      </c>
    </row>
    <row r="52" spans="2:7" outlineLevel="1"/>
    <row r="53" spans="2:7">
      <c r="B53" s="7" t="s">
        <v>292</v>
      </c>
    </row>
    <row r="54" spans="2:7">
      <c r="B54" s="2" t="s">
        <v>274</v>
      </c>
      <c r="C54" s="2" t="s">
        <v>275</v>
      </c>
      <c r="D54" s="2" t="s">
        <v>3</v>
      </c>
      <c r="E54" s="2" t="s">
        <v>40</v>
      </c>
      <c r="F54" s="2" t="s">
        <v>6</v>
      </c>
      <c r="G54" s="2" t="s">
        <v>7</v>
      </c>
    </row>
    <row r="55" spans="2:7">
      <c r="B55" s="3" t="s">
        <v>276</v>
      </c>
      <c r="C55" s="4">
        <v>300</v>
      </c>
      <c r="D55" s="4"/>
      <c r="E55" s="2" t="s">
        <v>277</v>
      </c>
      <c r="F55" s="4"/>
      <c r="G55" s="4"/>
    </row>
    <row r="56" spans="2:7">
      <c r="B56" s="3" t="s">
        <v>278</v>
      </c>
      <c r="C56" s="4">
        <v>200</v>
      </c>
      <c r="D56" s="4"/>
      <c r="E56" s="4">
        <v>0</v>
      </c>
      <c r="F56" s="4"/>
      <c r="G56" s="4"/>
    </row>
    <row r="57" spans="2:7">
      <c r="B57" s="3" t="s">
        <v>279</v>
      </c>
      <c r="C57" s="4">
        <v>150</v>
      </c>
      <c r="D57" s="4" t="s">
        <v>290</v>
      </c>
      <c r="E57" s="4">
        <v>200</v>
      </c>
      <c r="F57" s="4" t="s">
        <v>83</v>
      </c>
      <c r="G57" s="4"/>
    </row>
    <row r="58" spans="2:7">
      <c r="B58" s="5" t="s">
        <v>17</v>
      </c>
      <c r="C58" s="4">
        <v>100</v>
      </c>
      <c r="D58" s="4"/>
      <c r="E58" s="4">
        <v>0</v>
      </c>
      <c r="F58" s="4"/>
      <c r="G58" s="4"/>
    </row>
    <row r="59" spans="2:7">
      <c r="B59" s="6" t="s">
        <v>281</v>
      </c>
      <c r="C59" s="4">
        <v>250</v>
      </c>
      <c r="D59" s="4" t="s">
        <v>287</v>
      </c>
      <c r="E59" s="4">
        <v>100</v>
      </c>
      <c r="F59" s="4" t="s">
        <v>79</v>
      </c>
      <c r="G59" s="4" t="s">
        <v>86</v>
      </c>
    </row>
    <row r="60" spans="2:7">
      <c r="D60" s="1" t="s">
        <v>284</v>
      </c>
      <c r="E60" s="1">
        <f>SUM(E57:E59)</f>
        <v>300</v>
      </c>
    </row>
    <row r="62" spans="2:7" collapsed="1">
      <c r="B62" s="7" t="s">
        <v>293</v>
      </c>
    </row>
    <row r="63" spans="2:7">
      <c r="B63" s="2" t="s">
        <v>274</v>
      </c>
      <c r="C63" s="2" t="s">
        <v>275</v>
      </c>
      <c r="D63" s="2" t="s">
        <v>3</v>
      </c>
      <c r="E63" s="2" t="s">
        <v>40</v>
      </c>
      <c r="F63" s="2" t="s">
        <v>6</v>
      </c>
      <c r="G63" s="2" t="s">
        <v>7</v>
      </c>
    </row>
    <row r="64" spans="2:7">
      <c r="B64" s="3" t="s">
        <v>276</v>
      </c>
      <c r="C64" s="4">
        <v>300</v>
      </c>
      <c r="D64" s="4"/>
      <c r="E64" s="2" t="s">
        <v>277</v>
      </c>
      <c r="F64" s="4"/>
      <c r="G64" s="4"/>
    </row>
    <row r="65" spans="2:7">
      <c r="B65" s="3" t="s">
        <v>278</v>
      </c>
      <c r="C65" s="4">
        <v>250</v>
      </c>
      <c r="D65" s="4"/>
      <c r="E65" s="2" t="s">
        <v>277</v>
      </c>
      <c r="F65" s="4"/>
      <c r="G65" s="4"/>
    </row>
    <row r="66" spans="2:7">
      <c r="B66" s="3" t="s">
        <v>279</v>
      </c>
      <c r="C66" s="4">
        <v>200</v>
      </c>
      <c r="D66" s="4" t="s">
        <v>290</v>
      </c>
      <c r="E66" s="4">
        <v>100</v>
      </c>
      <c r="F66" s="4" t="s">
        <v>83</v>
      </c>
      <c r="G66" s="4"/>
    </row>
    <row r="67" spans="2:7">
      <c r="B67" s="5" t="s">
        <v>17</v>
      </c>
      <c r="C67" s="4">
        <v>150</v>
      </c>
      <c r="D67" s="4"/>
      <c r="E67" s="4">
        <v>0</v>
      </c>
      <c r="F67" s="4"/>
      <c r="G67" s="4"/>
    </row>
    <row r="68" spans="2:7">
      <c r="B68" s="6" t="s">
        <v>281</v>
      </c>
      <c r="C68" s="4">
        <v>250</v>
      </c>
      <c r="D68" s="4" t="s">
        <v>287</v>
      </c>
      <c r="E68" s="4">
        <v>100</v>
      </c>
      <c r="F68" s="4" t="s">
        <v>79</v>
      </c>
      <c r="G68" s="4" t="s">
        <v>86</v>
      </c>
    </row>
    <row r="69" spans="2:7">
      <c r="D69" s="1" t="s">
        <v>284</v>
      </c>
      <c r="E69" s="1">
        <f>SUM(E66:E68)</f>
        <v>200</v>
      </c>
    </row>
    <row r="70" spans="2:7">
      <c r="B70" s="7" t="s">
        <v>294</v>
      </c>
    </row>
    <row r="71" spans="2:7">
      <c r="B71" s="2" t="s">
        <v>274</v>
      </c>
      <c r="C71" s="2" t="s">
        <v>275</v>
      </c>
      <c r="D71" s="2" t="s">
        <v>3</v>
      </c>
      <c r="E71" s="2" t="s">
        <v>40</v>
      </c>
      <c r="F71" s="2" t="s">
        <v>6</v>
      </c>
      <c r="G71" s="2" t="s">
        <v>7</v>
      </c>
    </row>
    <row r="72" spans="2:7">
      <c r="B72" s="3" t="s">
        <v>276</v>
      </c>
      <c r="C72" s="4">
        <v>300</v>
      </c>
      <c r="D72" s="4"/>
      <c r="E72" s="2" t="s">
        <v>277</v>
      </c>
      <c r="F72" s="4"/>
      <c r="G72" s="4"/>
    </row>
    <row r="73" spans="2:7">
      <c r="B73" s="3" t="s">
        <v>278</v>
      </c>
      <c r="C73" s="4">
        <v>250</v>
      </c>
      <c r="D73" s="4"/>
      <c r="E73" s="2" t="s">
        <v>277</v>
      </c>
      <c r="F73" s="4"/>
      <c r="G73" s="4"/>
    </row>
    <row r="74" spans="2:7">
      <c r="B74" s="3" t="s">
        <v>279</v>
      </c>
      <c r="C74" s="4">
        <v>200</v>
      </c>
      <c r="D74" s="4" t="s">
        <v>290</v>
      </c>
      <c r="E74" s="4">
        <v>300</v>
      </c>
      <c r="F74" s="4" t="s">
        <v>83</v>
      </c>
      <c r="G74" s="4"/>
    </row>
    <row r="75" spans="2:7">
      <c r="B75" s="5" t="s">
        <v>17</v>
      </c>
      <c r="C75" s="4">
        <v>150</v>
      </c>
      <c r="D75" s="4"/>
      <c r="E75" s="4">
        <v>0</v>
      </c>
      <c r="F75" s="4"/>
      <c r="G75" s="4"/>
    </row>
    <row r="76" spans="2:7">
      <c r="B76" s="6" t="s">
        <v>281</v>
      </c>
      <c r="C76" s="4">
        <v>350</v>
      </c>
      <c r="D76" s="4" t="s">
        <v>287</v>
      </c>
      <c r="E76" s="4">
        <v>-100</v>
      </c>
      <c r="F76" s="4" t="s">
        <v>79</v>
      </c>
      <c r="G76" s="4" t="s">
        <v>86</v>
      </c>
    </row>
    <row r="77" spans="2:7">
      <c r="D77" s="1" t="s">
        <v>284</v>
      </c>
      <c r="E77" s="1">
        <f>SUM(E74:E76)</f>
        <v>200</v>
      </c>
    </row>
    <row r="79" spans="2:7">
      <c r="B79" s="7" t="s">
        <v>295</v>
      </c>
    </row>
    <row r="80" spans="2:7">
      <c r="B80" s="2" t="s">
        <v>274</v>
      </c>
      <c r="C80" s="2" t="s">
        <v>275</v>
      </c>
      <c r="D80" s="2" t="s">
        <v>3</v>
      </c>
      <c r="E80" s="2" t="s">
        <v>40</v>
      </c>
      <c r="F80" s="2" t="s">
        <v>6</v>
      </c>
      <c r="G80" s="2" t="s">
        <v>7</v>
      </c>
    </row>
    <row r="81" spans="2:7">
      <c r="B81" s="3" t="s">
        <v>276</v>
      </c>
      <c r="C81" s="4">
        <v>300</v>
      </c>
      <c r="D81" s="4"/>
      <c r="E81" s="2" t="s">
        <v>277</v>
      </c>
      <c r="F81" s="4"/>
      <c r="G81" s="4"/>
    </row>
    <row r="82" spans="2:7">
      <c r="B82" s="3" t="s">
        <v>278</v>
      </c>
      <c r="C82" s="4">
        <v>250</v>
      </c>
      <c r="D82" s="4"/>
      <c r="E82" s="2" t="s">
        <v>277</v>
      </c>
      <c r="F82" s="4"/>
      <c r="G82" s="4"/>
    </row>
    <row r="83" spans="2:7">
      <c r="B83" s="3" t="s">
        <v>279</v>
      </c>
      <c r="C83" s="4">
        <v>200</v>
      </c>
      <c r="D83" s="4" t="s">
        <v>290</v>
      </c>
      <c r="E83" s="4">
        <v>200</v>
      </c>
      <c r="F83" s="4" t="s">
        <v>83</v>
      </c>
      <c r="G83" s="4"/>
    </row>
    <row r="84" spans="2:7">
      <c r="B84" s="5" t="s">
        <v>17</v>
      </c>
      <c r="C84" s="4">
        <v>150</v>
      </c>
      <c r="D84" s="4"/>
      <c r="E84" s="4">
        <v>0</v>
      </c>
      <c r="F84" s="4"/>
      <c r="G84" s="4"/>
    </row>
    <row r="85" spans="2:7">
      <c r="B85" s="6" t="s">
        <v>281</v>
      </c>
      <c r="C85" s="4">
        <v>300</v>
      </c>
      <c r="D85" s="4" t="s">
        <v>287</v>
      </c>
      <c r="E85" s="4">
        <v>0</v>
      </c>
      <c r="F85" s="4" t="s">
        <v>79</v>
      </c>
      <c r="G85" s="4" t="s">
        <v>86</v>
      </c>
    </row>
    <row r="86" spans="2:7">
      <c r="D86" s="1" t="s">
        <v>284</v>
      </c>
      <c r="E86" s="1">
        <f>SUM(E83:E85)</f>
        <v>200</v>
      </c>
    </row>
    <row r="88" spans="2:7">
      <c r="B88" s="7" t="s">
        <v>296</v>
      </c>
    </row>
    <row r="89" spans="2:7">
      <c r="B89" s="2" t="s">
        <v>274</v>
      </c>
      <c r="C89" s="2" t="s">
        <v>275</v>
      </c>
      <c r="D89" s="2" t="s">
        <v>3</v>
      </c>
      <c r="E89" s="2" t="s">
        <v>40</v>
      </c>
      <c r="F89" s="2" t="s">
        <v>6</v>
      </c>
      <c r="G89" s="2" t="s">
        <v>7</v>
      </c>
    </row>
    <row r="90" spans="2:7">
      <c r="B90" s="3" t="s">
        <v>276</v>
      </c>
      <c r="C90" s="4">
        <v>300</v>
      </c>
      <c r="D90" s="4"/>
      <c r="E90" s="2" t="s">
        <v>277</v>
      </c>
      <c r="F90" s="4"/>
      <c r="G90" s="4"/>
    </row>
    <row r="91" spans="2:7">
      <c r="B91" s="3" t="s">
        <v>278</v>
      </c>
      <c r="C91" s="4">
        <v>250</v>
      </c>
      <c r="D91" s="4"/>
      <c r="E91" s="2" t="s">
        <v>277</v>
      </c>
      <c r="F91" s="4"/>
      <c r="G91" s="4"/>
    </row>
    <row r="92" spans="2:7">
      <c r="B92" s="3" t="s">
        <v>279</v>
      </c>
      <c r="C92" s="4">
        <v>200</v>
      </c>
      <c r="D92" s="4"/>
      <c r="E92" s="4">
        <v>0</v>
      </c>
      <c r="F92" s="4"/>
      <c r="G92" s="4"/>
    </row>
    <row r="93" spans="2:7">
      <c r="B93" s="5" t="s">
        <v>17</v>
      </c>
      <c r="C93" s="4">
        <v>200</v>
      </c>
      <c r="D93" s="4" t="s">
        <v>280</v>
      </c>
      <c r="E93" s="4">
        <v>200</v>
      </c>
      <c r="F93" s="4" t="s">
        <v>79</v>
      </c>
      <c r="G93" s="4" t="s">
        <v>297</v>
      </c>
    </row>
    <row r="94" spans="2:7">
      <c r="B94" s="6" t="s">
        <v>281</v>
      </c>
      <c r="C94" s="4">
        <v>150</v>
      </c>
      <c r="D94" s="4" t="s">
        <v>282</v>
      </c>
      <c r="E94" s="4">
        <v>100</v>
      </c>
      <c r="F94" s="4" t="s">
        <v>283</v>
      </c>
      <c r="G94" s="4"/>
    </row>
    <row r="95" spans="2:7">
      <c r="D95" s="1" t="s">
        <v>284</v>
      </c>
      <c r="E95" s="1">
        <f>SUM(E92:E94)</f>
        <v>300</v>
      </c>
    </row>
    <row r="97" spans="1:7">
      <c r="B97" s="7" t="s">
        <v>298</v>
      </c>
    </row>
    <row r="98" spans="1:7">
      <c r="B98" s="2" t="s">
        <v>274</v>
      </c>
      <c r="C98" s="2" t="s">
        <v>275</v>
      </c>
      <c r="D98" s="2" t="s">
        <v>3</v>
      </c>
      <c r="E98" s="2" t="s">
        <v>40</v>
      </c>
      <c r="F98" s="2" t="s">
        <v>6</v>
      </c>
      <c r="G98" s="2" t="s">
        <v>7</v>
      </c>
    </row>
    <row r="99" spans="1:7">
      <c r="B99" s="3" t="s">
        <v>276</v>
      </c>
      <c r="C99" s="4">
        <v>300</v>
      </c>
      <c r="D99" s="4"/>
      <c r="E99" s="2" t="s">
        <v>277</v>
      </c>
      <c r="F99" s="4"/>
      <c r="G99" s="4"/>
    </row>
    <row r="100" spans="1:7">
      <c r="B100" s="3" t="s">
        <v>278</v>
      </c>
      <c r="C100" s="4">
        <v>250</v>
      </c>
      <c r="D100" s="4"/>
      <c r="E100" s="2" t="s">
        <v>277</v>
      </c>
      <c r="F100" s="4"/>
      <c r="G100" s="4"/>
    </row>
    <row r="101" spans="1:7">
      <c r="B101" s="3" t="s">
        <v>279</v>
      </c>
      <c r="C101" s="4">
        <v>200</v>
      </c>
      <c r="D101" s="4"/>
      <c r="E101" s="4">
        <v>0</v>
      </c>
      <c r="F101" s="4"/>
      <c r="G101" s="4"/>
    </row>
    <row r="102" spans="1:7">
      <c r="B102" s="5" t="s">
        <v>17</v>
      </c>
      <c r="C102" s="4">
        <v>200</v>
      </c>
      <c r="D102" s="4" t="s">
        <v>280</v>
      </c>
      <c r="E102" s="4">
        <v>200</v>
      </c>
      <c r="F102" s="4" t="s">
        <v>79</v>
      </c>
      <c r="G102" s="4" t="s">
        <v>297</v>
      </c>
    </row>
    <row r="103" spans="1:7">
      <c r="B103" s="6" t="s">
        <v>281</v>
      </c>
      <c r="C103" s="4">
        <v>200</v>
      </c>
      <c r="D103" s="4" t="s">
        <v>282</v>
      </c>
      <c r="E103" s="4">
        <v>0</v>
      </c>
      <c r="F103" s="4"/>
      <c r="G103" s="4"/>
    </row>
    <row r="104" spans="1:7">
      <c r="D104" s="1" t="s">
        <v>284</v>
      </c>
      <c r="E104" s="1">
        <f>SUM(E101:E103)</f>
        <v>200</v>
      </c>
    </row>
    <row r="106" spans="1:7" s="8" customFormat="1">
      <c r="A106" s="8" t="s">
        <v>299</v>
      </c>
      <c r="B106" s="9" t="s">
        <v>300</v>
      </c>
    </row>
    <row r="107" spans="1:7" s="8" customFormat="1">
      <c r="B107" s="10" t="s">
        <v>274</v>
      </c>
      <c r="C107" s="10" t="s">
        <v>275</v>
      </c>
      <c r="D107" s="10" t="s">
        <v>3</v>
      </c>
      <c r="E107" s="10" t="s">
        <v>40</v>
      </c>
      <c r="F107" s="10" t="s">
        <v>6</v>
      </c>
      <c r="G107" s="10" t="s">
        <v>7</v>
      </c>
    </row>
    <row r="108" spans="1:7" s="8" customFormat="1">
      <c r="B108" s="11" t="s">
        <v>276</v>
      </c>
      <c r="C108" s="12">
        <v>300</v>
      </c>
      <c r="D108" s="12"/>
      <c r="E108" s="10" t="s">
        <v>277</v>
      </c>
      <c r="F108" s="12"/>
      <c r="G108" s="12"/>
    </row>
    <row r="109" spans="1:7" s="8" customFormat="1">
      <c r="B109" s="11" t="s">
        <v>278</v>
      </c>
      <c r="C109" s="12">
        <v>250</v>
      </c>
      <c r="D109" s="12"/>
      <c r="E109" s="10" t="s">
        <v>277</v>
      </c>
      <c r="F109" s="12"/>
      <c r="G109" s="12"/>
    </row>
    <row r="110" spans="1:7" s="8" customFormat="1">
      <c r="B110" s="11" t="s">
        <v>279</v>
      </c>
      <c r="C110" s="12">
        <v>150</v>
      </c>
      <c r="D110" s="12" t="s">
        <v>290</v>
      </c>
      <c r="E110" s="12">
        <v>100</v>
      </c>
      <c r="F110" s="12" t="s">
        <v>83</v>
      </c>
      <c r="G110" s="12"/>
    </row>
    <row r="111" spans="1:7" s="8" customFormat="1">
      <c r="B111" s="13" t="s">
        <v>17</v>
      </c>
      <c r="C111" s="12">
        <v>150</v>
      </c>
      <c r="D111" s="12"/>
      <c r="E111" s="12">
        <v>0</v>
      </c>
      <c r="F111" s="12"/>
      <c r="G111" s="12"/>
    </row>
    <row r="112" spans="1:7" s="8" customFormat="1">
      <c r="B112" s="14" t="s">
        <v>281</v>
      </c>
      <c r="C112" s="12">
        <v>200</v>
      </c>
      <c r="D112" s="12" t="s">
        <v>287</v>
      </c>
      <c r="E112" s="12">
        <v>200</v>
      </c>
      <c r="F112" s="12" t="s">
        <v>79</v>
      </c>
      <c r="G112" s="12" t="s">
        <v>86</v>
      </c>
    </row>
    <row r="113" spans="1:7" s="8" customFormat="1">
      <c r="D113" s="8" t="s">
        <v>284</v>
      </c>
      <c r="E113" s="8">
        <f>SUM(E110:E112)</f>
        <v>300</v>
      </c>
    </row>
    <row r="115" spans="1:7" s="8" customFormat="1">
      <c r="A115" s="8" t="s">
        <v>299</v>
      </c>
      <c r="B115" s="9" t="s">
        <v>301</v>
      </c>
    </row>
    <row r="116" spans="1:7" s="8" customFormat="1">
      <c r="B116" s="10" t="s">
        <v>274</v>
      </c>
      <c r="C116" s="10" t="s">
        <v>275</v>
      </c>
      <c r="D116" s="10" t="s">
        <v>3</v>
      </c>
      <c r="E116" s="10" t="s">
        <v>40</v>
      </c>
      <c r="F116" s="10" t="s">
        <v>6</v>
      </c>
      <c r="G116" s="10" t="s">
        <v>7</v>
      </c>
    </row>
    <row r="117" spans="1:7" s="8" customFormat="1">
      <c r="B117" s="11" t="s">
        <v>276</v>
      </c>
      <c r="C117" s="12">
        <v>300</v>
      </c>
      <c r="D117" s="12"/>
      <c r="E117" s="10" t="s">
        <v>277</v>
      </c>
      <c r="F117" s="12"/>
      <c r="G117" s="12"/>
    </row>
    <row r="118" spans="1:7" s="8" customFormat="1">
      <c r="B118" s="11" t="s">
        <v>278</v>
      </c>
      <c r="C118" s="12">
        <v>250</v>
      </c>
      <c r="D118" s="12"/>
      <c r="E118" s="10" t="s">
        <v>277</v>
      </c>
      <c r="F118" s="12"/>
      <c r="G118" s="12"/>
    </row>
    <row r="119" spans="1:7" s="8" customFormat="1">
      <c r="B119" s="11" t="s">
        <v>279</v>
      </c>
      <c r="C119" s="12">
        <v>150</v>
      </c>
      <c r="D119" s="12" t="s">
        <v>290</v>
      </c>
      <c r="E119" s="12">
        <v>200</v>
      </c>
      <c r="F119" s="12" t="s">
        <v>83</v>
      </c>
      <c r="G119" s="12"/>
    </row>
    <row r="120" spans="1:7" s="8" customFormat="1">
      <c r="B120" s="13" t="s">
        <v>17</v>
      </c>
      <c r="C120" s="12">
        <v>150</v>
      </c>
      <c r="D120" s="12"/>
      <c r="E120" s="12">
        <v>0</v>
      </c>
      <c r="F120" s="12"/>
      <c r="G120" s="12"/>
    </row>
    <row r="121" spans="1:7" s="8" customFormat="1">
      <c r="B121" s="14" t="s">
        <v>281</v>
      </c>
      <c r="C121" s="12">
        <v>250</v>
      </c>
      <c r="D121" s="12" t="s">
        <v>287</v>
      </c>
      <c r="E121" s="12">
        <v>100</v>
      </c>
      <c r="F121" s="12" t="s">
        <v>79</v>
      </c>
      <c r="G121" s="12" t="s">
        <v>86</v>
      </c>
    </row>
    <row r="122" spans="1:7" s="8" customFormat="1">
      <c r="D122" s="8" t="s">
        <v>284</v>
      </c>
      <c r="E122" s="8">
        <f>SUM(E119:E121)</f>
        <v>300</v>
      </c>
    </row>
    <row r="124" spans="1:7">
      <c r="B124" s="7" t="s">
        <v>302</v>
      </c>
    </row>
    <row r="125" spans="1:7">
      <c r="B125" s="2" t="s">
        <v>274</v>
      </c>
      <c r="C125" s="2" t="s">
        <v>275</v>
      </c>
      <c r="D125" s="2" t="s">
        <v>3</v>
      </c>
      <c r="E125" s="2" t="s">
        <v>40</v>
      </c>
      <c r="F125" s="2" t="s">
        <v>6</v>
      </c>
      <c r="G125" s="2" t="s">
        <v>7</v>
      </c>
    </row>
    <row r="126" spans="1:7">
      <c r="B126" s="3" t="s">
        <v>276</v>
      </c>
      <c r="C126" s="4">
        <v>300</v>
      </c>
      <c r="D126" s="4"/>
      <c r="E126" s="2" t="s">
        <v>277</v>
      </c>
      <c r="F126" s="4"/>
      <c r="G126" s="4"/>
    </row>
    <row r="127" spans="1:7">
      <c r="B127" s="3" t="s">
        <v>278</v>
      </c>
      <c r="C127" s="4">
        <v>250</v>
      </c>
      <c r="D127" s="4"/>
      <c r="E127" s="2" t="s">
        <v>277</v>
      </c>
      <c r="F127" s="4"/>
      <c r="G127" s="4"/>
    </row>
    <row r="128" spans="1:7">
      <c r="B128" s="3" t="s">
        <v>279</v>
      </c>
      <c r="C128" s="4">
        <v>200</v>
      </c>
      <c r="D128" s="4" t="s">
        <v>290</v>
      </c>
      <c r="E128" s="4">
        <v>100</v>
      </c>
      <c r="F128" s="4" t="s">
        <v>83</v>
      </c>
      <c r="G128" s="4"/>
    </row>
    <row r="129" spans="1:7">
      <c r="B129" s="5" t="s">
        <v>17</v>
      </c>
      <c r="C129" s="4">
        <v>200</v>
      </c>
      <c r="D129" s="4"/>
      <c r="E129" s="4">
        <v>0</v>
      </c>
      <c r="F129" s="4"/>
      <c r="G129" s="4"/>
    </row>
    <row r="130" spans="1:7">
      <c r="B130" s="6" t="s">
        <v>281</v>
      </c>
      <c r="C130" s="4">
        <v>250</v>
      </c>
      <c r="D130" s="4" t="s">
        <v>287</v>
      </c>
      <c r="E130" s="4">
        <v>100</v>
      </c>
      <c r="F130" s="4" t="s">
        <v>79</v>
      </c>
      <c r="G130" s="4" t="s">
        <v>86</v>
      </c>
    </row>
    <row r="131" spans="1:7">
      <c r="D131" s="1" t="s">
        <v>284</v>
      </c>
      <c r="E131" s="1">
        <f>SUM(E128:E130)</f>
        <v>200</v>
      </c>
    </row>
    <row r="133" spans="1:7" s="8" customFormat="1">
      <c r="A133" s="8" t="s">
        <v>299</v>
      </c>
      <c r="B133" s="9" t="s">
        <v>303</v>
      </c>
    </row>
    <row r="134" spans="1:7" s="8" customFormat="1">
      <c r="B134" s="10" t="s">
        <v>274</v>
      </c>
      <c r="C134" s="10" t="s">
        <v>275</v>
      </c>
      <c r="D134" s="10" t="s">
        <v>3</v>
      </c>
      <c r="E134" s="10" t="s">
        <v>40</v>
      </c>
      <c r="F134" s="10" t="s">
        <v>6</v>
      </c>
      <c r="G134" s="10" t="s">
        <v>7</v>
      </c>
    </row>
    <row r="135" spans="1:7" s="8" customFormat="1">
      <c r="B135" s="11" t="s">
        <v>276</v>
      </c>
      <c r="C135" s="12">
        <v>300</v>
      </c>
      <c r="D135" s="12"/>
      <c r="E135" s="10" t="s">
        <v>277</v>
      </c>
      <c r="F135" s="12"/>
      <c r="G135" s="12"/>
    </row>
    <row r="136" spans="1:7" s="8" customFormat="1">
      <c r="B136" s="11" t="s">
        <v>278</v>
      </c>
      <c r="C136" s="12">
        <v>250</v>
      </c>
      <c r="D136" s="12"/>
      <c r="E136" s="10" t="s">
        <v>277</v>
      </c>
      <c r="F136" s="12"/>
      <c r="G136" s="12"/>
    </row>
    <row r="137" spans="1:7" s="8" customFormat="1">
      <c r="B137" s="11" t="s">
        <v>279</v>
      </c>
      <c r="C137" s="12">
        <v>200</v>
      </c>
      <c r="D137" s="12" t="s">
        <v>290</v>
      </c>
      <c r="E137" s="12">
        <v>300</v>
      </c>
      <c r="F137" s="12" t="s">
        <v>83</v>
      </c>
      <c r="G137" s="12"/>
    </row>
    <row r="138" spans="1:7" s="8" customFormat="1">
      <c r="B138" s="13" t="s">
        <v>17</v>
      </c>
      <c r="C138" s="12">
        <v>150</v>
      </c>
      <c r="D138" s="12"/>
      <c r="E138" s="12">
        <v>0</v>
      </c>
      <c r="F138" s="12"/>
      <c r="G138" s="12"/>
    </row>
    <row r="139" spans="1:7" s="8" customFormat="1">
      <c r="B139" s="14" t="s">
        <v>281</v>
      </c>
      <c r="C139" s="12">
        <v>350</v>
      </c>
      <c r="D139" s="12" t="s">
        <v>287</v>
      </c>
      <c r="E139" s="12">
        <v>-100</v>
      </c>
      <c r="F139" s="12" t="s">
        <v>79</v>
      </c>
      <c r="G139" s="12" t="s">
        <v>86</v>
      </c>
    </row>
    <row r="140" spans="1:7" s="8" customFormat="1">
      <c r="D140" s="8" t="s">
        <v>284</v>
      </c>
      <c r="E140" s="8">
        <f>SUM(E137:E139)</f>
        <v>200</v>
      </c>
    </row>
    <row r="142" spans="1:7">
      <c r="B142" s="7" t="s">
        <v>304</v>
      </c>
    </row>
    <row r="143" spans="1:7">
      <c r="B143" s="2" t="s">
        <v>274</v>
      </c>
      <c r="C143" s="2" t="s">
        <v>275</v>
      </c>
      <c r="D143" s="2" t="s">
        <v>3</v>
      </c>
      <c r="E143" s="2" t="s">
        <v>40</v>
      </c>
      <c r="F143" s="2" t="s">
        <v>6</v>
      </c>
      <c r="G143" s="2" t="s">
        <v>7</v>
      </c>
    </row>
    <row r="144" spans="1:7">
      <c r="B144" s="3" t="s">
        <v>276</v>
      </c>
      <c r="C144" s="4">
        <v>300</v>
      </c>
      <c r="D144" s="4"/>
      <c r="E144" s="2" t="s">
        <v>277</v>
      </c>
      <c r="F144" s="4"/>
      <c r="G144" s="4"/>
    </row>
    <row r="145" spans="1:7">
      <c r="B145" s="3" t="s">
        <v>278</v>
      </c>
      <c r="C145" s="4">
        <v>250</v>
      </c>
      <c r="D145" s="4"/>
      <c r="E145" s="2" t="s">
        <v>277</v>
      </c>
      <c r="F145" s="4"/>
      <c r="G145" s="4"/>
    </row>
    <row r="146" spans="1:7">
      <c r="B146" s="3" t="s">
        <v>279</v>
      </c>
      <c r="C146" s="4">
        <v>200</v>
      </c>
      <c r="D146" s="4" t="s">
        <v>290</v>
      </c>
      <c r="E146" s="4">
        <v>300</v>
      </c>
      <c r="F146" s="4" t="s">
        <v>83</v>
      </c>
      <c r="G146" s="4"/>
    </row>
    <row r="147" spans="1:7">
      <c r="B147" s="5" t="s">
        <v>17</v>
      </c>
      <c r="C147" s="4">
        <v>200</v>
      </c>
      <c r="D147" s="4"/>
      <c r="E147" s="4">
        <v>0</v>
      </c>
      <c r="F147" s="4"/>
      <c r="G147" s="4"/>
    </row>
    <row r="148" spans="1:7">
      <c r="B148" s="6" t="s">
        <v>281</v>
      </c>
      <c r="C148" s="4">
        <v>350</v>
      </c>
      <c r="D148" s="4" t="s">
        <v>287</v>
      </c>
      <c r="E148" s="4">
        <v>-100</v>
      </c>
      <c r="F148" s="4" t="s">
        <v>79</v>
      </c>
      <c r="G148" s="4" t="s">
        <v>86</v>
      </c>
    </row>
    <row r="149" spans="1:7">
      <c r="D149" s="1" t="s">
        <v>284</v>
      </c>
      <c r="E149" s="1">
        <f>SUM(E146:E148)</f>
        <v>200</v>
      </c>
    </row>
    <row r="151" spans="1:7" s="8" customFormat="1">
      <c r="A151" s="8" t="s">
        <v>299</v>
      </c>
      <c r="B151" s="9" t="s">
        <v>305</v>
      </c>
    </row>
    <row r="152" spans="1:7" s="8" customFormat="1">
      <c r="B152" s="10" t="s">
        <v>274</v>
      </c>
      <c r="C152" s="10" t="s">
        <v>275</v>
      </c>
      <c r="D152" s="10" t="s">
        <v>3</v>
      </c>
      <c r="E152" s="10" t="s">
        <v>40</v>
      </c>
      <c r="F152" s="10" t="s">
        <v>6</v>
      </c>
      <c r="G152" s="10" t="s">
        <v>7</v>
      </c>
    </row>
    <row r="153" spans="1:7" s="8" customFormat="1">
      <c r="B153" s="11" t="s">
        <v>276</v>
      </c>
      <c r="C153" s="12">
        <v>300</v>
      </c>
      <c r="D153" s="12"/>
      <c r="E153" s="10" t="s">
        <v>277</v>
      </c>
      <c r="F153" s="12"/>
      <c r="G153" s="12"/>
    </row>
    <row r="154" spans="1:7" s="8" customFormat="1">
      <c r="B154" s="11" t="s">
        <v>278</v>
      </c>
      <c r="C154" s="12">
        <v>250</v>
      </c>
      <c r="D154" s="12"/>
      <c r="E154" s="10" t="s">
        <v>277</v>
      </c>
      <c r="F154" s="12"/>
      <c r="G154" s="12"/>
    </row>
    <row r="155" spans="1:7" s="8" customFormat="1">
      <c r="B155" s="11" t="s">
        <v>279</v>
      </c>
      <c r="C155" s="12">
        <v>150</v>
      </c>
      <c r="D155" s="12" t="s">
        <v>306</v>
      </c>
      <c r="E155" s="12">
        <v>100</v>
      </c>
      <c r="F155" s="12" t="s">
        <v>83</v>
      </c>
      <c r="G155" s="12"/>
    </row>
    <row r="156" spans="1:7" s="8" customFormat="1">
      <c r="B156" s="13" t="s">
        <v>17</v>
      </c>
      <c r="C156" s="12">
        <v>200</v>
      </c>
      <c r="D156" s="12" t="s">
        <v>280</v>
      </c>
      <c r="E156" s="12">
        <v>200</v>
      </c>
      <c r="F156" s="12" t="s">
        <v>79</v>
      </c>
      <c r="G156" s="12" t="s">
        <v>297</v>
      </c>
    </row>
    <row r="157" spans="1:7" s="8" customFormat="1">
      <c r="B157" s="14" t="s">
        <v>281</v>
      </c>
      <c r="C157" s="12">
        <v>100</v>
      </c>
      <c r="D157" s="12" t="s">
        <v>282</v>
      </c>
      <c r="E157" s="12">
        <v>200</v>
      </c>
      <c r="F157" s="12" t="s">
        <v>283</v>
      </c>
      <c r="G157" s="12"/>
    </row>
    <row r="158" spans="1:7" s="8" customFormat="1">
      <c r="D158" s="8" t="s">
        <v>284</v>
      </c>
      <c r="E158" s="8">
        <f>SUM(E155:E157)</f>
        <v>500</v>
      </c>
    </row>
    <row r="160" spans="1:7" s="8" customFormat="1">
      <c r="A160" s="8" t="s">
        <v>299</v>
      </c>
      <c r="B160" s="9" t="s">
        <v>307</v>
      </c>
    </row>
    <row r="161" spans="1:7" s="8" customFormat="1">
      <c r="B161" s="10" t="s">
        <v>274</v>
      </c>
      <c r="C161" s="10" t="s">
        <v>275</v>
      </c>
      <c r="D161" s="10" t="s">
        <v>3</v>
      </c>
      <c r="E161" s="10" t="s">
        <v>40</v>
      </c>
      <c r="F161" s="10" t="s">
        <v>6</v>
      </c>
      <c r="G161" s="10" t="s">
        <v>7</v>
      </c>
    </row>
    <row r="162" spans="1:7" s="8" customFormat="1">
      <c r="B162" s="11" t="s">
        <v>276</v>
      </c>
      <c r="C162" s="12">
        <v>300</v>
      </c>
      <c r="D162" s="12"/>
      <c r="E162" s="10" t="s">
        <v>277</v>
      </c>
      <c r="F162" s="12"/>
      <c r="G162" s="12"/>
    </row>
    <row r="163" spans="1:7" s="8" customFormat="1">
      <c r="B163" s="11" t="s">
        <v>278</v>
      </c>
      <c r="C163" s="12">
        <v>250</v>
      </c>
      <c r="D163" s="12"/>
      <c r="E163" s="10" t="s">
        <v>277</v>
      </c>
      <c r="F163" s="12"/>
      <c r="G163" s="12"/>
    </row>
    <row r="164" spans="1:7" s="8" customFormat="1">
      <c r="B164" s="11" t="s">
        <v>279</v>
      </c>
      <c r="C164" s="12">
        <v>150</v>
      </c>
      <c r="D164" s="12" t="s">
        <v>306</v>
      </c>
      <c r="E164" s="12">
        <v>100</v>
      </c>
      <c r="F164" s="12" t="s">
        <v>83</v>
      </c>
      <c r="G164" s="12"/>
    </row>
    <row r="165" spans="1:7" s="8" customFormat="1">
      <c r="B165" s="13" t="s">
        <v>17</v>
      </c>
      <c r="C165" s="12">
        <v>200</v>
      </c>
      <c r="D165" s="12" t="s">
        <v>280</v>
      </c>
      <c r="E165" s="12">
        <v>200</v>
      </c>
      <c r="F165" s="12" t="s">
        <v>79</v>
      </c>
      <c r="G165" s="12" t="s">
        <v>297</v>
      </c>
    </row>
    <row r="166" spans="1:7" s="8" customFormat="1">
      <c r="B166" s="14" t="s">
        <v>281</v>
      </c>
      <c r="C166" s="12">
        <v>150</v>
      </c>
      <c r="D166" s="12" t="s">
        <v>282</v>
      </c>
      <c r="E166" s="12">
        <v>100</v>
      </c>
      <c r="F166" s="12" t="s">
        <v>283</v>
      </c>
      <c r="G166" s="12"/>
    </row>
    <row r="167" spans="1:7" s="8" customFormat="1">
      <c r="D167" s="8" t="s">
        <v>284</v>
      </c>
      <c r="E167" s="8">
        <f>SUM(E164:E166)</f>
        <v>400</v>
      </c>
    </row>
    <row r="169" spans="1:7" s="8" customFormat="1">
      <c r="A169" s="8" t="s">
        <v>299</v>
      </c>
      <c r="B169" s="9" t="s">
        <v>308</v>
      </c>
    </row>
    <row r="170" spans="1:7" s="8" customFormat="1">
      <c r="B170" s="10" t="s">
        <v>274</v>
      </c>
      <c r="C170" s="10" t="s">
        <v>275</v>
      </c>
      <c r="D170" s="10" t="s">
        <v>3</v>
      </c>
      <c r="E170" s="10" t="s">
        <v>40</v>
      </c>
      <c r="F170" s="10" t="s">
        <v>6</v>
      </c>
      <c r="G170" s="10" t="s">
        <v>7</v>
      </c>
    </row>
    <row r="171" spans="1:7" s="8" customFormat="1">
      <c r="B171" s="11" t="s">
        <v>276</v>
      </c>
      <c r="C171" s="12">
        <v>300</v>
      </c>
      <c r="D171" s="12"/>
      <c r="E171" s="10" t="s">
        <v>277</v>
      </c>
      <c r="F171" s="12"/>
      <c r="G171" s="12"/>
    </row>
    <row r="172" spans="1:7" s="8" customFormat="1">
      <c r="B172" s="11" t="s">
        <v>278</v>
      </c>
      <c r="C172" s="12">
        <v>250</v>
      </c>
      <c r="D172" s="12"/>
      <c r="E172" s="10" t="s">
        <v>277</v>
      </c>
      <c r="F172" s="12"/>
      <c r="G172" s="12"/>
    </row>
    <row r="173" spans="1:7" s="8" customFormat="1">
      <c r="B173" s="11" t="s">
        <v>279</v>
      </c>
      <c r="C173" s="12">
        <v>100</v>
      </c>
      <c r="D173" s="12" t="s">
        <v>306</v>
      </c>
      <c r="E173" s="12">
        <v>200</v>
      </c>
      <c r="F173" s="12" t="s">
        <v>83</v>
      </c>
      <c r="G173" s="12"/>
    </row>
    <row r="174" spans="1:7" s="8" customFormat="1">
      <c r="B174" s="13" t="s">
        <v>17</v>
      </c>
      <c r="C174" s="12">
        <v>200</v>
      </c>
      <c r="D174" s="12" t="s">
        <v>280</v>
      </c>
      <c r="E174" s="12">
        <v>200</v>
      </c>
      <c r="F174" s="12" t="s">
        <v>79</v>
      </c>
      <c r="G174" s="12" t="s">
        <v>297</v>
      </c>
    </row>
    <row r="175" spans="1:7" s="8" customFormat="1">
      <c r="B175" s="14" t="s">
        <v>281</v>
      </c>
      <c r="C175" s="12">
        <v>150</v>
      </c>
      <c r="D175" s="12" t="s">
        <v>282</v>
      </c>
      <c r="E175" s="12">
        <v>100</v>
      </c>
      <c r="F175" s="12" t="s">
        <v>283</v>
      </c>
      <c r="G175" s="12"/>
    </row>
    <row r="176" spans="1:7" s="8" customFormat="1">
      <c r="D176" s="8" t="s">
        <v>284</v>
      </c>
      <c r="E176" s="8">
        <f>SUM(E173:E175)</f>
        <v>500</v>
      </c>
    </row>
    <row r="178" spans="1:7" s="8" customFormat="1">
      <c r="A178" s="8" t="s">
        <v>299</v>
      </c>
      <c r="B178" s="9" t="s">
        <v>309</v>
      </c>
    </row>
    <row r="179" spans="1:7" s="8" customFormat="1">
      <c r="B179" s="10" t="s">
        <v>274</v>
      </c>
      <c r="C179" s="10" t="s">
        <v>275</v>
      </c>
      <c r="D179" s="10" t="s">
        <v>3</v>
      </c>
      <c r="E179" s="10" t="s">
        <v>40</v>
      </c>
      <c r="F179" s="10" t="s">
        <v>6</v>
      </c>
      <c r="G179" s="10" t="s">
        <v>7</v>
      </c>
    </row>
    <row r="180" spans="1:7" s="8" customFormat="1">
      <c r="B180" s="11" t="s">
        <v>276</v>
      </c>
      <c r="C180" s="12">
        <v>300</v>
      </c>
      <c r="D180" s="12"/>
      <c r="E180" s="10" t="s">
        <v>277</v>
      </c>
      <c r="F180" s="12"/>
      <c r="G180" s="12"/>
    </row>
    <row r="181" spans="1:7" s="8" customFormat="1">
      <c r="B181" s="11" t="s">
        <v>278</v>
      </c>
      <c r="C181" s="12">
        <v>250</v>
      </c>
      <c r="D181" s="12"/>
      <c r="E181" s="10" t="s">
        <v>277</v>
      </c>
      <c r="F181" s="12"/>
      <c r="G181" s="12"/>
    </row>
    <row r="182" spans="1:7" s="8" customFormat="1">
      <c r="B182" s="11" t="s">
        <v>279</v>
      </c>
      <c r="C182" s="12">
        <v>150</v>
      </c>
      <c r="D182" s="12" t="s">
        <v>306</v>
      </c>
      <c r="E182" s="12">
        <v>100</v>
      </c>
      <c r="F182" s="12" t="s">
        <v>83</v>
      </c>
      <c r="G182" s="12"/>
    </row>
    <row r="183" spans="1:7" s="8" customFormat="1">
      <c r="B183" s="13" t="s">
        <v>17</v>
      </c>
      <c r="C183" s="12">
        <v>200</v>
      </c>
      <c r="D183" s="12" t="s">
        <v>280</v>
      </c>
      <c r="E183" s="12">
        <v>200</v>
      </c>
      <c r="F183" s="12" t="s">
        <v>79</v>
      </c>
      <c r="G183" s="12" t="s">
        <v>297</v>
      </c>
    </row>
    <row r="184" spans="1:7" s="8" customFormat="1">
      <c r="B184" s="14" t="s">
        <v>281</v>
      </c>
      <c r="C184" s="12">
        <v>150</v>
      </c>
      <c r="D184" s="12" t="s">
        <v>282</v>
      </c>
      <c r="E184" s="12">
        <v>100</v>
      </c>
      <c r="F184" s="12" t="s">
        <v>283</v>
      </c>
      <c r="G184" s="12"/>
    </row>
    <row r="185" spans="1:7" s="8" customFormat="1">
      <c r="D185" s="8" t="s">
        <v>284</v>
      </c>
      <c r="E185" s="8">
        <f>SUM(E182:E184)</f>
        <v>400</v>
      </c>
    </row>
    <row r="187" spans="1:7" s="15" customFormat="1">
      <c r="A187" s="15" t="s">
        <v>310</v>
      </c>
      <c r="B187" s="16" t="s">
        <v>311</v>
      </c>
    </row>
    <row r="188" spans="1:7" s="15" customFormat="1">
      <c r="B188" s="17" t="s">
        <v>274</v>
      </c>
      <c r="C188" s="17" t="s">
        <v>275</v>
      </c>
      <c r="D188" s="17" t="s">
        <v>3</v>
      </c>
      <c r="E188" s="17" t="s">
        <v>40</v>
      </c>
      <c r="F188" s="17" t="s">
        <v>6</v>
      </c>
      <c r="G188" s="17" t="s">
        <v>7</v>
      </c>
    </row>
    <row r="189" spans="1:7" s="15" customFormat="1">
      <c r="B189" s="18" t="s">
        <v>276</v>
      </c>
      <c r="C189" s="19">
        <v>300</v>
      </c>
      <c r="D189" s="19"/>
      <c r="E189" s="17"/>
      <c r="F189" s="19"/>
      <c r="G189" s="19"/>
    </row>
    <row r="190" spans="1:7" s="15" customFormat="1">
      <c r="B190" s="18" t="s">
        <v>278</v>
      </c>
      <c r="C190" s="19">
        <v>250</v>
      </c>
      <c r="D190" s="19"/>
      <c r="E190" s="17"/>
      <c r="F190" s="19"/>
      <c r="G190" s="19"/>
    </row>
    <row r="191" spans="1:7" s="15" customFormat="1">
      <c r="B191" s="18" t="s">
        <v>279</v>
      </c>
      <c r="C191" s="19">
        <v>150</v>
      </c>
      <c r="D191" s="19" t="s">
        <v>306</v>
      </c>
      <c r="E191" s="19"/>
      <c r="F191" s="19"/>
      <c r="G191" s="19"/>
    </row>
    <row r="192" spans="1:7" s="15" customFormat="1">
      <c r="B192" s="20" t="s">
        <v>17</v>
      </c>
      <c r="C192" s="19">
        <v>200</v>
      </c>
      <c r="D192" s="19" t="s">
        <v>280</v>
      </c>
      <c r="E192" s="19"/>
      <c r="F192" s="19"/>
      <c r="G192" s="19"/>
    </row>
    <row r="193" spans="1:7" s="15" customFormat="1">
      <c r="B193" s="21" t="s">
        <v>281</v>
      </c>
      <c r="C193" s="19">
        <v>150</v>
      </c>
      <c r="D193" s="19" t="s">
        <v>282</v>
      </c>
      <c r="E193" s="19"/>
      <c r="F193" s="19"/>
      <c r="G193" s="19"/>
    </row>
    <row r="194" spans="1:7" s="15" customFormat="1">
      <c r="D194" s="15" t="s">
        <v>284</v>
      </c>
      <c r="E194" s="15">
        <f>SUM(E191:E193)</f>
        <v>0</v>
      </c>
    </row>
    <row r="196" spans="1:7" s="8" customFormat="1">
      <c r="A196" s="8" t="s">
        <v>299</v>
      </c>
      <c r="B196" s="9" t="s">
        <v>312</v>
      </c>
    </row>
    <row r="197" spans="1:7" s="8" customFormat="1">
      <c r="B197" s="10" t="s">
        <v>274</v>
      </c>
      <c r="C197" s="10" t="s">
        <v>275</v>
      </c>
      <c r="D197" s="10" t="s">
        <v>3</v>
      </c>
      <c r="E197" s="10" t="s">
        <v>40</v>
      </c>
      <c r="F197" s="10" t="s">
        <v>6</v>
      </c>
      <c r="G197" s="10" t="s">
        <v>7</v>
      </c>
    </row>
    <row r="198" spans="1:7" s="8" customFormat="1">
      <c r="B198" s="11" t="s">
        <v>276</v>
      </c>
      <c r="C198" s="12">
        <v>300</v>
      </c>
      <c r="D198" s="12"/>
      <c r="E198" s="10" t="s">
        <v>277</v>
      </c>
      <c r="F198" s="12"/>
      <c r="G198" s="12"/>
    </row>
    <row r="199" spans="1:7" s="8" customFormat="1">
      <c r="B199" s="11" t="s">
        <v>278</v>
      </c>
      <c r="C199" s="12">
        <v>200</v>
      </c>
      <c r="D199" s="12"/>
      <c r="E199" s="10" t="s">
        <v>277</v>
      </c>
      <c r="F199" s="12"/>
      <c r="G199" s="12"/>
    </row>
    <row r="200" spans="1:7" s="8" customFormat="1">
      <c r="B200" s="11" t="s">
        <v>279</v>
      </c>
      <c r="C200" s="12">
        <v>150</v>
      </c>
      <c r="D200" s="12" t="s">
        <v>306</v>
      </c>
      <c r="E200" s="12">
        <v>200</v>
      </c>
      <c r="F200" s="12" t="s">
        <v>83</v>
      </c>
      <c r="G200" s="12"/>
    </row>
    <row r="201" spans="1:7" s="8" customFormat="1">
      <c r="B201" s="13" t="s">
        <v>17</v>
      </c>
      <c r="C201" s="12">
        <v>250</v>
      </c>
      <c r="D201" s="12" t="s">
        <v>280</v>
      </c>
      <c r="E201" s="12">
        <v>100</v>
      </c>
      <c r="F201" s="12" t="s">
        <v>79</v>
      </c>
      <c r="G201" s="12" t="s">
        <v>297</v>
      </c>
    </row>
    <row r="202" spans="1:7" s="8" customFormat="1">
      <c r="B202" s="14" t="s">
        <v>281</v>
      </c>
      <c r="C202" s="12">
        <v>150</v>
      </c>
      <c r="D202" s="12" t="s">
        <v>282</v>
      </c>
      <c r="E202" s="12">
        <v>200</v>
      </c>
      <c r="F202" s="12" t="s">
        <v>283</v>
      </c>
      <c r="G202" s="12"/>
    </row>
    <row r="203" spans="1:7" s="8" customFormat="1">
      <c r="D203" s="8" t="s">
        <v>284</v>
      </c>
      <c r="E203" s="8">
        <f>SUM(E200:E202)</f>
        <v>500</v>
      </c>
    </row>
    <row r="204" spans="1:7" s="8" customFormat="1"/>
    <row r="205" spans="1:7" s="8" customFormat="1">
      <c r="A205" s="8" t="s">
        <v>299</v>
      </c>
      <c r="B205" s="9" t="s">
        <v>313</v>
      </c>
    </row>
    <row r="206" spans="1:7" s="8" customFormat="1">
      <c r="B206" s="10" t="s">
        <v>274</v>
      </c>
      <c r="C206" s="10" t="s">
        <v>275</v>
      </c>
      <c r="D206" s="10" t="s">
        <v>3</v>
      </c>
      <c r="E206" s="10" t="s">
        <v>40</v>
      </c>
      <c r="F206" s="10" t="s">
        <v>6</v>
      </c>
      <c r="G206" s="10" t="s">
        <v>7</v>
      </c>
    </row>
    <row r="207" spans="1:7" s="8" customFormat="1">
      <c r="B207" s="11" t="s">
        <v>276</v>
      </c>
      <c r="C207" s="12">
        <v>300</v>
      </c>
      <c r="D207" s="12"/>
      <c r="E207" s="10" t="s">
        <v>277</v>
      </c>
      <c r="F207" s="12"/>
      <c r="G207" s="12"/>
    </row>
    <row r="208" spans="1:7" s="8" customFormat="1">
      <c r="B208" s="11" t="s">
        <v>278</v>
      </c>
      <c r="C208" s="12">
        <v>150</v>
      </c>
      <c r="D208" s="12"/>
      <c r="E208" s="10" t="s">
        <v>277</v>
      </c>
      <c r="F208" s="12"/>
      <c r="G208" s="12"/>
    </row>
    <row r="209" spans="1:7" s="8" customFormat="1">
      <c r="B209" s="11" t="s">
        <v>279</v>
      </c>
      <c r="C209" s="12">
        <v>100</v>
      </c>
      <c r="D209" s="12" t="s">
        <v>306</v>
      </c>
      <c r="E209" s="12">
        <v>300</v>
      </c>
      <c r="F209" s="12" t="s">
        <v>83</v>
      </c>
      <c r="G209" s="12"/>
    </row>
    <row r="210" spans="1:7" s="8" customFormat="1">
      <c r="B210" s="13" t="s">
        <v>17</v>
      </c>
      <c r="C210" s="12">
        <v>250</v>
      </c>
      <c r="D210" s="12" t="s">
        <v>280</v>
      </c>
      <c r="E210" s="12">
        <v>100</v>
      </c>
      <c r="F210" s="12" t="s">
        <v>79</v>
      </c>
      <c r="G210" s="12" t="s">
        <v>297</v>
      </c>
    </row>
    <row r="211" spans="1:7" s="8" customFormat="1">
      <c r="B211" s="14" t="s">
        <v>281</v>
      </c>
      <c r="C211" s="12">
        <v>200</v>
      </c>
      <c r="D211" s="12" t="s">
        <v>282</v>
      </c>
      <c r="E211" s="12">
        <v>100</v>
      </c>
      <c r="F211" s="12" t="s">
        <v>283</v>
      </c>
      <c r="G211" s="12"/>
    </row>
    <row r="212" spans="1:7" s="8" customFormat="1">
      <c r="D212" s="8" t="s">
        <v>284</v>
      </c>
      <c r="E212" s="8">
        <f>SUM(E209:E211)</f>
        <v>500</v>
      </c>
    </row>
    <row r="214" spans="1:7">
      <c r="B214" s="7" t="s">
        <v>314</v>
      </c>
    </row>
    <row r="215" spans="1:7">
      <c r="B215" s="2" t="s">
        <v>274</v>
      </c>
      <c r="C215" s="2" t="s">
        <v>275</v>
      </c>
      <c r="D215" s="2" t="s">
        <v>3</v>
      </c>
      <c r="E215" s="2" t="s">
        <v>40</v>
      </c>
      <c r="F215" s="2" t="s">
        <v>6</v>
      </c>
      <c r="G215" s="2" t="s">
        <v>7</v>
      </c>
    </row>
    <row r="216" spans="1:7">
      <c r="B216" s="3" t="s">
        <v>276</v>
      </c>
      <c r="C216" s="4">
        <v>300</v>
      </c>
      <c r="D216" s="4"/>
      <c r="E216" s="2" t="s">
        <v>277</v>
      </c>
      <c r="F216" s="4"/>
      <c r="G216" s="4"/>
    </row>
    <row r="217" spans="1:7">
      <c r="B217" s="3" t="s">
        <v>278</v>
      </c>
      <c r="C217" s="4">
        <v>200</v>
      </c>
      <c r="D217" s="4"/>
      <c r="E217" s="2" t="s">
        <v>277</v>
      </c>
      <c r="F217" s="4"/>
      <c r="G217" s="4"/>
    </row>
    <row r="218" spans="1:7">
      <c r="B218" s="3" t="s">
        <v>279</v>
      </c>
      <c r="C218" s="4">
        <v>150</v>
      </c>
      <c r="D218" s="4" t="s">
        <v>306</v>
      </c>
      <c r="E218" s="4">
        <v>200</v>
      </c>
      <c r="F218" s="4" t="s">
        <v>83</v>
      </c>
      <c r="G218" s="4"/>
    </row>
    <row r="219" spans="1:7">
      <c r="B219" s="5" t="s">
        <v>17</v>
      </c>
      <c r="C219" s="4">
        <v>250</v>
      </c>
      <c r="D219" s="4" t="s">
        <v>280</v>
      </c>
      <c r="E219" s="4">
        <v>100</v>
      </c>
      <c r="F219" s="4" t="s">
        <v>79</v>
      </c>
      <c r="G219" s="4" t="s">
        <v>297</v>
      </c>
    </row>
    <row r="220" spans="1:7">
      <c r="B220" s="6" t="s">
        <v>281</v>
      </c>
      <c r="C220" s="4">
        <v>200</v>
      </c>
      <c r="D220" s="4" t="s">
        <v>282</v>
      </c>
      <c r="E220" s="4">
        <v>100</v>
      </c>
      <c r="F220" s="4" t="s">
        <v>283</v>
      </c>
      <c r="G220" s="4"/>
    </row>
    <row r="221" spans="1:7">
      <c r="D221" s="1" t="s">
        <v>284</v>
      </c>
      <c r="E221" s="1">
        <f>SUM(E218:E220)</f>
        <v>400</v>
      </c>
    </row>
    <row r="223" spans="1:7" s="15" customFormat="1">
      <c r="A223" s="15" t="s">
        <v>310</v>
      </c>
      <c r="B223" s="16" t="s">
        <v>315</v>
      </c>
    </row>
    <row r="224" spans="1:7" s="15" customFormat="1">
      <c r="B224" s="17" t="s">
        <v>274</v>
      </c>
      <c r="C224" s="17" t="s">
        <v>275</v>
      </c>
      <c r="D224" s="17" t="s">
        <v>3</v>
      </c>
      <c r="E224" s="17" t="s">
        <v>40</v>
      </c>
      <c r="F224" s="17" t="s">
        <v>6</v>
      </c>
      <c r="G224" s="17" t="s">
        <v>7</v>
      </c>
    </row>
    <row r="225" spans="2:7" s="15" customFormat="1">
      <c r="B225" s="18" t="s">
        <v>276</v>
      </c>
      <c r="C225" s="19">
        <v>300</v>
      </c>
      <c r="D225" s="19"/>
      <c r="E225" s="17" t="s">
        <v>277</v>
      </c>
      <c r="F225" s="19"/>
      <c r="G225" s="19"/>
    </row>
    <row r="226" spans="2:7" s="15" customFormat="1">
      <c r="B226" s="18" t="s">
        <v>278</v>
      </c>
      <c r="C226" s="19">
        <v>250</v>
      </c>
      <c r="D226" s="19"/>
      <c r="E226" s="17" t="s">
        <v>277</v>
      </c>
      <c r="F226" s="19"/>
      <c r="G226" s="19"/>
    </row>
    <row r="227" spans="2:7" s="15" customFormat="1">
      <c r="B227" s="18" t="s">
        <v>279</v>
      </c>
      <c r="C227" s="19">
        <v>200</v>
      </c>
      <c r="D227" s="19" t="s">
        <v>306</v>
      </c>
      <c r="E227" s="19">
        <v>200</v>
      </c>
      <c r="F227" s="19" t="s">
        <v>83</v>
      </c>
      <c r="G227" s="19"/>
    </row>
    <row r="228" spans="2:7" s="15" customFormat="1">
      <c r="B228" s="20" t="s">
        <v>17</v>
      </c>
      <c r="C228" s="19">
        <v>350</v>
      </c>
      <c r="D228" s="19" t="s">
        <v>280</v>
      </c>
      <c r="E228" s="19">
        <v>100</v>
      </c>
      <c r="F228" s="19" t="s">
        <v>79</v>
      </c>
      <c r="G228" s="19" t="s">
        <v>297</v>
      </c>
    </row>
    <row r="229" spans="2:7" s="15" customFormat="1">
      <c r="B229" s="21" t="s">
        <v>281</v>
      </c>
      <c r="C229" s="19">
        <v>150</v>
      </c>
      <c r="D229" s="19" t="s">
        <v>282</v>
      </c>
      <c r="E229" s="19">
        <v>100</v>
      </c>
      <c r="F229" s="19" t="s">
        <v>283</v>
      </c>
      <c r="G229" s="19"/>
    </row>
    <row r="230" spans="2:7" s="15" customFormat="1">
      <c r="D230" s="15" t="s">
        <v>284</v>
      </c>
      <c r="E230" s="15">
        <f>SUM(E227:E229)</f>
        <v>400</v>
      </c>
    </row>
    <row r="232" spans="2:7">
      <c r="B232" s="7" t="s">
        <v>316</v>
      </c>
    </row>
    <row r="233" spans="2:7">
      <c r="B233" s="2" t="s">
        <v>274</v>
      </c>
      <c r="C233" s="2" t="s">
        <v>275</v>
      </c>
      <c r="D233" s="2" t="s">
        <v>3</v>
      </c>
      <c r="E233" s="2" t="s">
        <v>40</v>
      </c>
      <c r="F233" s="2" t="s">
        <v>6</v>
      </c>
      <c r="G233" s="2" t="s">
        <v>7</v>
      </c>
    </row>
    <row r="234" spans="2:7">
      <c r="B234" s="3" t="s">
        <v>276</v>
      </c>
      <c r="C234" s="4">
        <v>300</v>
      </c>
      <c r="D234" s="4"/>
      <c r="E234" s="2" t="s">
        <v>277</v>
      </c>
      <c r="F234" s="4"/>
      <c r="G234" s="4"/>
    </row>
    <row r="235" spans="2:7">
      <c r="B235" s="3" t="s">
        <v>278</v>
      </c>
      <c r="C235" s="4">
        <v>250</v>
      </c>
      <c r="D235" s="4"/>
      <c r="E235" s="2" t="s">
        <v>277</v>
      </c>
      <c r="F235" s="4"/>
      <c r="G235" s="4"/>
    </row>
    <row r="236" spans="2:7">
      <c r="B236" s="3" t="s">
        <v>279</v>
      </c>
      <c r="C236" s="4">
        <v>200</v>
      </c>
      <c r="D236" s="4" t="s">
        <v>306</v>
      </c>
      <c r="E236" s="4">
        <v>300</v>
      </c>
      <c r="F236" s="4" t="s">
        <v>83</v>
      </c>
      <c r="G236" s="4"/>
    </row>
    <row r="237" spans="2:7">
      <c r="B237" s="5" t="s">
        <v>17</v>
      </c>
      <c r="C237" s="4">
        <v>350</v>
      </c>
      <c r="D237" s="4" t="s">
        <v>280</v>
      </c>
      <c r="E237" s="4">
        <v>-100</v>
      </c>
      <c r="F237" s="4" t="s">
        <v>79</v>
      </c>
      <c r="G237" s="4" t="s">
        <v>297</v>
      </c>
    </row>
    <row r="238" spans="2:7">
      <c r="B238" s="6" t="s">
        <v>281</v>
      </c>
      <c r="C238" s="4">
        <v>200</v>
      </c>
      <c r="D238" s="4" t="s">
        <v>282</v>
      </c>
      <c r="E238" s="4">
        <v>300</v>
      </c>
      <c r="F238" s="4" t="s">
        <v>283</v>
      </c>
      <c r="G238" s="4"/>
    </row>
    <row r="239" spans="2:7">
      <c r="D239" s="1" t="s">
        <v>284</v>
      </c>
      <c r="E239" s="1">
        <f>SUM(E236:E238)</f>
        <v>500</v>
      </c>
    </row>
    <row r="241" spans="1:7" s="15" customFormat="1">
      <c r="A241" s="15" t="s">
        <v>310</v>
      </c>
      <c r="B241" s="16" t="s">
        <v>317</v>
      </c>
    </row>
    <row r="242" spans="1:7" s="15" customFormat="1">
      <c r="B242" s="17" t="s">
        <v>274</v>
      </c>
      <c r="C242" s="17" t="s">
        <v>275</v>
      </c>
      <c r="D242" s="17" t="s">
        <v>3</v>
      </c>
      <c r="E242" s="17" t="s">
        <v>40</v>
      </c>
      <c r="F242" s="17" t="s">
        <v>6</v>
      </c>
      <c r="G242" s="17" t="s">
        <v>7</v>
      </c>
    </row>
    <row r="243" spans="1:7" s="15" customFormat="1">
      <c r="B243" s="18" t="s">
        <v>276</v>
      </c>
      <c r="C243" s="19">
        <v>300</v>
      </c>
      <c r="D243" s="19"/>
      <c r="E243" s="17" t="s">
        <v>277</v>
      </c>
      <c r="F243" s="19"/>
      <c r="G243" s="19"/>
    </row>
    <row r="244" spans="1:7" s="15" customFormat="1">
      <c r="B244" s="18" t="s">
        <v>278</v>
      </c>
      <c r="C244" s="19">
        <v>250</v>
      </c>
      <c r="D244" s="19"/>
      <c r="E244" s="17" t="s">
        <v>277</v>
      </c>
      <c r="F244" s="19"/>
      <c r="G244" s="19"/>
    </row>
    <row r="245" spans="1:7" s="15" customFormat="1">
      <c r="B245" s="18" t="s">
        <v>279</v>
      </c>
      <c r="C245" s="19">
        <v>150</v>
      </c>
      <c r="D245" s="19" t="s">
        <v>306</v>
      </c>
      <c r="E245" s="19">
        <v>400</v>
      </c>
      <c r="F245" s="19" t="s">
        <v>83</v>
      </c>
      <c r="G245" s="19"/>
    </row>
    <row r="246" spans="1:7" s="15" customFormat="1">
      <c r="B246" s="20" t="s">
        <v>17</v>
      </c>
      <c r="C246" s="19">
        <v>350</v>
      </c>
      <c r="D246" s="19" t="s">
        <v>280</v>
      </c>
      <c r="E246" s="19">
        <v>-100</v>
      </c>
      <c r="F246" s="19" t="s">
        <v>79</v>
      </c>
      <c r="G246" s="19" t="s">
        <v>297</v>
      </c>
    </row>
    <row r="247" spans="1:7" s="15" customFormat="1">
      <c r="B247" s="21" t="s">
        <v>281</v>
      </c>
      <c r="C247" s="19">
        <v>200</v>
      </c>
      <c r="D247" s="19" t="s">
        <v>282</v>
      </c>
      <c r="E247" s="19">
        <v>300</v>
      </c>
      <c r="F247" s="19" t="s">
        <v>283</v>
      </c>
      <c r="G247" s="19"/>
    </row>
    <row r="248" spans="1:7" s="15" customFormat="1">
      <c r="D248" s="15" t="s">
        <v>284</v>
      </c>
      <c r="E248" s="15">
        <f>SUM(E245:E247)</f>
        <v>600</v>
      </c>
    </row>
    <row r="250" spans="1:7" s="8" customFormat="1">
      <c r="A250" s="8" t="s">
        <v>299</v>
      </c>
      <c r="B250" s="9" t="s">
        <v>318</v>
      </c>
    </row>
    <row r="251" spans="1:7" s="8" customFormat="1">
      <c r="B251" s="10" t="s">
        <v>274</v>
      </c>
      <c r="C251" s="10" t="s">
        <v>275</v>
      </c>
      <c r="D251" s="10" t="s">
        <v>3</v>
      </c>
      <c r="E251" s="10" t="s">
        <v>40</v>
      </c>
      <c r="F251" s="10" t="s">
        <v>6</v>
      </c>
      <c r="G251" s="10" t="s">
        <v>7</v>
      </c>
    </row>
    <row r="252" spans="1:7" s="8" customFormat="1">
      <c r="B252" s="11" t="s">
        <v>276</v>
      </c>
      <c r="C252" s="12">
        <v>300</v>
      </c>
      <c r="D252" s="12"/>
      <c r="E252" s="10" t="s">
        <v>277</v>
      </c>
      <c r="F252" s="12"/>
      <c r="G252" s="12"/>
    </row>
    <row r="253" spans="1:7" s="8" customFormat="1">
      <c r="B253" s="11" t="s">
        <v>278</v>
      </c>
      <c r="C253" s="12">
        <v>200</v>
      </c>
      <c r="D253" s="12"/>
      <c r="E253" s="10" t="s">
        <v>277</v>
      </c>
      <c r="F253" s="12"/>
      <c r="G253" s="12"/>
    </row>
    <row r="254" spans="1:7" s="8" customFormat="1">
      <c r="B254" s="11" t="s">
        <v>279</v>
      </c>
      <c r="C254" s="12">
        <v>150</v>
      </c>
      <c r="D254" s="12" t="s">
        <v>306</v>
      </c>
      <c r="E254" s="12">
        <v>400</v>
      </c>
      <c r="F254" s="12" t="s">
        <v>83</v>
      </c>
      <c r="G254" s="12"/>
    </row>
    <row r="255" spans="1:7" s="8" customFormat="1">
      <c r="B255" s="13" t="s">
        <v>17</v>
      </c>
      <c r="C255" s="12">
        <v>350</v>
      </c>
      <c r="D255" s="12" t="s">
        <v>280</v>
      </c>
      <c r="E255" s="12">
        <v>-100</v>
      </c>
      <c r="F255" s="12" t="s">
        <v>79</v>
      </c>
      <c r="G255" s="12" t="s">
        <v>297</v>
      </c>
    </row>
    <row r="256" spans="1:7" s="8" customFormat="1">
      <c r="B256" s="14" t="s">
        <v>281</v>
      </c>
      <c r="C256" s="12">
        <v>250</v>
      </c>
      <c r="D256" s="12" t="s">
        <v>282</v>
      </c>
      <c r="E256" s="12">
        <v>200</v>
      </c>
      <c r="F256" s="12" t="s">
        <v>283</v>
      </c>
      <c r="G256" s="12"/>
    </row>
    <row r="257" spans="1:7" s="8" customFormat="1">
      <c r="D257" s="8" t="s">
        <v>284</v>
      </c>
      <c r="E257" s="8">
        <f>SUM(E254:E256)</f>
        <v>500</v>
      </c>
    </row>
    <row r="259" spans="1:7" s="8" customFormat="1">
      <c r="A259" s="8" t="s">
        <v>299</v>
      </c>
      <c r="B259" s="9" t="s">
        <v>319</v>
      </c>
    </row>
    <row r="260" spans="1:7" s="8" customFormat="1">
      <c r="B260" s="10" t="s">
        <v>274</v>
      </c>
      <c r="C260" s="10" t="s">
        <v>275</v>
      </c>
      <c r="D260" s="10" t="s">
        <v>3</v>
      </c>
      <c r="E260" s="10" t="s">
        <v>40</v>
      </c>
      <c r="F260" s="10" t="s">
        <v>6</v>
      </c>
      <c r="G260" s="10" t="s">
        <v>7</v>
      </c>
    </row>
    <row r="261" spans="1:7" s="8" customFormat="1">
      <c r="B261" s="11" t="s">
        <v>276</v>
      </c>
      <c r="C261" s="12">
        <v>300</v>
      </c>
      <c r="D261" s="12"/>
      <c r="E261" s="10" t="s">
        <v>277</v>
      </c>
      <c r="F261" s="12"/>
      <c r="G261" s="12"/>
    </row>
    <row r="262" spans="1:7" s="8" customFormat="1">
      <c r="B262" s="11" t="s">
        <v>278</v>
      </c>
      <c r="C262" s="12">
        <v>250</v>
      </c>
      <c r="D262" s="12"/>
      <c r="E262" s="10" t="s">
        <v>277</v>
      </c>
      <c r="F262" s="12"/>
      <c r="G262" s="12"/>
    </row>
    <row r="263" spans="1:7" s="8" customFormat="1">
      <c r="B263" s="11" t="s">
        <v>279</v>
      </c>
      <c r="C263" s="12">
        <v>200</v>
      </c>
      <c r="D263" s="12" t="s">
        <v>306</v>
      </c>
      <c r="E263" s="12">
        <v>300</v>
      </c>
      <c r="F263" s="12" t="s">
        <v>83</v>
      </c>
      <c r="G263" s="12"/>
    </row>
    <row r="264" spans="1:7" s="8" customFormat="1">
      <c r="B264" s="13" t="s">
        <v>17</v>
      </c>
      <c r="C264" s="12">
        <v>350</v>
      </c>
      <c r="D264" s="12" t="s">
        <v>280</v>
      </c>
      <c r="E264" s="12">
        <v>-100</v>
      </c>
      <c r="F264" s="12" t="s">
        <v>79</v>
      </c>
      <c r="G264" s="12" t="s">
        <v>297</v>
      </c>
    </row>
    <row r="265" spans="1:7" s="8" customFormat="1">
      <c r="B265" s="14" t="s">
        <v>281</v>
      </c>
      <c r="C265" s="12">
        <v>250</v>
      </c>
      <c r="D265" s="12" t="s">
        <v>282</v>
      </c>
      <c r="E265" s="12">
        <v>200</v>
      </c>
      <c r="F265" s="12" t="s">
        <v>283</v>
      </c>
      <c r="G265" s="12"/>
    </row>
    <row r="266" spans="1:7" s="8" customFormat="1">
      <c r="D266" s="8" t="s">
        <v>284</v>
      </c>
      <c r="E266" s="8">
        <f>SUM(E263:E265)</f>
        <v>400</v>
      </c>
    </row>
    <row r="268" spans="1:7">
      <c r="B268" s="7" t="s">
        <v>320</v>
      </c>
    </row>
    <row r="269" spans="1:7">
      <c r="B269" s="2" t="s">
        <v>274</v>
      </c>
      <c r="C269" s="2" t="s">
        <v>275</v>
      </c>
      <c r="D269" s="2" t="s">
        <v>3</v>
      </c>
      <c r="E269" s="2" t="s">
        <v>40</v>
      </c>
      <c r="F269" s="2" t="s">
        <v>6</v>
      </c>
      <c r="G269" s="2" t="s">
        <v>7</v>
      </c>
    </row>
    <row r="270" spans="1:7">
      <c r="B270" s="3" t="s">
        <v>276</v>
      </c>
      <c r="C270" s="4">
        <v>300</v>
      </c>
      <c r="D270" s="4"/>
      <c r="E270" s="2" t="s">
        <v>277</v>
      </c>
      <c r="F270" s="4"/>
      <c r="G270" s="4"/>
    </row>
    <row r="271" spans="1:7">
      <c r="B271" s="3" t="s">
        <v>278</v>
      </c>
      <c r="C271" s="4">
        <v>250</v>
      </c>
      <c r="D271" s="4"/>
      <c r="E271" s="2" t="s">
        <v>277</v>
      </c>
      <c r="F271" s="4"/>
      <c r="G271" s="4"/>
    </row>
    <row r="272" spans="1:7">
      <c r="B272" s="3" t="s">
        <v>279</v>
      </c>
      <c r="C272" s="4">
        <v>200</v>
      </c>
      <c r="D272" s="4" t="s">
        <v>306</v>
      </c>
      <c r="E272" s="4">
        <v>400</v>
      </c>
      <c r="F272" s="4" t="s">
        <v>83</v>
      </c>
      <c r="G272" s="4"/>
    </row>
    <row r="273" spans="2:7">
      <c r="B273" s="5" t="s">
        <v>17</v>
      </c>
      <c r="C273" s="4">
        <v>400</v>
      </c>
      <c r="D273" s="4" t="s">
        <v>280</v>
      </c>
      <c r="E273" s="4">
        <v>-200</v>
      </c>
      <c r="F273" s="4" t="s">
        <v>79</v>
      </c>
      <c r="G273" s="4" t="s">
        <v>297</v>
      </c>
    </row>
    <row r="274" spans="2:7">
      <c r="B274" s="6" t="s">
        <v>281</v>
      </c>
      <c r="C274" s="4">
        <v>350</v>
      </c>
      <c r="D274" s="4" t="s">
        <v>282</v>
      </c>
      <c r="E274" s="4">
        <v>100</v>
      </c>
      <c r="F274" s="4" t="s">
        <v>283</v>
      </c>
      <c r="G274" s="4"/>
    </row>
    <row r="275" spans="2:7">
      <c r="D275" s="1" t="s">
        <v>284</v>
      </c>
      <c r="E275" s="1">
        <f>SUM(E272:E274)</f>
        <v>300</v>
      </c>
    </row>
    <row r="277" spans="2:7">
      <c r="B277" s="7" t="s">
        <v>321</v>
      </c>
    </row>
    <row r="278" spans="2:7">
      <c r="B278" s="2" t="s">
        <v>274</v>
      </c>
      <c r="C278" s="2" t="s">
        <v>275</v>
      </c>
      <c r="D278" s="2" t="s">
        <v>3</v>
      </c>
      <c r="E278" s="2" t="s">
        <v>40</v>
      </c>
      <c r="F278" s="2" t="s">
        <v>6</v>
      </c>
      <c r="G278" s="2" t="s">
        <v>7</v>
      </c>
    </row>
    <row r="279" spans="2:7">
      <c r="B279" s="3" t="s">
        <v>276</v>
      </c>
      <c r="C279" s="4">
        <v>300</v>
      </c>
      <c r="D279" s="4"/>
      <c r="E279" s="2" t="s">
        <v>277</v>
      </c>
      <c r="F279" s="4"/>
      <c r="G279" s="4"/>
    </row>
    <row r="280" spans="2:7">
      <c r="B280" s="3" t="s">
        <v>278</v>
      </c>
      <c r="C280" s="4">
        <v>250</v>
      </c>
      <c r="D280" s="4"/>
      <c r="E280" s="2" t="s">
        <v>277</v>
      </c>
      <c r="F280" s="4"/>
      <c r="G280" s="4"/>
    </row>
    <row r="281" spans="2:7">
      <c r="B281" s="3" t="s">
        <v>279</v>
      </c>
      <c r="C281" s="4">
        <v>200</v>
      </c>
      <c r="D281" s="4" t="s">
        <v>290</v>
      </c>
      <c r="E281" s="4">
        <v>400</v>
      </c>
      <c r="F281" s="4" t="s">
        <v>83</v>
      </c>
      <c r="G281" s="4"/>
    </row>
    <row r="282" spans="2:7">
      <c r="B282" s="5" t="s">
        <v>17</v>
      </c>
      <c r="C282" s="4">
        <v>300</v>
      </c>
      <c r="D282" s="4"/>
      <c r="E282" s="4"/>
      <c r="F282" s="4"/>
      <c r="G282" s="4"/>
    </row>
    <row r="283" spans="2:7">
      <c r="B283" s="6" t="s">
        <v>281</v>
      </c>
      <c r="C283" s="4">
        <v>400</v>
      </c>
      <c r="D283" s="4" t="s">
        <v>282</v>
      </c>
      <c r="E283" s="4">
        <v>-200</v>
      </c>
      <c r="F283" s="4" t="s">
        <v>283</v>
      </c>
      <c r="G283" s="4" t="s">
        <v>86</v>
      </c>
    </row>
    <row r="284" spans="2:7">
      <c r="D284" s="1" t="s">
        <v>284</v>
      </c>
      <c r="E284" s="1">
        <f>SUM(E281:E283)</f>
        <v>200</v>
      </c>
    </row>
    <row r="286" spans="2:7">
      <c r="B286" s="7" t="s">
        <v>322</v>
      </c>
    </row>
    <row r="287" spans="2:7">
      <c r="B287" s="2" t="s">
        <v>274</v>
      </c>
      <c r="C287" s="2" t="s">
        <v>275</v>
      </c>
      <c r="D287" s="2" t="s">
        <v>3</v>
      </c>
      <c r="E287" s="2" t="s">
        <v>40</v>
      </c>
      <c r="F287" s="2" t="s">
        <v>6</v>
      </c>
      <c r="G287" s="2" t="s">
        <v>7</v>
      </c>
    </row>
    <row r="288" spans="2:7">
      <c r="B288" s="3" t="s">
        <v>276</v>
      </c>
      <c r="C288" s="4">
        <v>300</v>
      </c>
      <c r="D288" s="4"/>
      <c r="E288" s="2" t="s">
        <v>277</v>
      </c>
      <c r="F288" s="4"/>
      <c r="G288" s="4"/>
    </row>
    <row r="289" spans="2:7">
      <c r="B289" s="3" t="s">
        <v>278</v>
      </c>
      <c r="C289" s="4">
        <v>250</v>
      </c>
      <c r="D289" s="4"/>
      <c r="E289" s="2" t="s">
        <v>277</v>
      </c>
      <c r="F289" s="4"/>
      <c r="G289" s="4"/>
    </row>
    <row r="290" spans="2:7">
      <c r="B290" s="3" t="s">
        <v>279</v>
      </c>
      <c r="C290" s="4">
        <v>100</v>
      </c>
      <c r="D290" s="4" t="s">
        <v>306</v>
      </c>
      <c r="E290" s="4">
        <v>200</v>
      </c>
      <c r="F290" s="4" t="s">
        <v>83</v>
      </c>
      <c r="G290" s="4"/>
    </row>
    <row r="291" spans="2:7">
      <c r="B291" s="5" t="s">
        <v>17</v>
      </c>
      <c r="C291" s="4">
        <v>200</v>
      </c>
      <c r="D291" s="4" t="s">
        <v>280</v>
      </c>
      <c r="E291" s="4">
        <v>200</v>
      </c>
      <c r="F291" s="4" t="s">
        <v>79</v>
      </c>
      <c r="G291" s="4" t="s">
        <v>297</v>
      </c>
    </row>
    <row r="292" spans="2:7">
      <c r="B292" s="6" t="s">
        <v>281</v>
      </c>
      <c r="C292" s="4">
        <v>150</v>
      </c>
      <c r="D292" s="4" t="s">
        <v>282</v>
      </c>
      <c r="E292" s="4">
        <v>100</v>
      </c>
      <c r="F292" s="4" t="s">
        <v>283</v>
      </c>
      <c r="G292" s="4"/>
    </row>
    <row r="293" spans="2:7">
      <c r="D293" s="1" t="s">
        <v>284</v>
      </c>
      <c r="E293" s="1">
        <f>SUM(E290:E292)</f>
        <v>500</v>
      </c>
    </row>
    <row r="295" spans="2:7">
      <c r="B295" s="7" t="s">
        <v>323</v>
      </c>
    </row>
    <row r="296" spans="2:7">
      <c r="B296" s="2" t="s">
        <v>274</v>
      </c>
      <c r="C296" s="2" t="s">
        <v>275</v>
      </c>
      <c r="D296" s="2" t="s">
        <v>3</v>
      </c>
      <c r="E296" s="2" t="s">
        <v>40</v>
      </c>
      <c r="F296" s="2" t="s">
        <v>6</v>
      </c>
      <c r="G296" s="2" t="s">
        <v>7</v>
      </c>
    </row>
    <row r="297" spans="2:7">
      <c r="B297" s="3" t="s">
        <v>276</v>
      </c>
      <c r="C297" s="4">
        <v>300</v>
      </c>
      <c r="D297" s="4"/>
      <c r="E297" s="2" t="s">
        <v>277</v>
      </c>
      <c r="F297" s="4"/>
      <c r="G297" s="4"/>
    </row>
    <row r="298" spans="2:7">
      <c r="B298" s="3" t="s">
        <v>278</v>
      </c>
      <c r="C298" s="4">
        <v>100</v>
      </c>
      <c r="D298" s="4"/>
      <c r="E298" s="2" t="s">
        <v>277</v>
      </c>
      <c r="F298" s="4"/>
      <c r="G298" s="4"/>
    </row>
    <row r="299" spans="2:7">
      <c r="B299" s="3" t="s">
        <v>279</v>
      </c>
      <c r="C299" s="4">
        <v>150</v>
      </c>
      <c r="D299" s="4" t="s">
        <v>306</v>
      </c>
      <c r="E299" s="4">
        <v>200</v>
      </c>
      <c r="F299" s="4" t="s">
        <v>83</v>
      </c>
      <c r="G299" s="4"/>
    </row>
    <row r="300" spans="2:7">
      <c r="B300" s="5" t="s">
        <v>17</v>
      </c>
      <c r="C300" s="4">
        <v>250</v>
      </c>
      <c r="D300" s="4" t="s">
        <v>280</v>
      </c>
      <c r="E300" s="4">
        <v>100</v>
      </c>
      <c r="F300" s="4" t="s">
        <v>79</v>
      </c>
      <c r="G300" s="4" t="s">
        <v>84</v>
      </c>
    </row>
    <row r="301" spans="2:7">
      <c r="B301" s="6" t="s">
        <v>281</v>
      </c>
      <c r="C301" s="4">
        <v>250</v>
      </c>
      <c r="D301" s="4"/>
      <c r="E301" s="4">
        <v>0</v>
      </c>
      <c r="F301" s="4"/>
      <c r="G301" s="4"/>
    </row>
    <row r="302" spans="2:7">
      <c r="D302" s="1" t="s">
        <v>284</v>
      </c>
      <c r="E302" s="1">
        <f>SUM(E299:E301)</f>
        <v>300</v>
      </c>
    </row>
    <row r="304" spans="2:7">
      <c r="B304" s="7" t="s">
        <v>324</v>
      </c>
    </row>
    <row r="305" spans="2:7">
      <c r="B305" s="2" t="s">
        <v>274</v>
      </c>
      <c r="C305" s="2" t="s">
        <v>275</v>
      </c>
      <c r="D305" s="2" t="s">
        <v>3</v>
      </c>
      <c r="E305" s="2" t="s">
        <v>40</v>
      </c>
      <c r="F305" s="2" t="s">
        <v>6</v>
      </c>
      <c r="G305" s="2" t="s">
        <v>7</v>
      </c>
    </row>
    <row r="306" spans="2:7">
      <c r="B306" s="3" t="s">
        <v>276</v>
      </c>
      <c r="C306" s="4">
        <v>300</v>
      </c>
      <c r="D306" s="4"/>
      <c r="E306" s="2" t="s">
        <v>277</v>
      </c>
      <c r="F306" s="4"/>
      <c r="G306" s="4"/>
    </row>
    <row r="307" spans="2:7">
      <c r="B307" s="3" t="s">
        <v>278</v>
      </c>
      <c r="C307" s="4">
        <v>250</v>
      </c>
      <c r="D307" s="4"/>
      <c r="E307" s="2" t="s">
        <v>277</v>
      </c>
      <c r="F307" s="4"/>
      <c r="G307" s="4"/>
    </row>
    <row r="308" spans="2:7">
      <c r="B308" s="3" t="s">
        <v>279</v>
      </c>
      <c r="C308" s="4">
        <v>200</v>
      </c>
      <c r="D308" s="4" t="s">
        <v>306</v>
      </c>
      <c r="E308" s="4">
        <v>100</v>
      </c>
      <c r="F308" s="4" t="s">
        <v>83</v>
      </c>
      <c r="G308" s="4"/>
    </row>
    <row r="309" spans="2:7">
      <c r="B309" s="5" t="s">
        <v>17</v>
      </c>
      <c r="C309" s="4">
        <v>250</v>
      </c>
      <c r="D309" s="4" t="s">
        <v>280</v>
      </c>
      <c r="E309" s="4">
        <v>100</v>
      </c>
      <c r="F309" s="4" t="s">
        <v>79</v>
      </c>
      <c r="G309" s="4" t="s">
        <v>84</v>
      </c>
    </row>
    <row r="310" spans="2:7">
      <c r="B310" s="6" t="s">
        <v>281</v>
      </c>
      <c r="C310" s="4">
        <v>250</v>
      </c>
      <c r="D310" s="4"/>
      <c r="E310" s="4">
        <v>0</v>
      </c>
      <c r="F310" s="4"/>
      <c r="G310" s="4"/>
    </row>
    <row r="311" spans="2:7">
      <c r="D311" s="1" t="s">
        <v>284</v>
      </c>
      <c r="E311" s="1">
        <f>SUM(E308:E310)</f>
        <v>200</v>
      </c>
    </row>
    <row r="313" spans="2:7">
      <c r="B313" s="7" t="s">
        <v>325</v>
      </c>
    </row>
    <row r="314" spans="2:7">
      <c r="B314" s="2" t="s">
        <v>274</v>
      </c>
      <c r="C314" s="2" t="s">
        <v>275</v>
      </c>
      <c r="D314" s="2" t="s">
        <v>3</v>
      </c>
      <c r="E314" s="2" t="s">
        <v>40</v>
      </c>
      <c r="F314" s="2" t="s">
        <v>6</v>
      </c>
      <c r="G314" s="2" t="s">
        <v>7</v>
      </c>
    </row>
    <row r="315" spans="2:7">
      <c r="B315" s="3" t="s">
        <v>276</v>
      </c>
      <c r="C315" s="4">
        <v>300</v>
      </c>
      <c r="D315" s="4"/>
      <c r="E315" s="2" t="s">
        <v>277</v>
      </c>
      <c r="F315" s="4"/>
      <c r="G315" s="4"/>
    </row>
    <row r="316" spans="2:7">
      <c r="B316" s="3" t="s">
        <v>278</v>
      </c>
      <c r="C316" s="4">
        <v>250</v>
      </c>
      <c r="D316" s="4"/>
      <c r="E316" s="2" t="s">
        <v>277</v>
      </c>
      <c r="F316" s="4"/>
      <c r="G316" s="4"/>
    </row>
    <row r="317" spans="2:7">
      <c r="B317" s="3" t="s">
        <v>279</v>
      </c>
      <c r="C317" s="4">
        <v>200</v>
      </c>
      <c r="D317" s="4" t="s">
        <v>306</v>
      </c>
      <c r="E317" s="4">
        <v>300</v>
      </c>
      <c r="F317" s="4" t="s">
        <v>83</v>
      </c>
      <c r="G317" s="4"/>
    </row>
    <row r="318" spans="2:7">
      <c r="B318" s="5" t="s">
        <v>17</v>
      </c>
      <c r="C318" s="4">
        <v>350</v>
      </c>
      <c r="D318" s="4" t="s">
        <v>280</v>
      </c>
      <c r="E318" s="4">
        <v>-100</v>
      </c>
      <c r="F318" s="4" t="s">
        <v>79</v>
      </c>
      <c r="G318" s="4" t="s">
        <v>84</v>
      </c>
    </row>
    <row r="319" spans="2:7">
      <c r="B319" s="6" t="s">
        <v>281</v>
      </c>
      <c r="C319" s="4">
        <v>350</v>
      </c>
      <c r="D319" s="4"/>
      <c r="E319" s="4">
        <v>0</v>
      </c>
      <c r="F319" s="4"/>
      <c r="G319" s="4"/>
    </row>
    <row r="320" spans="2:7">
      <c r="D320" s="1" t="s">
        <v>284</v>
      </c>
      <c r="E320" s="1">
        <f>SUM(E317:E319)</f>
        <v>200</v>
      </c>
    </row>
    <row r="322" spans="1:7">
      <c r="B322" s="7" t="s">
        <v>326</v>
      </c>
    </row>
    <row r="323" spans="1:7">
      <c r="B323" s="2" t="s">
        <v>274</v>
      </c>
      <c r="C323" s="2" t="s">
        <v>275</v>
      </c>
      <c r="D323" s="2" t="s">
        <v>3</v>
      </c>
      <c r="E323" s="2" t="s">
        <v>40</v>
      </c>
      <c r="F323" s="2" t="s">
        <v>6</v>
      </c>
      <c r="G323" s="2" t="s">
        <v>7</v>
      </c>
    </row>
    <row r="324" spans="1:7">
      <c r="B324" s="3" t="s">
        <v>276</v>
      </c>
      <c r="C324" s="4">
        <v>300</v>
      </c>
      <c r="D324" s="4"/>
      <c r="E324" s="2" t="s">
        <v>277</v>
      </c>
      <c r="F324" s="4"/>
      <c r="G324" s="4"/>
    </row>
    <row r="325" spans="1:7">
      <c r="B325" s="3" t="s">
        <v>278</v>
      </c>
      <c r="C325" s="4">
        <v>250</v>
      </c>
      <c r="D325" s="4"/>
      <c r="E325" s="2" t="s">
        <v>277</v>
      </c>
      <c r="F325" s="4"/>
      <c r="G325" s="4"/>
    </row>
    <row r="326" spans="1:7">
      <c r="B326" s="3" t="s">
        <v>279</v>
      </c>
      <c r="C326" s="4">
        <v>200</v>
      </c>
      <c r="D326" s="4" t="s">
        <v>306</v>
      </c>
      <c r="E326" s="4">
        <v>200</v>
      </c>
      <c r="F326" s="4" t="s">
        <v>83</v>
      </c>
      <c r="G326" s="4"/>
    </row>
    <row r="327" spans="1:7">
      <c r="B327" s="5" t="s">
        <v>17</v>
      </c>
      <c r="C327" s="4">
        <v>300</v>
      </c>
      <c r="D327" s="4" t="s">
        <v>280</v>
      </c>
      <c r="E327" s="4">
        <v>0</v>
      </c>
      <c r="F327" s="4" t="s">
        <v>79</v>
      </c>
      <c r="G327" s="4" t="s">
        <v>84</v>
      </c>
    </row>
    <row r="328" spans="1:7">
      <c r="B328" s="6" t="s">
        <v>281</v>
      </c>
      <c r="C328" s="4">
        <v>300</v>
      </c>
      <c r="D328" s="4"/>
      <c r="E328" s="4">
        <v>0</v>
      </c>
      <c r="F328" s="4"/>
      <c r="G328" s="4"/>
    </row>
    <row r="329" spans="1:7">
      <c r="D329" s="1" t="s">
        <v>284</v>
      </c>
      <c r="E329" s="1">
        <f>SUM(E326:E328)</f>
        <v>200</v>
      </c>
    </row>
    <row r="331" spans="1:7" s="8" customFormat="1">
      <c r="A331" s="8" t="s">
        <v>299</v>
      </c>
      <c r="B331" s="9" t="s">
        <v>327</v>
      </c>
    </row>
    <row r="332" spans="1:7" s="8" customFormat="1">
      <c r="B332" s="10" t="s">
        <v>274</v>
      </c>
      <c r="C332" s="10" t="s">
        <v>275</v>
      </c>
      <c r="D332" s="10" t="s">
        <v>3</v>
      </c>
      <c r="E332" s="10" t="s">
        <v>40</v>
      </c>
      <c r="F332" s="10" t="s">
        <v>6</v>
      </c>
      <c r="G332" s="10" t="s">
        <v>7</v>
      </c>
    </row>
    <row r="333" spans="1:7" s="8" customFormat="1">
      <c r="B333" s="11" t="s">
        <v>276</v>
      </c>
      <c r="C333" s="12">
        <v>300</v>
      </c>
      <c r="D333" s="12"/>
      <c r="E333" s="10" t="s">
        <v>277</v>
      </c>
      <c r="F333" s="12"/>
      <c r="G333" s="12"/>
    </row>
    <row r="334" spans="1:7" s="8" customFormat="1">
      <c r="B334" s="11" t="s">
        <v>278</v>
      </c>
      <c r="C334" s="12">
        <v>250</v>
      </c>
      <c r="D334" s="12"/>
      <c r="E334" s="10" t="s">
        <v>277</v>
      </c>
      <c r="F334" s="12"/>
      <c r="G334" s="12"/>
    </row>
    <row r="335" spans="1:7" s="8" customFormat="1">
      <c r="B335" s="11" t="s">
        <v>279</v>
      </c>
      <c r="C335" s="12">
        <v>100</v>
      </c>
      <c r="D335" s="12" t="s">
        <v>290</v>
      </c>
      <c r="E335" s="12">
        <v>200</v>
      </c>
      <c r="F335" s="12" t="s">
        <v>83</v>
      </c>
      <c r="G335" s="12"/>
    </row>
    <row r="336" spans="1:7" s="8" customFormat="1">
      <c r="B336" s="13" t="s">
        <v>17</v>
      </c>
      <c r="C336" s="12">
        <v>150</v>
      </c>
      <c r="D336" s="12"/>
      <c r="E336" s="12"/>
      <c r="F336" s="12"/>
      <c r="G336" s="12"/>
    </row>
    <row r="337" spans="1:7" s="8" customFormat="1">
      <c r="B337" s="14" t="s">
        <v>281</v>
      </c>
      <c r="C337" s="12">
        <v>200</v>
      </c>
      <c r="D337" s="12" t="s">
        <v>282</v>
      </c>
      <c r="E337" s="12">
        <v>200</v>
      </c>
      <c r="F337" s="12" t="s">
        <v>283</v>
      </c>
      <c r="G337" s="12" t="s">
        <v>86</v>
      </c>
    </row>
    <row r="338" spans="1:7" s="8" customFormat="1">
      <c r="D338" s="8" t="s">
        <v>284</v>
      </c>
      <c r="E338" s="8">
        <f>SUM(E335:E337)</f>
        <v>400</v>
      </c>
    </row>
    <row r="340" spans="1:7">
      <c r="B340" s="7" t="s">
        <v>328</v>
      </c>
    </row>
    <row r="341" spans="1:7">
      <c r="B341" s="2" t="s">
        <v>274</v>
      </c>
      <c r="C341" s="2" t="s">
        <v>275</v>
      </c>
      <c r="D341" s="2" t="s">
        <v>3</v>
      </c>
      <c r="E341" s="2" t="s">
        <v>40</v>
      </c>
      <c r="F341" s="2" t="s">
        <v>6</v>
      </c>
      <c r="G341" s="2" t="s">
        <v>7</v>
      </c>
    </row>
    <row r="342" spans="1:7">
      <c r="B342" s="3" t="s">
        <v>276</v>
      </c>
      <c r="C342" s="4">
        <v>300</v>
      </c>
      <c r="D342" s="4"/>
      <c r="E342" s="2" t="s">
        <v>277</v>
      </c>
      <c r="F342" s="4"/>
      <c r="G342" s="4"/>
    </row>
    <row r="343" spans="1:7">
      <c r="B343" s="3" t="s">
        <v>278</v>
      </c>
      <c r="C343" s="4">
        <v>200</v>
      </c>
      <c r="D343" s="4"/>
      <c r="E343" s="2" t="s">
        <v>277</v>
      </c>
      <c r="F343" s="4"/>
      <c r="G343" s="4"/>
    </row>
    <row r="344" spans="1:7">
      <c r="B344" s="3" t="s">
        <v>279</v>
      </c>
      <c r="C344" s="4">
        <v>100</v>
      </c>
      <c r="D344" s="4" t="s">
        <v>290</v>
      </c>
      <c r="E344" s="4">
        <v>300</v>
      </c>
      <c r="F344" s="4" t="s">
        <v>83</v>
      </c>
      <c r="G344" s="4"/>
    </row>
    <row r="345" spans="1:7">
      <c r="B345" s="5" t="s">
        <v>17</v>
      </c>
      <c r="C345" s="4">
        <v>150</v>
      </c>
      <c r="D345" s="4"/>
      <c r="E345" s="4"/>
      <c r="F345" s="4"/>
      <c r="G345" s="4"/>
    </row>
    <row r="346" spans="1:7">
      <c r="B346" s="6" t="s">
        <v>281</v>
      </c>
      <c r="C346" s="4">
        <v>250</v>
      </c>
      <c r="D346" s="4" t="s">
        <v>287</v>
      </c>
      <c r="E346" s="4">
        <v>100</v>
      </c>
      <c r="F346" s="4" t="s">
        <v>283</v>
      </c>
      <c r="G346" s="4" t="s">
        <v>86</v>
      </c>
    </row>
    <row r="347" spans="1:7">
      <c r="D347" s="1" t="s">
        <v>284</v>
      </c>
      <c r="E347" s="1">
        <f>SUM(E344:E346)</f>
        <v>400</v>
      </c>
    </row>
    <row r="349" spans="1:7" s="8" customFormat="1">
      <c r="A349" s="8" t="s">
        <v>299</v>
      </c>
      <c r="B349" s="9" t="s">
        <v>329</v>
      </c>
    </row>
    <row r="350" spans="1:7" s="8" customFormat="1">
      <c r="B350" s="10" t="s">
        <v>274</v>
      </c>
      <c r="C350" s="10" t="s">
        <v>275</v>
      </c>
      <c r="D350" s="10" t="s">
        <v>3</v>
      </c>
      <c r="E350" s="10" t="s">
        <v>40</v>
      </c>
      <c r="F350" s="10" t="s">
        <v>6</v>
      </c>
      <c r="G350" s="10" t="s">
        <v>7</v>
      </c>
    </row>
    <row r="351" spans="1:7" s="8" customFormat="1">
      <c r="B351" s="11" t="s">
        <v>276</v>
      </c>
      <c r="C351" s="12">
        <v>300</v>
      </c>
      <c r="D351" s="12"/>
      <c r="E351" s="10" t="s">
        <v>277</v>
      </c>
      <c r="F351" s="12"/>
      <c r="G351" s="12"/>
    </row>
    <row r="352" spans="1:7" s="8" customFormat="1">
      <c r="B352" s="11" t="s">
        <v>278</v>
      </c>
      <c r="C352" s="12">
        <v>250</v>
      </c>
      <c r="D352" s="12"/>
      <c r="E352" s="10" t="s">
        <v>277</v>
      </c>
      <c r="F352" s="12"/>
      <c r="G352" s="12"/>
    </row>
    <row r="353" spans="2:7" s="8" customFormat="1">
      <c r="B353" s="11" t="s">
        <v>279</v>
      </c>
      <c r="C353" s="12">
        <v>150</v>
      </c>
      <c r="D353" s="12" t="s">
        <v>290</v>
      </c>
      <c r="E353" s="12">
        <v>400</v>
      </c>
      <c r="F353" s="12" t="s">
        <v>83</v>
      </c>
      <c r="G353" s="12"/>
    </row>
    <row r="354" spans="2:7" s="8" customFormat="1">
      <c r="B354" s="13" t="s">
        <v>17</v>
      </c>
      <c r="C354" s="12">
        <v>200</v>
      </c>
      <c r="D354" s="12"/>
      <c r="E354" s="12"/>
      <c r="F354" s="12"/>
      <c r="G354" s="12"/>
    </row>
    <row r="355" spans="2:7" s="8" customFormat="1">
      <c r="B355" s="14" t="s">
        <v>281</v>
      </c>
      <c r="C355" s="12">
        <v>350</v>
      </c>
      <c r="D355" s="12" t="s">
        <v>282</v>
      </c>
      <c r="E355" s="12">
        <v>-100</v>
      </c>
      <c r="F355" s="12" t="s">
        <v>283</v>
      </c>
      <c r="G355" s="12" t="s">
        <v>86</v>
      </c>
    </row>
    <row r="356" spans="2:7" s="8" customFormat="1">
      <c r="D356" s="8" t="s">
        <v>284</v>
      </c>
      <c r="E356" s="8">
        <f>SUM(E353:E355)</f>
        <v>300</v>
      </c>
    </row>
    <row r="358" spans="2:7">
      <c r="B358" s="7" t="s">
        <v>330</v>
      </c>
    </row>
    <row r="359" spans="2:7">
      <c r="B359" s="2" t="s">
        <v>274</v>
      </c>
      <c r="C359" s="2" t="s">
        <v>275</v>
      </c>
      <c r="D359" s="2" t="s">
        <v>3</v>
      </c>
      <c r="E359" s="2" t="s">
        <v>40</v>
      </c>
      <c r="F359" s="2" t="s">
        <v>6</v>
      </c>
      <c r="G359" s="2" t="s">
        <v>7</v>
      </c>
    </row>
    <row r="360" spans="2:7">
      <c r="B360" s="3" t="s">
        <v>276</v>
      </c>
      <c r="C360" s="4">
        <v>300</v>
      </c>
      <c r="D360" s="4"/>
      <c r="E360" s="2" t="s">
        <v>277</v>
      </c>
      <c r="F360" s="4"/>
      <c r="G360" s="4"/>
    </row>
    <row r="361" spans="2:7">
      <c r="B361" s="3" t="s">
        <v>278</v>
      </c>
      <c r="C361" s="4">
        <v>150</v>
      </c>
      <c r="D361" s="4"/>
      <c r="E361" s="2" t="s">
        <v>277</v>
      </c>
      <c r="F361" s="4"/>
      <c r="G361" s="4"/>
    </row>
    <row r="362" spans="2:7">
      <c r="B362" s="3" t="s">
        <v>279</v>
      </c>
      <c r="C362" s="4">
        <v>100</v>
      </c>
      <c r="D362" s="4" t="s">
        <v>306</v>
      </c>
      <c r="E362" s="4">
        <v>400</v>
      </c>
      <c r="F362" s="4" t="s">
        <v>83</v>
      </c>
      <c r="G362" s="4"/>
    </row>
    <row r="363" spans="2:7">
      <c r="B363" s="5" t="s">
        <v>17</v>
      </c>
      <c r="C363" s="4">
        <v>300</v>
      </c>
      <c r="D363" s="4" t="s">
        <v>280</v>
      </c>
      <c r="E363" s="4">
        <v>0</v>
      </c>
      <c r="F363" s="4"/>
      <c r="G363" s="4"/>
    </row>
    <row r="364" spans="2:7">
      <c r="B364" s="6" t="s">
        <v>281</v>
      </c>
      <c r="C364" s="4">
        <v>250</v>
      </c>
      <c r="D364" s="4" t="s">
        <v>282</v>
      </c>
      <c r="E364" s="4">
        <v>100</v>
      </c>
      <c r="F364" s="4" t="s">
        <v>283</v>
      </c>
      <c r="G364" s="4" t="s">
        <v>86</v>
      </c>
    </row>
    <row r="365" spans="2:7">
      <c r="D365" s="1" t="s">
        <v>284</v>
      </c>
      <c r="E365" s="1">
        <f>SUM(E362:E364)</f>
        <v>500</v>
      </c>
    </row>
    <row r="367" spans="2:7">
      <c r="B367" s="7" t="s">
        <v>331</v>
      </c>
    </row>
    <row r="368" spans="2:7">
      <c r="B368" s="2" t="s">
        <v>274</v>
      </c>
      <c r="C368" s="2" t="s">
        <v>275</v>
      </c>
      <c r="D368" s="2" t="s">
        <v>3</v>
      </c>
      <c r="E368" s="2" t="s">
        <v>40</v>
      </c>
      <c r="F368" s="2" t="s">
        <v>6</v>
      </c>
      <c r="G368" s="2" t="s">
        <v>7</v>
      </c>
    </row>
    <row r="369" spans="2:7">
      <c r="B369" s="3" t="s">
        <v>276</v>
      </c>
      <c r="C369" s="4">
        <v>300</v>
      </c>
      <c r="D369" s="4"/>
      <c r="E369" s="2" t="s">
        <v>277</v>
      </c>
      <c r="F369" s="4"/>
      <c r="G369" s="4"/>
    </row>
    <row r="370" spans="2:7">
      <c r="B370" s="3" t="s">
        <v>278</v>
      </c>
      <c r="C370" s="4">
        <v>200</v>
      </c>
      <c r="D370" s="4"/>
      <c r="E370" s="2" t="s">
        <v>277</v>
      </c>
      <c r="F370" s="4"/>
      <c r="G370" s="4"/>
    </row>
    <row r="371" spans="2:7">
      <c r="B371" s="3" t="s">
        <v>279</v>
      </c>
      <c r="C371" s="4">
        <v>150</v>
      </c>
      <c r="D371" s="4" t="s">
        <v>290</v>
      </c>
      <c r="E371" s="4">
        <v>400</v>
      </c>
      <c r="F371" s="4" t="s">
        <v>83</v>
      </c>
      <c r="G371" s="4"/>
    </row>
    <row r="372" spans="2:7">
      <c r="B372" s="5" t="s">
        <v>17</v>
      </c>
      <c r="C372" s="4">
        <v>250</v>
      </c>
      <c r="D372" s="4"/>
      <c r="E372" s="4"/>
      <c r="F372" s="4"/>
      <c r="G372" s="4"/>
    </row>
    <row r="373" spans="2:7">
      <c r="B373" s="6" t="s">
        <v>281</v>
      </c>
      <c r="C373" s="4">
        <v>350</v>
      </c>
      <c r="D373" s="4" t="s">
        <v>287</v>
      </c>
      <c r="E373" s="4">
        <v>-100</v>
      </c>
      <c r="F373" s="4" t="s">
        <v>283</v>
      </c>
      <c r="G373" s="4" t="s">
        <v>86</v>
      </c>
    </row>
    <row r="374" spans="2:7">
      <c r="D374" s="1" t="s">
        <v>284</v>
      </c>
      <c r="E374" s="1">
        <f>SUM(E371:E373)</f>
        <v>300</v>
      </c>
    </row>
    <row r="376" spans="2:7">
      <c r="B376" s="7" t="s">
        <v>332</v>
      </c>
    </row>
    <row r="377" spans="2:7">
      <c r="B377" s="2" t="s">
        <v>274</v>
      </c>
      <c r="C377" s="2" t="s">
        <v>275</v>
      </c>
      <c r="D377" s="2" t="s">
        <v>3</v>
      </c>
      <c r="E377" s="2" t="s">
        <v>40</v>
      </c>
      <c r="F377" s="2" t="s">
        <v>6</v>
      </c>
      <c r="G377" s="2" t="s">
        <v>7</v>
      </c>
    </row>
    <row r="378" spans="2:7">
      <c r="B378" s="3" t="s">
        <v>276</v>
      </c>
      <c r="C378" s="4">
        <v>300</v>
      </c>
      <c r="D378" s="4"/>
      <c r="E378" s="2" t="s">
        <v>277</v>
      </c>
      <c r="F378" s="4"/>
      <c r="G378" s="4"/>
    </row>
    <row r="379" spans="2:7">
      <c r="B379" s="3" t="s">
        <v>278</v>
      </c>
      <c r="C379" s="4">
        <v>200</v>
      </c>
      <c r="D379" s="4"/>
      <c r="E379" s="2" t="s">
        <v>277</v>
      </c>
      <c r="F379" s="4"/>
      <c r="G379" s="4"/>
    </row>
    <row r="380" spans="2:7">
      <c r="B380" s="3" t="s">
        <v>279</v>
      </c>
      <c r="C380" s="4">
        <v>150</v>
      </c>
      <c r="D380" s="4" t="s">
        <v>290</v>
      </c>
      <c r="E380" s="4">
        <v>400</v>
      </c>
      <c r="F380" s="4" t="s">
        <v>83</v>
      </c>
      <c r="G380" s="4"/>
    </row>
    <row r="381" spans="2:7">
      <c r="B381" s="5" t="s">
        <v>17</v>
      </c>
      <c r="C381" s="4">
        <v>250</v>
      </c>
      <c r="D381" s="4"/>
      <c r="E381" s="4"/>
      <c r="F381" s="4"/>
      <c r="G381" s="4"/>
    </row>
    <row r="382" spans="2:7">
      <c r="B382" s="6" t="s">
        <v>281</v>
      </c>
      <c r="C382" s="4">
        <v>350</v>
      </c>
      <c r="D382" s="4" t="s">
        <v>287</v>
      </c>
      <c r="E382" s="4">
        <v>-200</v>
      </c>
      <c r="F382" s="4" t="s">
        <v>283</v>
      </c>
      <c r="G382" s="4" t="s">
        <v>86</v>
      </c>
    </row>
    <row r="383" spans="2:7">
      <c r="D383" s="1" t="s">
        <v>284</v>
      </c>
      <c r="E383" s="1">
        <f>SUM(E380:E382)</f>
        <v>200</v>
      </c>
    </row>
    <row r="385" spans="2:7">
      <c r="B385" s="7" t="s">
        <v>333</v>
      </c>
    </row>
    <row r="386" spans="2:7">
      <c r="B386" s="2" t="s">
        <v>274</v>
      </c>
      <c r="C386" s="2" t="s">
        <v>275</v>
      </c>
      <c r="D386" s="2" t="s">
        <v>3</v>
      </c>
      <c r="E386" s="2" t="s">
        <v>40</v>
      </c>
      <c r="F386" s="2" t="s">
        <v>6</v>
      </c>
      <c r="G386" s="2" t="s">
        <v>7</v>
      </c>
    </row>
    <row r="387" spans="2:7">
      <c r="B387" s="3" t="s">
        <v>276</v>
      </c>
      <c r="C387" s="4">
        <v>300</v>
      </c>
      <c r="D387" s="4"/>
      <c r="E387" s="2" t="s">
        <v>277</v>
      </c>
      <c r="F387" s="4"/>
      <c r="G387" s="4"/>
    </row>
    <row r="388" spans="2:7">
      <c r="B388" s="3" t="s">
        <v>278</v>
      </c>
      <c r="C388" s="4">
        <v>200</v>
      </c>
      <c r="D388" s="4"/>
      <c r="E388" s="2" t="s">
        <v>277</v>
      </c>
      <c r="F388" s="4"/>
      <c r="G388" s="4"/>
    </row>
    <row r="389" spans="2:7">
      <c r="B389" s="3" t="s">
        <v>279</v>
      </c>
      <c r="C389" s="4">
        <v>150</v>
      </c>
      <c r="D389" s="4" t="s">
        <v>290</v>
      </c>
      <c r="E389" s="4">
        <v>400</v>
      </c>
      <c r="F389" s="4" t="s">
        <v>83</v>
      </c>
      <c r="G389" s="4"/>
    </row>
    <row r="390" spans="2:7">
      <c r="B390" s="5" t="s">
        <v>17</v>
      </c>
      <c r="C390" s="4">
        <v>200</v>
      </c>
      <c r="D390" s="4"/>
      <c r="E390" s="4"/>
      <c r="F390" s="4"/>
      <c r="G390" s="4"/>
    </row>
    <row r="391" spans="2:7">
      <c r="B391" s="6" t="s">
        <v>281</v>
      </c>
      <c r="C391" s="4">
        <v>250</v>
      </c>
      <c r="D391" s="4" t="s">
        <v>287</v>
      </c>
      <c r="E391" s="4">
        <v>-200</v>
      </c>
      <c r="F391" s="4" t="s">
        <v>283</v>
      </c>
      <c r="G391" s="4" t="s">
        <v>86</v>
      </c>
    </row>
    <row r="392" spans="2:7">
      <c r="D392" s="1" t="s">
        <v>284</v>
      </c>
      <c r="E392" s="1">
        <f>SUM(E389:E391)</f>
        <v>200</v>
      </c>
    </row>
    <row r="394" spans="2:7">
      <c r="B394" s="7" t="s">
        <v>334</v>
      </c>
    </row>
    <row r="395" spans="2:7">
      <c r="B395" s="2" t="s">
        <v>274</v>
      </c>
      <c r="C395" s="2" t="s">
        <v>275</v>
      </c>
      <c r="D395" s="2" t="s">
        <v>3</v>
      </c>
      <c r="E395" s="2" t="s">
        <v>40</v>
      </c>
      <c r="F395" s="2" t="s">
        <v>6</v>
      </c>
      <c r="G395" s="2" t="s">
        <v>7</v>
      </c>
    </row>
    <row r="396" spans="2:7">
      <c r="B396" s="3" t="s">
        <v>276</v>
      </c>
      <c r="C396" s="4">
        <v>300</v>
      </c>
      <c r="D396" s="4"/>
      <c r="E396" s="2" t="s">
        <v>277</v>
      </c>
      <c r="F396" s="4"/>
      <c r="G396" s="4"/>
    </row>
    <row r="397" spans="2:7">
      <c r="B397" s="3" t="s">
        <v>278</v>
      </c>
      <c r="C397" s="4">
        <v>200</v>
      </c>
      <c r="D397" s="4"/>
      <c r="E397" s="2" t="s">
        <v>277</v>
      </c>
      <c r="F397" s="4"/>
      <c r="G397" s="4"/>
    </row>
    <row r="398" spans="2:7">
      <c r="B398" s="3" t="s">
        <v>279</v>
      </c>
      <c r="C398" s="4">
        <v>150</v>
      </c>
      <c r="D398" s="4" t="s">
        <v>290</v>
      </c>
      <c r="E398" s="4">
        <v>300</v>
      </c>
      <c r="F398" s="4" t="s">
        <v>83</v>
      </c>
      <c r="G398" s="4"/>
    </row>
    <row r="399" spans="2:7">
      <c r="B399" s="5" t="s">
        <v>17</v>
      </c>
      <c r="C399" s="4">
        <v>200</v>
      </c>
      <c r="D399" s="4"/>
      <c r="E399" s="4"/>
      <c r="F399" s="4"/>
      <c r="G399" s="4"/>
    </row>
    <row r="400" spans="2:7">
      <c r="B400" s="6" t="s">
        <v>281</v>
      </c>
      <c r="C400" s="4">
        <v>300</v>
      </c>
      <c r="D400" s="4" t="s">
        <v>287</v>
      </c>
      <c r="E400" s="4">
        <v>0</v>
      </c>
      <c r="F400" s="4" t="s">
        <v>283</v>
      </c>
      <c r="G400" s="4" t="s">
        <v>86</v>
      </c>
    </row>
    <row r="401" spans="3:5">
      <c r="D401" s="1" t="s">
        <v>284</v>
      </c>
      <c r="E401" s="1">
        <f>SUM(E398:E400)</f>
        <v>300</v>
      </c>
    </row>
    <row r="405" spans="3:5">
      <c r="C405" s="22" t="s">
        <v>167</v>
      </c>
      <c r="D405" s="22" t="s">
        <v>166</v>
      </c>
      <c r="E405" s="22" t="s">
        <v>183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9D2ED1-788D-4BCF-AD59-FB0C36837956}"/>
</file>

<file path=customXml/itemProps2.xml><?xml version="1.0" encoding="utf-8"?>
<ds:datastoreItem xmlns:ds="http://schemas.openxmlformats.org/officeDocument/2006/customXml" ds:itemID="{1A9DD691-9CD1-4A3E-9A32-5543EC71A69E}"/>
</file>

<file path=customXml/itemProps3.xml><?xml version="1.0" encoding="utf-8"?>
<ds:datastoreItem xmlns:ds="http://schemas.openxmlformats.org/officeDocument/2006/customXml" ds:itemID="{2CF3C725-9661-42C3-8A7A-93956F41A5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内田  文子</cp:lastModifiedBy>
  <cp:revision/>
  <dcterms:created xsi:type="dcterms:W3CDTF">2020-09-21T07:40:15Z</dcterms:created>
  <dcterms:modified xsi:type="dcterms:W3CDTF">2023-11-24T07:50:44Z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