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946" documentId="8_{38D5D741-FD89-43E9-BD19-20896F113E71}" xr6:coauthVersionLast="44" xr6:coauthVersionMax="44" xr10:uidLastSave="{F849540B-5E46-496F-B03A-E24C5175520C}"/>
  <bookViews>
    <workbookView xWindow="-120" yWindow="-120" windowWidth="20730" windowHeight="11160" tabRatio="739" xr2:uid="{00000000-000D-0000-FFFF-FFFF00000000}"/>
  </bookViews>
  <sheets>
    <sheet name="マニュアル単品値引" sheetId="17" r:id="rId1"/>
    <sheet name="マニュアル単品値引 図" sheetId="19" r:id="rId2"/>
    <sheet name="値引確認" sheetId="14" r:id="rId3"/>
    <sheet name="データ" sheetId="12" r:id="rId4"/>
    <sheet name="旧　仕様　図" sheetId="18" r:id="rId5"/>
  </sheets>
  <definedNames>
    <definedName name="_xlnm._FilterDatabase" localSheetId="3" hidden="1">データ!$A$2:$P$29</definedName>
    <definedName name="_xlnm._FilterDatabase" localSheetId="2" hidden="1">値引確認!$B$1:$AA$44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41" i="19" l="1"/>
  <c r="H341" i="19"/>
  <c r="I318" i="19"/>
  <c r="H318" i="19"/>
  <c r="I295" i="19"/>
  <c r="H295" i="19"/>
  <c r="I272" i="19"/>
  <c r="H272" i="19"/>
  <c r="I249" i="19"/>
  <c r="H249" i="19"/>
  <c r="H226" i="19"/>
  <c r="I226" i="19"/>
  <c r="I203" i="19"/>
  <c r="H203" i="19"/>
  <c r="H180" i="19"/>
  <c r="Q180" i="19"/>
  <c r="M180" i="19"/>
  <c r="P180" i="19"/>
  <c r="L180" i="19"/>
  <c r="I180" i="19"/>
  <c r="H156" i="19"/>
  <c r="I156" i="19"/>
  <c r="H132" i="19" l="1"/>
  <c r="I132" i="19"/>
  <c r="Q107" i="19"/>
  <c r="M107" i="19"/>
  <c r="I107" i="19"/>
  <c r="P107" i="19" l="1"/>
  <c r="L107" i="19"/>
  <c r="H107" i="19"/>
  <c r="I83" i="19"/>
  <c r="Q58" i="19"/>
  <c r="M58" i="19"/>
  <c r="I58" i="19"/>
  <c r="I33" i="19"/>
  <c r="Q8" i="19"/>
  <c r="M8" i="19"/>
  <c r="I8" i="19"/>
  <c r="H83" i="19"/>
  <c r="P58" i="19"/>
  <c r="L58" i="19"/>
  <c r="H58" i="19"/>
  <c r="H33" i="19"/>
  <c r="P8" i="19"/>
  <c r="L8" i="19"/>
  <c r="H8" i="19"/>
  <c r="N8" i="18" l="1"/>
  <c r="N7" i="18"/>
  <c r="K8" i="18"/>
  <c r="K7" i="18"/>
  <c r="H7" i="18"/>
  <c r="H8" i="18"/>
  <c r="A29" i="12" l="1"/>
  <c r="A28" i="12"/>
  <c r="A14" i="12"/>
  <c r="A13" i="12"/>
  <c r="A12" i="12"/>
  <c r="A11" i="12"/>
  <c r="A10" i="12"/>
  <c r="A9" i="12"/>
  <c r="A6" i="12"/>
  <c r="A27" i="12"/>
  <c r="A24" i="12"/>
  <c r="A23" i="12"/>
  <c r="A26" i="12"/>
  <c r="A25" i="12"/>
  <c r="A17" i="12"/>
  <c r="A16" i="12"/>
  <c r="A15" i="12"/>
  <c r="A22" i="12"/>
  <c r="A21" i="12"/>
  <c r="A20" i="12"/>
  <c r="A19" i="12"/>
  <c r="A18" i="12"/>
  <c r="A8" i="12"/>
  <c r="A7" i="12"/>
  <c r="A5" i="12"/>
  <c r="A4" i="12"/>
  <c r="A3" i="12"/>
</calcChain>
</file>

<file path=xl/sharedStrings.xml><?xml version="1.0" encoding="utf-8"?>
<sst xmlns="http://schemas.openxmlformats.org/spreadsheetml/2006/main" count="1860" uniqueCount="407">
  <si>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</si>
  <si>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</si>
  <si>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</si>
  <si>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</si>
  <si>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①ミックスマッチ後金額＞通常単価＞マニュアル値引後金額</t>
  </si>
  <si>
    <t>値増</t>
  </si>
  <si>
    <t>ミックスマッチ</t>
  </si>
  <si>
    <t>①通常単価＝ミックスマッチ後金額＞マニュアル値引後金額</t>
  </si>
  <si>
    <t>同額</t>
  </si>
  <si>
    <t>①通常単価＞ミックスマッチ後金額＞マニュアル値引後金額</t>
  </si>
  <si>
    <t>値下</t>
  </si>
  <si>
    <t>①通常単価＞特売売価変更金額＞マニュアル値引後金額</t>
  </si>
  <si>
    <t>特売期間割引</t>
  </si>
  <si>
    <t>特売期間売価変更</t>
  </si>
  <si>
    <t>特売タイムセール売価変更</t>
  </si>
  <si>
    <t>①通常単価＝特売売価変更金額＞マニュアル値引後金額</t>
  </si>
  <si>
    <t>朝割り</t>
  </si>
  <si>
    <t>当日売価</t>
    <rPh sb="0" eb="2">
      <t>トウジツ</t>
    </rPh>
    <rPh sb="2" eb="4">
      <t>バイカ</t>
    </rPh>
    <phoneticPr fontId="2"/>
  </si>
  <si>
    <t>①通常単価＞値引シール【3:金額】＞マニュアル値引後金額</t>
  </si>
  <si>
    <t>①通常単価＞マニュアル値引後金額＞小計値引</t>
  </si>
  <si>
    <t>①通常単価＞マニュアル値引後金額＞小計割引</t>
  </si>
  <si>
    <t>①通常単価＞マニュアル値引後金額＞カテゴリー値引</t>
  </si>
  <si>
    <t>①通常単価＞マニュアル値引後金額＞カテゴリー割引</t>
  </si>
  <si>
    <t>金額</t>
    <rPh sb="0" eb="2">
      <t>キンガク</t>
    </rPh>
    <phoneticPr fontId="2"/>
  </si>
  <si>
    <t>マスタ設定額</t>
    <rPh sb="3" eb="5">
      <t>セッテイ</t>
    </rPh>
    <rPh sb="5" eb="6">
      <t>ガク</t>
    </rPh>
    <phoneticPr fontId="1"/>
  </si>
  <si>
    <t>売上</t>
  </si>
  <si>
    <t>特売期間値引</t>
  </si>
  <si>
    <t>値引シール【3:金額】</t>
  </si>
  <si>
    <t>①通常単価＝値引シール【3:金額】＞マニュアル値引後金額</t>
    <phoneticPr fontId="6"/>
  </si>
  <si>
    <t>①値引シール【3:金額】＞通常単価＞マニュアル値引後金額</t>
    <phoneticPr fontId="6"/>
  </si>
  <si>
    <t>①特売売価変更金額＞通常単価＞マニュアル値引後金額</t>
    <phoneticPr fontId="6"/>
  </si>
  <si>
    <t>①特売売価変更金額＞通常単価＝マニュアル値引後金額</t>
    <phoneticPr fontId="6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</si>
  <si>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</si>
  <si>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</si>
  <si>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</si>
  <si>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</si>
  <si>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</si>
  <si>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</si>
  <si>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企画</t>
    <rPh sb="0" eb="2">
      <t>キカク</t>
    </rPh>
    <phoneticPr fontId="1"/>
  </si>
  <si>
    <t>特売</t>
    <rPh sb="0" eb="2">
      <t>トクバイ</t>
    </rPh>
    <phoneticPr fontId="1"/>
  </si>
  <si>
    <t>ミックス
マッチ</t>
    <phoneticPr fontId="1"/>
  </si>
  <si>
    <t>マニュアル
値引</t>
    <rPh sb="6" eb="8">
      <t>ネビキ</t>
    </rPh>
    <phoneticPr fontId="2"/>
  </si>
  <si>
    <t>①通常単価＞値引シール【1:値引】＞マニュアル値引後金額
＝＞マニュアル値引優先</t>
    <phoneticPr fontId="6"/>
  </si>
  <si>
    <t>①通常単価＞値引シール【2:割引】＞マニュアル値引後金額
＝＞マニュアル値引優先</t>
    <phoneticPr fontId="6"/>
  </si>
  <si>
    <t>値引シール【1:値引】</t>
    <phoneticPr fontId="5"/>
  </si>
  <si>
    <t>特売タイムセール割引</t>
    <phoneticPr fontId="6"/>
  </si>
  <si>
    <t>特売タイムセール値引</t>
    <phoneticPr fontId="1"/>
  </si>
  <si>
    <t>カテゴリー値引</t>
    <phoneticPr fontId="6"/>
  </si>
  <si>
    <t>カテゴリー割引</t>
    <phoneticPr fontId="6"/>
  </si>
  <si>
    <t>メガ割</t>
    <rPh sb="2" eb="3">
      <t>ワリ</t>
    </rPh>
    <phoneticPr fontId="1"/>
  </si>
  <si>
    <t>クレジット割</t>
    <rPh sb="5" eb="6">
      <t>ワリ</t>
    </rPh>
    <phoneticPr fontId="1"/>
  </si>
  <si>
    <t>①通常単価＞マニュアル値引後金額　クレジット割</t>
    <phoneticPr fontId="6"/>
  </si>
  <si>
    <t>①通常単価＞マニュアル値引後金額　朝割</t>
    <phoneticPr fontId="6"/>
  </si>
  <si>
    <t>①通常単価＞マニュアル値引後金額　メガ割</t>
    <rPh sb="19" eb="20">
      <t>ワリ</t>
    </rPh>
    <phoneticPr fontId="6"/>
  </si>
  <si>
    <t>小計値引</t>
    <phoneticPr fontId="6"/>
  </si>
  <si>
    <t>小計割引</t>
    <phoneticPr fontId="6"/>
  </si>
  <si>
    <t>値引シール【2:割引】</t>
    <phoneticPr fontId="6"/>
  </si>
  <si>
    <t>値下50円</t>
    <rPh sb="4" eb="5">
      <t>エン</t>
    </rPh>
    <phoneticPr fontId="6"/>
  </si>
  <si>
    <t>くるみ小女子９５ｇ　　　　　　　　　　　</t>
  </si>
  <si>
    <t>4977291306127</t>
  </si>
  <si>
    <t>庄屋さんのり１３０ｇ　　　　　　　　　　</t>
  </si>
  <si>
    <t>4948254100021</t>
  </si>
  <si>
    <t>粒うに４５ｇ　　　　　　　　　　　　　　</t>
  </si>
  <si>
    <t>4901229111651</t>
  </si>
  <si>
    <t>いかめし２尾　　　　　　　　　　　　　　</t>
  </si>
  <si>
    <t>4950353044021</t>
  </si>
  <si>
    <t>真あじの旨味ソーセージ５本束　　　　　　</t>
  </si>
  <si>
    <t>4902150029237</t>
  </si>
  <si>
    <t>金ごまおかか（Ｐ）　　　　　　　　　　　</t>
  </si>
  <si>
    <t>4975152013382</t>
  </si>
  <si>
    <t>いか昆布８０Ｇ　ＦＯ用　　　　　　　　　</t>
  </si>
  <si>
    <t>4962281170086</t>
  </si>
  <si>
    <t>朝食セットＢ　　　　　　　　　　　　　　</t>
  </si>
  <si>
    <t>4932422030432</t>
  </si>
  <si>
    <t>生姜入りしじみしぐれ６０ｇ　　　　　　　</t>
  </si>
  <si>
    <t>4977291465459</t>
  </si>
  <si>
    <t>子持ちきくらげ７０Ｇ　ＦＯ用　　　　　　</t>
  </si>
  <si>
    <t>4970905211305</t>
  </si>
  <si>
    <t>ＴＶぶりほぐし身（塩麹風味）　　　　　　</t>
  </si>
  <si>
    <t>4549741551175</t>
  </si>
  <si>
    <t>ごまいりこ１００ｇ　　　　　　　　　　　</t>
  </si>
  <si>
    <t>4977291363120</t>
  </si>
  <si>
    <t>ＴＶ焼きさばほぐし身　　　　　　　　　　</t>
  </si>
  <si>
    <t>4549741446013</t>
  </si>
  <si>
    <t>かつおくるみ８５Ｇ　　　　　　　　　　　</t>
  </si>
  <si>
    <t>4977291315129</t>
  </si>
  <si>
    <t>びんつま　ほたての燻製とレッドペッパ　　</t>
  </si>
  <si>
    <t>4901592917799</t>
  </si>
  <si>
    <t>いわしせんべい４３ｇ　　　　　　　　　　</t>
  </si>
  <si>
    <t>4937932020089</t>
  </si>
  <si>
    <t>のり天うま塩味　８６ｇ　　　　　　　　　</t>
  </si>
  <si>
    <t>4901540412123</t>
  </si>
  <si>
    <t>干するめいか３枚　　　　　　　　　　　　</t>
  </si>
  <si>
    <t>4971091154599</t>
  </si>
  <si>
    <t>ふんわりくんさき　　　　　　　　　　　　</t>
  </si>
  <si>
    <t>4902046577477</t>
  </si>
  <si>
    <t>いか姿あげ（のりしお）　　　　　　　　　</t>
  </si>
  <si>
    <t>4901540414837</t>
  </si>
  <si>
    <t>北海道産松前漬（たれ付）　　　　　　　　</t>
  </si>
  <si>
    <t>4964396001910</t>
  </si>
  <si>
    <t>干しするめ（大）２枚　　　　　　　　　　</t>
  </si>
  <si>
    <t>4971091154704</t>
  </si>
  <si>
    <t>真いか美味焼１２０ｇ　　　　　　　　　　</t>
  </si>
  <si>
    <t>4937436000792</t>
  </si>
  <si>
    <t>干するめ（袋）５枚　　　　　　　　　　　</t>
  </si>
  <si>
    <t>4971091154674</t>
  </si>
  <si>
    <t>いかくん短冊　　　　　　　　　　　　　　</t>
  </si>
  <si>
    <t>4902046577460</t>
  </si>
  <si>
    <t>一口ソースかつ　１０５ｇ　　　　　　　　</t>
  </si>
  <si>
    <t>4901540412147</t>
  </si>
  <si>
    <t>いかの姿あげ（割れ）　　　　　　　　　　</t>
  </si>
  <si>
    <t>4901540411164</t>
  </si>
  <si>
    <t>値下100円</t>
    <rPh sb="5" eb="6">
      <t>エン</t>
    </rPh>
    <phoneticPr fontId="6"/>
  </si>
  <si>
    <t>項番</t>
  </si>
  <si>
    <t>取引内容</t>
  </si>
  <si>
    <t>●テストデータ.ﾏﾆｭｱﾙ値引</t>
  </si>
  <si>
    <t>設定1</t>
  </si>
  <si>
    <t>処理1</t>
  </si>
  <si>
    <t>POS値引等</t>
  </si>
  <si>
    <t>金額</t>
  </si>
  <si>
    <t>商品名</t>
  </si>
  <si>
    <t>JAN</t>
  </si>
  <si>
    <t>当日売価</t>
  </si>
  <si>
    <t>特売</t>
  </si>
  <si>
    <t>ミックマッチ</t>
  </si>
  <si>
    <t>シール</t>
  </si>
  <si>
    <t>カテゴリー処理</t>
  </si>
  <si>
    <t>小計割</t>
  </si>
  <si>
    <t>純売上額</t>
  </si>
  <si>
    <t>純売上数量</t>
  </si>
  <si>
    <t>値引合計金額</t>
  </si>
  <si>
    <t>値引合計数量</t>
  </si>
  <si>
    <t>企画コード</t>
  </si>
  <si>
    <t>値引コード</t>
  </si>
  <si>
    <t>値引種別</t>
  </si>
  <si>
    <t>値引額</t>
  </si>
  <si>
    <t>値引数量</t>
  </si>
  <si>
    <t>値引名称</t>
  </si>
  <si>
    <t>値引コードマスタ.ﾏﾆｭｱﾙ値引</t>
  </si>
  <si>
    <t>値下50円</t>
  </si>
  <si>
    <t/>
  </si>
  <si>
    <t>500</t>
  </si>
  <si>
    <t>450</t>
  </si>
  <si>
    <t>400</t>
  </si>
  <si>
    <t>1</t>
  </si>
  <si>
    <t>50</t>
  </si>
  <si>
    <t>91220</t>
  </si>
  <si>
    <t>マニュアル額値引</t>
  </si>
  <si>
    <t>額</t>
  </si>
  <si>
    <t>908001</t>
  </si>
  <si>
    <t>91121</t>
  </si>
  <si>
    <t>0</t>
  </si>
  <si>
    <t>ﾀｲﾑｻｰﾋﾞｽ</t>
  </si>
  <si>
    <t>－</t>
  </si>
  <si>
    <t>値下100円</t>
  </si>
  <si>
    <t>550</t>
  </si>
  <si>
    <t>100</t>
  </si>
  <si>
    <t>特売タイムセール割引</t>
  </si>
  <si>
    <t>10</t>
  </si>
  <si>
    <t>特売タイムセール値引</t>
  </si>
  <si>
    <t>908002</t>
  </si>
  <si>
    <t>91141</t>
  </si>
  <si>
    <t>800</t>
  </si>
  <si>
    <t>2</t>
  </si>
  <si>
    <t>908101</t>
  </si>
  <si>
    <t>ミックス</t>
  </si>
  <si>
    <t>900</t>
  </si>
  <si>
    <t>値引シール【1:値引】</t>
  </si>
  <si>
    <t>値引シール【2:割引】</t>
  </si>
  <si>
    <t>①値引シール【3:金額】＞通常単価＞マニュアル値引後金額</t>
  </si>
  <si>
    <t>カテゴリー値引</t>
  </si>
  <si>
    <t>91324</t>
  </si>
  <si>
    <t>部門ﾚﾍﾞﾙ商品階層自動値引</t>
  </si>
  <si>
    <t>カテゴリー割引</t>
  </si>
  <si>
    <t>小計値引</t>
  </si>
  <si>
    <t>91400</t>
  </si>
  <si>
    <t>14</t>
  </si>
  <si>
    <t>マニュアル小計値引</t>
  </si>
  <si>
    <t>％</t>
  </si>
  <si>
    <t>小計割引</t>
  </si>
  <si>
    <t>405</t>
  </si>
  <si>
    <t>95</t>
  </si>
  <si>
    <t>45</t>
  </si>
  <si>
    <t>①通常単価＞マニュアル値引後金額　朝割</t>
  </si>
  <si>
    <t>メガ割</t>
  </si>
  <si>
    <t>①通常単価＞マニュアル値引後金額　メガ割</t>
  </si>
  <si>
    <t>20</t>
  </si>
  <si>
    <t>クレジット割</t>
  </si>
  <si>
    <t>①通常単価＞マニュアル値引後金額　クレジット割</t>
  </si>
  <si>
    <t>5</t>
  </si>
  <si>
    <t>427</t>
  </si>
  <si>
    <t>73</t>
  </si>
  <si>
    <t>23</t>
  </si>
  <si>
    <t>値引パターン</t>
    <rPh sb="0" eb="2">
      <t>ネビキ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</si>
  <si>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</si>
  <si>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</si>
  <si>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ﾀｲﾑｻｰﾋﾞｽ</t>
    <phoneticPr fontId="8"/>
  </si>
  <si>
    <t>ミックス</t>
    <phoneticPr fontId="9"/>
  </si>
  <si>
    <t>①通常単価＞値引シール【1:値引】＞マニュアル値引後金額
＝＞マニュアル値引優先</t>
    <phoneticPr fontId="8"/>
  </si>
  <si>
    <t>①通常単価＝値引シール【3:金額】＞マニュアル値引後金額</t>
    <phoneticPr fontId="8"/>
  </si>
  <si>
    <t>①通常単価＞値引シール【2:割引】＞マニュアル値引後金額
＝＞マニュアル値引優先</t>
    <phoneticPr fontId="8"/>
  </si>
  <si>
    <t>値引シール【2:割引】</t>
    <phoneticPr fontId="1"/>
  </si>
  <si>
    <t>値引シール【1:値引】</t>
    <rPh sb="0" eb="2">
      <t>ネビキ</t>
    </rPh>
    <rPh sb="8" eb="10">
      <t>ネビキ</t>
    </rPh>
    <phoneticPr fontId="1"/>
  </si>
  <si>
    <t>カテゴリ値引</t>
    <rPh sb="4" eb="6">
      <t>ネビキ</t>
    </rPh>
    <phoneticPr fontId="1"/>
  </si>
  <si>
    <t>カテゴリ割引</t>
    <rPh sb="4" eb="6">
      <t>ワリビキ</t>
    </rPh>
    <phoneticPr fontId="1"/>
  </si>
  <si>
    <t>実績は合算で作成する。</t>
    <rPh sb="0" eb="2">
      <t>ジッセキ</t>
    </rPh>
    <rPh sb="3" eb="5">
      <t>ガッサン</t>
    </rPh>
    <rPh sb="6" eb="8">
      <t>サクセイ</t>
    </rPh>
    <phoneticPr fontId="1"/>
  </si>
  <si>
    <t>マニュアル値引額</t>
  </si>
  <si>
    <t>マニュアル値引額</t>
    <phoneticPr fontId="1"/>
  </si>
  <si>
    <t>カテゴリ値引額</t>
    <rPh sb="4" eb="6">
      <t>ネビキ</t>
    </rPh>
    <phoneticPr fontId="1"/>
  </si>
  <si>
    <t>小計額×朝割り率</t>
    <rPh sb="0" eb="2">
      <t>ショウケイ</t>
    </rPh>
    <rPh sb="4" eb="5">
      <t>チョウ</t>
    </rPh>
    <rPh sb="5" eb="6">
      <t>ワ</t>
    </rPh>
    <rPh sb="7" eb="8">
      <t>リツ</t>
    </rPh>
    <phoneticPr fontId="1"/>
  </si>
  <si>
    <t>小計額×メガ割率</t>
    <rPh sb="0" eb="2">
      <t>ショウケイ</t>
    </rPh>
    <rPh sb="6" eb="7">
      <t>ワリ</t>
    </rPh>
    <rPh sb="7" eb="8">
      <t>リツ</t>
    </rPh>
    <phoneticPr fontId="1"/>
  </si>
  <si>
    <t>小計額×クレジット割率</t>
    <rPh sb="0" eb="2">
      <t>ショウケイ</t>
    </rPh>
    <rPh sb="9" eb="10">
      <t>ワリ</t>
    </rPh>
    <rPh sb="10" eb="11">
      <t>リツ</t>
    </rPh>
    <phoneticPr fontId="1"/>
  </si>
  <si>
    <t>値引内容</t>
    <rPh sb="0" eb="2">
      <t>ネビキ</t>
    </rPh>
    <rPh sb="2" eb="4">
      <t>ナイヨウ</t>
    </rPh>
    <phoneticPr fontId="1"/>
  </si>
  <si>
    <t>マニュアル値引を優先する。</t>
    <rPh sb="5" eb="7">
      <t>ネビキ</t>
    </rPh>
    <rPh sb="8" eb="10">
      <t>ユウセン</t>
    </rPh>
    <phoneticPr fontId="9"/>
  </si>
  <si>
    <t>値引額</t>
    <rPh sb="0" eb="2">
      <t>ネビキ</t>
    </rPh>
    <rPh sb="2" eb="3">
      <t>ガク</t>
    </rPh>
    <phoneticPr fontId="1"/>
  </si>
  <si>
    <t>×</t>
    <phoneticPr fontId="15"/>
  </si>
  <si>
    <t>＜作成実績＞</t>
    <rPh sb="1" eb="3">
      <t>サクセイ</t>
    </rPh>
    <rPh sb="3" eb="5">
      <t>ジッセキ</t>
    </rPh>
    <phoneticPr fontId="15"/>
  </si>
  <si>
    <t>ミックスマッチ</t>
    <phoneticPr fontId="15"/>
  </si>
  <si>
    <t>ミックス
マッチ額</t>
    <rPh sb="8" eb="9">
      <t>ガク</t>
    </rPh>
    <phoneticPr fontId="1"/>
  </si>
  <si>
    <t>定番売価額ーミックスマッチ額</t>
    <phoneticPr fontId="15"/>
  </si>
  <si>
    <t>：ミックス</t>
    <phoneticPr fontId="15"/>
  </si>
  <si>
    <t>※ 計算結果が０円、マイナス時は実績出力しない。</t>
    <rPh sb="16" eb="18">
      <t>ジッセキ</t>
    </rPh>
    <rPh sb="18" eb="20">
      <t>シュツリョク</t>
    </rPh>
    <phoneticPr fontId="15"/>
  </si>
  <si>
    <t>値引シール【3:金額】</t>
    <phoneticPr fontId="15"/>
  </si>
  <si>
    <t>値引シール
【3:金額】</t>
    <rPh sb="0" eb="2">
      <t>ネビキ</t>
    </rPh>
    <rPh sb="9" eb="11">
      <t>キンガク</t>
    </rPh>
    <phoneticPr fontId="1"/>
  </si>
  <si>
    <t>売価額</t>
    <rPh sb="0" eb="2">
      <t>バイカ</t>
    </rPh>
    <rPh sb="2" eb="3">
      <t>ガク</t>
    </rPh>
    <phoneticPr fontId="15"/>
  </si>
  <si>
    <t>定番売価額ー値引シール【3:金額】</t>
    <phoneticPr fontId="15"/>
  </si>
  <si>
    <t>：マニュアル額値引　額</t>
    <phoneticPr fontId="15"/>
  </si>
  <si>
    <t>※ 値引額：値引実績</t>
    <phoneticPr fontId="1"/>
  </si>
  <si>
    <t>マニュアル値引実績計算_図</t>
    <rPh sb="5" eb="7">
      <t>ネビキ</t>
    </rPh>
    <rPh sb="7" eb="9">
      <t>ジッセキ</t>
    </rPh>
    <rPh sb="9" eb="11">
      <t>ケイサン</t>
    </rPh>
    <rPh sb="12" eb="13">
      <t>ズ</t>
    </rPh>
    <phoneticPr fontId="1"/>
  </si>
  <si>
    <t>設定金額</t>
    <rPh sb="0" eb="2">
      <t>セッテイ</t>
    </rPh>
    <rPh sb="2" eb="4">
      <t>キンガク</t>
    </rPh>
    <phoneticPr fontId="1"/>
  </si>
  <si>
    <t>※ 実績は合算で作成する。</t>
    <phoneticPr fontId="15"/>
  </si>
  <si>
    <t>特売（タイムサービス売価）</t>
    <phoneticPr fontId="9"/>
  </si>
  <si>
    <t>定番売価ー特売（タイムサービス売価）</t>
    <rPh sb="5" eb="7">
      <t>トクバイ</t>
    </rPh>
    <rPh sb="15" eb="17">
      <t>バイカ</t>
    </rPh>
    <phoneticPr fontId="1"/>
  </si>
  <si>
    <t>定番売価×カテゴリ割引率</t>
    <rPh sb="9" eb="11">
      <t>ワリビキ</t>
    </rPh>
    <rPh sb="11" eb="12">
      <t>リツ</t>
    </rPh>
    <phoneticPr fontId="1"/>
  </si>
  <si>
    <t>特売（タイムサービス売価）</t>
    <phoneticPr fontId="9"/>
  </si>
  <si>
    <t>ミックスマッチ</t>
    <phoneticPr fontId="1"/>
  </si>
  <si>
    <t>マニュアル単品値引</t>
  </si>
  <si>
    <t>マニュアル単品値引</t>
    <phoneticPr fontId="1"/>
  </si>
  <si>
    <t>マニュアル単品値引</t>
    <phoneticPr fontId="15"/>
  </si>
  <si>
    <t>販売額</t>
    <rPh sb="0" eb="2">
      <t>ハンバイ</t>
    </rPh>
    <rPh sb="2" eb="3">
      <t>ガク</t>
    </rPh>
    <phoneticPr fontId="1"/>
  </si>
  <si>
    <t>定番売価</t>
    <rPh sb="0" eb="2">
      <t>テイバン</t>
    </rPh>
    <rPh sb="2" eb="4">
      <t>バイカ</t>
    </rPh>
    <phoneticPr fontId="1"/>
  </si>
  <si>
    <t>値引額</t>
    <rPh sb="0" eb="2">
      <t>ネビキ</t>
    </rPh>
    <rPh sb="2" eb="3">
      <t>ガク</t>
    </rPh>
    <phoneticPr fontId="15"/>
  </si>
  <si>
    <t>販売額</t>
    <rPh sb="0" eb="2">
      <t>ハンバイ</t>
    </rPh>
    <rPh sb="2" eb="3">
      <t>ガク</t>
    </rPh>
    <phoneticPr fontId="15"/>
  </si>
  <si>
    <t>＜値引実績作成＞</t>
    <rPh sb="1" eb="3">
      <t>ネビキ</t>
    </rPh>
    <rPh sb="3" eb="5">
      <t>ジッセキ</t>
    </rPh>
    <rPh sb="5" eb="7">
      <t>サクセイ</t>
    </rPh>
    <phoneticPr fontId="15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</si>
  <si>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</si>
  <si>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5"/>
  </si>
  <si>
    <t>値引名称</t>
    <rPh sb="0" eb="2">
      <t>ネビ</t>
    </rPh>
    <rPh sb="2" eb="4">
      <t>メイショウ</t>
    </rPh>
    <phoneticPr fontId="15"/>
  </si>
  <si>
    <t>50
マニュアル単品値引</t>
    <phoneticPr fontId="15"/>
  </si>
  <si>
    <t>定番売価1個300円の商品を</t>
  </si>
  <si>
    <t>特売（タイムサービス売価）</t>
    <phoneticPr fontId="15"/>
  </si>
  <si>
    <t>特売（タイムサービス売価）／マニュアル単品値引</t>
    <rPh sb="0" eb="2">
      <t>トクバイ</t>
    </rPh>
    <rPh sb="10" eb="12">
      <t>バイカ</t>
    </rPh>
    <phoneticPr fontId="15"/>
  </si>
  <si>
    <t>特売（タイムサービス売価）</t>
    <phoneticPr fontId="1"/>
  </si>
  <si>
    <t>100
定番売価ー特売（タイムサービス売価）</t>
    <phoneticPr fontId="15"/>
  </si>
  <si>
    <t>※ 値引種別「特売（タイムサービス売価）」は。計算した値引額がマイナスの時は値引実績を作成しない。</t>
    <rPh sb="36" eb="37">
      <t>トキ</t>
    </rPh>
    <phoneticPr fontId="15"/>
  </si>
  <si>
    <t>0
定番売価ー特売（タイムサービス売価）</t>
    <phoneticPr fontId="15"/>
  </si>
  <si>
    <t>値引実績作成なし</t>
    <rPh sb="0" eb="2">
      <t>ネビキ</t>
    </rPh>
    <rPh sb="2" eb="4">
      <t>ジッセキ</t>
    </rPh>
    <rPh sb="4" eb="6">
      <t>サクセイ</t>
    </rPh>
    <phoneticPr fontId="15"/>
  </si>
  <si>
    <t>特売（タイムサービス売価）</t>
    <rPh sb="0" eb="2">
      <t>トクバイ</t>
    </rPh>
    <rPh sb="10" eb="12">
      <t>バイカ</t>
    </rPh>
    <phoneticPr fontId="1"/>
  </si>
  <si>
    <t>値引パターン</t>
    <rPh sb="0" eb="2">
      <t>ネビキ</t>
    </rPh>
    <phoneticPr fontId="15"/>
  </si>
  <si>
    <t>特売（期間売価）</t>
  </si>
  <si>
    <t>特売（期間売価）</t>
    <phoneticPr fontId="9"/>
  </si>
  <si>
    <t>特売（タイムサービス割引）</t>
    <phoneticPr fontId="9"/>
  </si>
  <si>
    <t>定番売価ー特売（タイムサービス割引）</t>
    <phoneticPr fontId="1"/>
  </si>
  <si>
    <t>マニュアル単品値引</t>
    <phoneticPr fontId="9"/>
  </si>
  <si>
    <t>特売（期間割引）</t>
    <phoneticPr fontId="9"/>
  </si>
  <si>
    <t>定番売価ー特売（期間割引））</t>
    <phoneticPr fontId="1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</si>
  <si>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</si>
  <si>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5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</si>
  <si>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特売対象外</t>
    </r>
    <rPh sb="0" eb="2">
      <t>ネビキ</t>
    </rPh>
    <rPh sb="2" eb="4">
      <t>ジッセキ</t>
    </rPh>
    <rPh sb="4" eb="6">
      <t>サクセイ</t>
    </rPh>
    <rPh sb="9" eb="11">
      <t>トクバイ</t>
    </rPh>
    <rPh sb="11" eb="13">
      <t>タイショウ</t>
    </rPh>
    <rPh sb="13" eb="14">
      <t>ガイ</t>
    </rPh>
    <phoneticPr fontId="15"/>
  </si>
  <si>
    <t>特売（タイムサービス売価）／マニュアル単品値引</t>
    <phoneticPr fontId="15"/>
  </si>
  <si>
    <t>販売額
200円</t>
    <rPh sb="0" eb="2">
      <t>ハンバイ</t>
    </rPh>
    <rPh sb="2" eb="3">
      <t>ガク</t>
    </rPh>
    <rPh sb="7" eb="8">
      <t>エン</t>
    </rPh>
    <phoneticPr fontId="1"/>
  </si>
  <si>
    <t>特売（タイムサービス売価）
250円</t>
    <rPh sb="0" eb="2">
      <t>トクバイ</t>
    </rPh>
    <rPh sb="10" eb="12">
      <t>バイカ</t>
    </rPh>
    <rPh sb="17" eb="18">
      <t>エン</t>
    </rPh>
    <phoneticPr fontId="1"/>
  </si>
  <si>
    <t>特売（タイムサービス売価）
300円</t>
    <rPh sb="17" eb="18">
      <t>エン</t>
    </rPh>
    <phoneticPr fontId="1"/>
  </si>
  <si>
    <t>0
定番売価ー特売（期間売価）</t>
  </si>
  <si>
    <t>販売額
300円</t>
    <rPh sb="0" eb="2">
      <t>ハンバイ</t>
    </rPh>
    <rPh sb="2" eb="3">
      <t>ガク</t>
    </rPh>
    <rPh sb="7" eb="8">
      <t>エン</t>
    </rPh>
    <phoneticPr fontId="1"/>
  </si>
  <si>
    <t>マニュアル単品値引実績計算（GHPLUDISC出力仕様）</t>
    <rPh sb="5" eb="7">
      <t>タンピン</t>
    </rPh>
    <rPh sb="7" eb="9">
      <t>ネビキ</t>
    </rPh>
    <rPh sb="9" eb="11">
      <t>ジッセキ</t>
    </rPh>
    <rPh sb="11" eb="13">
      <t>ケイサン</t>
    </rPh>
    <rPh sb="23" eb="25">
      <t>シュツリョク</t>
    </rPh>
    <rPh sb="25" eb="27">
      <t>シヨウ</t>
    </rPh>
    <phoneticPr fontId="1"/>
  </si>
  <si>
    <t>※「定番売価ー特売（期間売価）」マイナス時は値引実績作成しない。</t>
    <rPh sb="2" eb="4">
      <t>テイバン</t>
    </rPh>
    <rPh sb="4" eb="6">
      <t>バイカ</t>
    </rPh>
    <rPh sb="22" eb="24">
      <t>ネビキ</t>
    </rPh>
    <rPh sb="24" eb="26">
      <t>ジッセキ</t>
    </rPh>
    <rPh sb="26" eb="28">
      <t>サクセイ</t>
    </rPh>
    <phoneticPr fontId="15"/>
  </si>
  <si>
    <t>特売（タイムサービス売価）</t>
    <phoneticPr fontId="9"/>
  </si>
  <si>
    <t>特売（タイムサービス割引）</t>
    <phoneticPr fontId="15"/>
  </si>
  <si>
    <t>値引額　30円</t>
    <rPh sb="0" eb="2">
      <t>ネビキ</t>
    </rPh>
    <rPh sb="2" eb="3">
      <t>ガク</t>
    </rPh>
    <rPh sb="6" eb="7">
      <t>エン</t>
    </rPh>
    <phoneticPr fontId="15"/>
  </si>
  <si>
    <t>販売額
220円</t>
    <rPh sb="0" eb="2">
      <t>ハンバイ</t>
    </rPh>
    <rPh sb="2" eb="3">
      <t>ガク</t>
    </rPh>
    <rPh sb="7" eb="8">
      <t>エン</t>
    </rPh>
    <phoneticPr fontId="1"/>
  </si>
  <si>
    <t>50
定番売価ー特売（タイムサービス売価）</t>
    <phoneticPr fontId="15"/>
  </si>
  <si>
    <t>特売（期間売価）／マニュアル単品値引</t>
  </si>
  <si>
    <t>特売（期間売価）
300円</t>
    <rPh sb="12" eb="13">
      <t>エン</t>
    </rPh>
    <phoneticPr fontId="1"/>
  </si>
  <si>
    <t>特売（期間売価）
250円</t>
    <rPh sb="12" eb="13">
      <t>エン</t>
    </rPh>
    <phoneticPr fontId="1"/>
  </si>
  <si>
    <t>50
定番売価ー特売（期間売価）</t>
  </si>
  <si>
    <t>特売（期間割引）</t>
    <phoneticPr fontId="15"/>
  </si>
  <si>
    <t>特売（期間割引）
270円</t>
    <rPh sb="0" eb="2">
      <t>トクバイ</t>
    </rPh>
    <rPh sb="3" eb="5">
      <t>キカン</t>
    </rPh>
    <rPh sb="5" eb="7">
      <t>ワリビキ</t>
    </rPh>
    <rPh sb="12" eb="13">
      <t>エン</t>
    </rPh>
    <phoneticPr fontId="1"/>
  </si>
  <si>
    <t>30
定番売価ー特売（期間割引）</t>
    <phoneticPr fontId="15"/>
  </si>
  <si>
    <t>特売（期間割引）／マニュアル単品値引</t>
    <phoneticPr fontId="15"/>
  </si>
  <si>
    <t>特売（タイムサービス割引）
270円</t>
    <rPh sb="17" eb="18">
      <t>エン</t>
    </rPh>
    <phoneticPr fontId="1"/>
  </si>
  <si>
    <t>30
定番売価ー特売（タイムサービス割引）</t>
    <phoneticPr fontId="15"/>
  </si>
  <si>
    <t>定番売価1個300円の商品を2個販売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rPh sb="15" eb="16">
      <t>コ</t>
    </rPh>
    <rPh sb="16" eb="18">
      <t>ハンバイ</t>
    </rPh>
    <phoneticPr fontId="15"/>
  </si>
  <si>
    <t>値引額 100円</t>
    <rPh sb="0" eb="2">
      <t>ネビキ</t>
    </rPh>
    <rPh sb="2" eb="3">
      <t>ガク</t>
    </rPh>
    <rPh sb="7" eb="8">
      <t>エン</t>
    </rPh>
    <phoneticPr fontId="15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</si>
  <si>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</si>
  <si>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ミックスマッチ金額
500円（2個販売額）</t>
    <rPh sb="7" eb="9">
      <t>キンガク</t>
    </rPh>
    <phoneticPr fontId="1"/>
  </si>
  <si>
    <t>2個当たり販売額</t>
    <rPh sb="1" eb="2">
      <t>コ</t>
    </rPh>
    <rPh sb="2" eb="3">
      <t>ア</t>
    </rPh>
    <phoneticPr fontId="15"/>
  </si>
  <si>
    <t>ミックスマッチ金額</t>
    <phoneticPr fontId="15"/>
  </si>
  <si>
    <t>100
マニュアル単品値引ーミックスマッチ</t>
  </si>
  <si>
    <t>値引額　100円</t>
    <rPh sb="0" eb="2">
      <t>ネビキ</t>
    </rPh>
    <rPh sb="2" eb="3">
      <t>ガク</t>
    </rPh>
    <rPh sb="7" eb="8">
      <t>エン</t>
    </rPh>
    <phoneticPr fontId="15"/>
  </si>
  <si>
    <t>販売額
400円</t>
    <rPh sb="0" eb="2">
      <t>ハンバイ</t>
    </rPh>
    <rPh sb="2" eb="3">
      <t>ガク</t>
    </rPh>
    <rPh sb="7" eb="8">
      <t>エン</t>
    </rPh>
    <phoneticPr fontId="1"/>
  </si>
  <si>
    <t>ミックスマッチ金額
600円（2個販売額）</t>
    <rPh sb="7" eb="9">
      <t>キンガク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</si>
  <si>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ミックスマッチ対象外</t>
    </r>
    <rPh sb="0" eb="2">
      <t>ネビキ</t>
    </rPh>
    <rPh sb="2" eb="4">
      <t>ジッセキ</t>
    </rPh>
    <rPh sb="4" eb="6">
      <t>サクセイ</t>
    </rPh>
    <phoneticPr fontId="15"/>
  </si>
  <si>
    <t>販売額
500円</t>
    <rPh sb="0" eb="2">
      <t>ハンバイ</t>
    </rPh>
    <rPh sb="2" eb="3">
      <t>ガク</t>
    </rPh>
    <rPh sb="7" eb="8">
      <t>エン</t>
    </rPh>
    <phoneticPr fontId="1"/>
  </si>
  <si>
    <t>値引シール【1:値引】</t>
    <phoneticPr fontId="15"/>
  </si>
  <si>
    <t>値引額 　50円</t>
    <rPh sb="7" eb="8">
      <t>エン</t>
    </rPh>
    <phoneticPr fontId="15"/>
  </si>
  <si>
    <t>販売額
300円</t>
    <rPh sb="7" eb="8">
      <t>エン</t>
    </rPh>
    <phoneticPr fontId="1"/>
  </si>
  <si>
    <t>販売額
250円</t>
    <rPh sb="7" eb="8">
      <t>エン</t>
    </rPh>
    <phoneticPr fontId="1"/>
  </si>
  <si>
    <t>ミックスマッチ金額</t>
    <rPh sb="7" eb="9">
      <t>キンガク</t>
    </rPh>
    <phoneticPr fontId="1"/>
  </si>
  <si>
    <t>ミックスマッチ1個／マニュアル単品値引1個</t>
    <phoneticPr fontId="15"/>
  </si>
  <si>
    <t>ミックスマッチ2個／マニュアル単品値引2個</t>
    <phoneticPr fontId="15"/>
  </si>
  <si>
    <t>値引シール【1:値引】／マニュアル単品値引</t>
    <rPh sb="0" eb="2">
      <t>ネビキ</t>
    </rPh>
    <rPh sb="8" eb="10">
      <t>ネビキ</t>
    </rPh>
    <phoneticPr fontId="15"/>
  </si>
  <si>
    <t>100
マニュアル単品値引</t>
  </si>
  <si>
    <t>100
マニュアル単品値引</t>
    <phoneticPr fontId="15"/>
  </si>
  <si>
    <t>※ 「マニュアル単品値引」値下が優先される。</t>
    <rPh sb="13" eb="15">
      <t>ネサゲ</t>
    </rPh>
    <rPh sb="16" eb="18">
      <t>ユウセン</t>
    </rPh>
    <phoneticPr fontId="15"/>
  </si>
  <si>
    <t>値引シール【1:値引】
50円は無視</t>
    <rPh sb="14" eb="15">
      <t>エン</t>
    </rPh>
    <rPh sb="16" eb="18">
      <t>ムシ</t>
    </rPh>
    <phoneticPr fontId="1"/>
  </si>
  <si>
    <t>値引額 　30円</t>
    <rPh sb="7" eb="8">
      <t>エン</t>
    </rPh>
    <phoneticPr fontId="15"/>
  </si>
  <si>
    <t>30
マニュアル単品値引</t>
    <phoneticPr fontId="15"/>
  </si>
  <si>
    <t>販売額
270円</t>
    <rPh sb="0" eb="2">
      <t>ハンバイ</t>
    </rPh>
    <rPh sb="2" eb="3">
      <t>ガク</t>
    </rPh>
    <rPh sb="7" eb="8">
      <t>エン</t>
    </rPh>
    <phoneticPr fontId="1"/>
  </si>
  <si>
    <t>値引シール【2:割引】</t>
    <phoneticPr fontId="15"/>
  </si>
  <si>
    <t>値引シール【2:割引】／マニュアル単品値引</t>
    <phoneticPr fontId="15"/>
  </si>
  <si>
    <t>値引シール【2:割引】
30円は無視</t>
    <rPh sb="14" eb="15">
      <t>エン</t>
    </rPh>
    <rPh sb="16" eb="18">
      <t>ムシ</t>
    </rPh>
    <phoneticPr fontId="1"/>
  </si>
  <si>
    <t>販売額
280円</t>
    <rPh sb="0" eb="2">
      <t>ハンバイ</t>
    </rPh>
    <rPh sb="2" eb="3">
      <t>ガク</t>
    </rPh>
    <rPh sb="7" eb="8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</si>
  <si>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値引シール【2:割引】対象外</t>
    </r>
    <rPh sb="0" eb="2">
      <t>ネビキ</t>
    </rPh>
    <rPh sb="2" eb="4">
      <t>ジッセキ</t>
    </rPh>
    <rPh sb="4" eb="6">
      <t>サクセイ</t>
    </rPh>
    <phoneticPr fontId="15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</si>
  <si>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値引シール【1:値引】対象外</t>
    </r>
    <rPh sb="0" eb="2">
      <t>ネビキ</t>
    </rPh>
    <rPh sb="2" eb="4">
      <t>ジッセキ</t>
    </rPh>
    <rPh sb="4" eb="6">
      <t>サクセイ</t>
    </rPh>
    <phoneticPr fontId="15"/>
  </si>
  <si>
    <t>20
マニュアル単品値引</t>
    <phoneticPr fontId="15"/>
  </si>
  <si>
    <t>値引額　50円</t>
    <rPh sb="6" eb="7">
      <t>エン</t>
    </rPh>
    <phoneticPr fontId="15"/>
  </si>
  <si>
    <t>値引シール【3:金額】
300円</t>
    <rPh sb="15" eb="16">
      <t>エン</t>
    </rPh>
    <phoneticPr fontId="1"/>
  </si>
  <si>
    <t>値引シール【3:金額】
250円</t>
    <rPh sb="15" eb="16">
      <t>エン</t>
    </rPh>
    <phoneticPr fontId="1"/>
  </si>
  <si>
    <t>100
(定番売価ー値引シール【3:金額】)+マニュアル単品値引</t>
    <phoneticPr fontId="15"/>
  </si>
  <si>
    <t>値引シール【3:金額】
350円</t>
    <rPh sb="15" eb="16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</si>
  <si>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値引シール【3:金額】対象外</t>
    </r>
    <rPh sb="0" eb="2">
      <t>ネビキ</t>
    </rPh>
    <rPh sb="2" eb="4">
      <t>ジッセキ</t>
    </rPh>
    <rPh sb="4" eb="6">
      <t>サクセイ</t>
    </rPh>
    <phoneticPr fontId="15"/>
  </si>
  <si>
    <t>50
マニュアル単品値引</t>
  </si>
  <si>
    <t>定番売価－値引シール【3:金額】</t>
    <phoneticPr fontId="9"/>
  </si>
  <si>
    <t>値引シール【3:金額】／マニュアル単品値引</t>
    <phoneticPr fontId="15"/>
  </si>
  <si>
    <t>値引シール【3:金額】</t>
    <rPh sb="0" eb="2">
      <t>ネビキ</t>
    </rPh>
    <rPh sb="8" eb="10">
      <t>キンガク</t>
    </rPh>
    <phoneticPr fontId="1"/>
  </si>
  <si>
    <t>カテゴリ値引</t>
  </si>
  <si>
    <t>カテゴリ値引</t>
    <phoneticPr fontId="15"/>
  </si>
  <si>
    <t>カテゴリ値引／マニュアル単品値引</t>
    <phoneticPr fontId="15"/>
  </si>
  <si>
    <t>カテゴリ値引
250円</t>
    <rPh sb="10" eb="11">
      <t>エン</t>
    </rPh>
    <phoneticPr fontId="1"/>
  </si>
  <si>
    <t>カテゴリ割引</t>
  </si>
  <si>
    <t>カテゴリ割引</t>
    <phoneticPr fontId="15"/>
  </si>
  <si>
    <t>カテゴリ割引／マニュアル単品値引</t>
  </si>
  <si>
    <t>カテゴリ割引
270円</t>
    <rPh sb="10" eb="11">
      <t>エン</t>
    </rPh>
    <phoneticPr fontId="1"/>
  </si>
  <si>
    <t>小計値引（マニュアル）</t>
    <phoneticPr fontId="15"/>
  </si>
  <si>
    <t>緊急売価変更金額／小計値引（マニュアル）</t>
    <rPh sb="0" eb="2">
      <t>キンキュウ</t>
    </rPh>
    <rPh sb="2" eb="4">
      <t>バイカ</t>
    </rPh>
    <rPh sb="4" eb="6">
      <t>ヘンコウ</t>
    </rPh>
    <rPh sb="6" eb="8">
      <t>キンガク</t>
    </rPh>
    <phoneticPr fontId="15"/>
  </si>
  <si>
    <t>50
小計値引（マニュアル）</t>
    <phoneticPr fontId="15"/>
  </si>
  <si>
    <t>小計値引（マニュアル）</t>
  </si>
  <si>
    <t>小計値引（マニュアル）</t>
    <rPh sb="0" eb="2">
      <t>ショウケイ</t>
    </rPh>
    <rPh sb="2" eb="4">
      <t>ネビキ</t>
    </rPh>
    <phoneticPr fontId="1"/>
  </si>
  <si>
    <t>小計額×小計割引（マニュアル）</t>
    <rPh sb="0" eb="2">
      <t>ショウケイ</t>
    </rPh>
    <rPh sb="4" eb="6">
      <t>ショウケイ</t>
    </rPh>
    <rPh sb="6" eb="8">
      <t>ワリビキ</t>
    </rPh>
    <phoneticPr fontId="1"/>
  </si>
  <si>
    <t>値引額25円</t>
    <rPh sb="0" eb="2">
      <t>ネビキ</t>
    </rPh>
    <rPh sb="2" eb="3">
      <t>ガク</t>
    </rPh>
    <rPh sb="5" eb="6">
      <t>エン</t>
    </rPh>
    <phoneticPr fontId="15"/>
  </si>
  <si>
    <t>販売額
225円</t>
    <rPh sb="0" eb="2">
      <t>ハンバイ</t>
    </rPh>
    <rPh sb="2" eb="3">
      <t>ガク</t>
    </rPh>
    <rPh sb="7" eb="8">
      <t>エン</t>
    </rPh>
    <phoneticPr fontId="1"/>
  </si>
  <si>
    <t>小計
250円</t>
    <rPh sb="0" eb="2">
      <t>ショウケイ</t>
    </rPh>
    <rPh sb="6" eb="7">
      <t>エン</t>
    </rPh>
    <phoneticPr fontId="1"/>
  </si>
  <si>
    <t>25
小計額×小計割引（マニュアル）</t>
    <phoneticPr fontId="15"/>
  </si>
  <si>
    <t>小計割引（マニュアル）</t>
    <rPh sb="0" eb="2">
      <t>ショウケイ</t>
    </rPh>
    <rPh sb="2" eb="4">
      <t>ワリビキ</t>
    </rPh>
    <phoneticPr fontId="1"/>
  </si>
  <si>
    <t>マニュアル単品値引／小計割引（マニュアル）</t>
    <rPh sb="5" eb="7">
      <t>タンピン</t>
    </rPh>
    <rPh sb="7" eb="9">
      <t>ネビキ</t>
    </rPh>
    <phoneticPr fontId="15"/>
  </si>
  <si>
    <t>小計割引（マニュアル）</t>
    <phoneticPr fontId="15"/>
  </si>
  <si>
    <t>朝割り（自動）</t>
  </si>
  <si>
    <t>朝割り（自動）</t>
    <rPh sb="0" eb="1">
      <t>アサ</t>
    </rPh>
    <rPh sb="1" eb="2">
      <t>ワ</t>
    </rPh>
    <rPh sb="4" eb="6">
      <t>ジドウ</t>
    </rPh>
    <phoneticPr fontId="1"/>
  </si>
  <si>
    <t>マニュアル単品値引／朝割り（自動）</t>
    <rPh sb="5" eb="7">
      <t>タンピン</t>
    </rPh>
    <rPh sb="7" eb="9">
      <t>ネビキ</t>
    </rPh>
    <phoneticPr fontId="15"/>
  </si>
  <si>
    <t>25
小計額×朝割り（自動）</t>
  </si>
  <si>
    <t>メガ割（自動）</t>
  </si>
  <si>
    <t>メガ割（自動）</t>
    <phoneticPr fontId="1"/>
  </si>
  <si>
    <t>クレジット割（自動）</t>
  </si>
  <si>
    <t>クレジット割（自動）</t>
    <phoneticPr fontId="1"/>
  </si>
  <si>
    <t>マニュアル単品値引／メガ割（自動）</t>
    <rPh sb="5" eb="7">
      <t>タンピン</t>
    </rPh>
    <rPh sb="7" eb="9">
      <t>ネビキ</t>
    </rPh>
    <phoneticPr fontId="15"/>
  </si>
  <si>
    <t>25
小計額×メガ割（自動）</t>
  </si>
  <si>
    <t>マニュアル単品値引／クレジット割（自動）</t>
    <rPh sb="5" eb="7">
      <t>タンピン</t>
    </rPh>
    <rPh sb="7" eb="9">
      <t>ネビキ</t>
    </rPh>
    <phoneticPr fontId="15"/>
  </si>
  <si>
    <t>25
小計額×クレジット割（自動）</t>
  </si>
  <si>
    <t>①通常単価＞特売（タイムサービス売価）＞マニュアル値引後金額</t>
    <phoneticPr fontId="8"/>
  </si>
  <si>
    <t>①通常単価＝特売（タイムサービス売価）＞マニュアル値引後金額</t>
    <phoneticPr fontId="8"/>
  </si>
  <si>
    <t>①通常単価＞特売（タイムサービス割引）＞マニュアル値引後金額</t>
    <phoneticPr fontId="8"/>
  </si>
  <si>
    <t>①通常単価＞特売（期間売価）＞マニュアル値引後金額</t>
  </si>
  <si>
    <t>①通常単価＞特売（期間売価）＞マニュアル値引後金額</t>
    <phoneticPr fontId="8"/>
  </si>
  <si>
    <t>①通常単価＝特売（期間売価）＞マニュアル値引後金額</t>
  </si>
  <si>
    <t>①通常単価＝特売（期間売価）＞マニュアル値引後金額</t>
    <phoneticPr fontId="8"/>
  </si>
  <si>
    <t>①通常単価＞特売（期間割引）＞マニュアル値引後金額</t>
    <phoneticPr fontId="8"/>
  </si>
  <si>
    <t>①特売（タイムサービス売価）＞通常単価＞マニュアル値引後金額</t>
  </si>
  <si>
    <t>①特売（タイムサービス売価）＞通常単価＝マニュアル値引後金額</t>
  </si>
  <si>
    <t>①特売（期間売価）＞通常単価＞マニュアル値引後金額</t>
  </si>
  <si>
    <t>①特売（期間売価）＞通常単価＝マニュアル値引後金額</t>
  </si>
  <si>
    <t>テストパターン1　特売（タイムサービス売価）</t>
    <phoneticPr fontId="8"/>
  </si>
  <si>
    <t>①通常単価＞特売（タイムサービス値引）＞マニュアル値引後金額</t>
    <rPh sb="16" eb="18">
      <t>ネビキ</t>
    </rPh>
    <phoneticPr fontId="8"/>
  </si>
  <si>
    <t>不要</t>
    <rPh sb="0" eb="2">
      <t>フヨウ</t>
    </rPh>
    <phoneticPr fontId="8"/>
  </si>
  <si>
    <t>テストパターン2　特売（タイムサービス割引）</t>
    <phoneticPr fontId="8"/>
  </si>
  <si>
    <t>テストパターン3　特売（期間売価）</t>
    <phoneticPr fontId="8"/>
  </si>
  <si>
    <t>テストパターン4　特売（期間割引）</t>
    <phoneticPr fontId="8"/>
  </si>
  <si>
    <t>定番売価ーミックスマッチ</t>
    <phoneticPr fontId="9"/>
  </si>
  <si>
    <t>※ ※ 定番売価ーミックスマッチの計算結果が０円、マイナス時は実績出力しない。</t>
    <phoneticPr fontId="15"/>
  </si>
  <si>
    <t>テストパターン5　ミックスマッチ</t>
    <phoneticPr fontId="8"/>
  </si>
  <si>
    <t>テストパターン6　値引シール【1:値引】</t>
    <phoneticPr fontId="8"/>
  </si>
  <si>
    <t>テストパターン7　値引シール【2:割引】</t>
    <phoneticPr fontId="8"/>
  </si>
  <si>
    <t>テストパターン8　値引シール【3:金額】</t>
    <phoneticPr fontId="8"/>
  </si>
  <si>
    <t>テストパターン9　カテゴリ値引</t>
    <phoneticPr fontId="8"/>
  </si>
  <si>
    <t>テストパターン10　カテゴリ割引</t>
    <phoneticPr fontId="8"/>
  </si>
  <si>
    <t>テストパターン11　小計値引（マニュアル）</t>
    <phoneticPr fontId="8"/>
  </si>
  <si>
    <t>テストパターン12　小計割引（マニュアル）</t>
    <phoneticPr fontId="8"/>
  </si>
  <si>
    <t>テストパターン13　朝割り（自動）</t>
    <phoneticPr fontId="8"/>
  </si>
  <si>
    <t>テストパターン14　メガ割（自動）</t>
    <phoneticPr fontId="8"/>
  </si>
  <si>
    <t>テストパターン15　クレジット割（自動）</t>
    <phoneticPr fontId="8"/>
  </si>
  <si>
    <t>定番売価ー特売（期間売価）</t>
    <rPh sb="5" eb="7">
      <t>トクバイ</t>
    </rPh>
    <rPh sb="8" eb="10">
      <t>キカン</t>
    </rPh>
    <rPh sb="10" eb="12">
      <t>バイカ</t>
    </rPh>
    <phoneticPr fontId="1"/>
  </si>
  <si>
    <t>50
定番売価ーカテゴリ値引</t>
  </si>
  <si>
    <t>30
定番売価ーカテゴリ割引</t>
  </si>
  <si>
    <t>カテゴリー値引</t>
    <phoneticPr fontId="9"/>
  </si>
  <si>
    <t>マニュアル単品値引</t>
    <phoneticPr fontId="9"/>
  </si>
  <si>
    <t>定番売価ー特売（タイムサービス売価） 計算結果がマイナスは実績出力しない。</t>
  </si>
  <si>
    <t xml:space="preserve"> 定番売価ーミックスマッチの計算結果が０円、マイナス時は実績出力しない。</t>
  </si>
  <si>
    <t>実績は合算で作成する。
 定番売価－値引シール【3:金額】の計算結果が０円、マイナス時は実績出力しない。</t>
    <rPh sb="0" eb="2">
      <t>ジッセキ</t>
    </rPh>
    <rPh sb="3" eb="5">
      <t>ガッサン</t>
    </rPh>
    <rPh sb="6" eb="8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</si>
</sst>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8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96">
    <xf numFmtId="0" fontId="0" fillId="0" borderId="0" xfId="0">
      <alignment vertical="center"/>
    </xf>
    <xf numFmtId="0" fontId="11" fillId="0" borderId="0" xfId="0" applyFont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1" applyFont="1" applyFill="1" applyBorder="1" applyAlignment="1">
      <alignment wrapText="1"/>
    </xf>
    <xf numFmtId="0" fontId="11" fillId="0" borderId="0" xfId="0" applyFont="1" applyAlignment="1">
      <alignment vertical="center"/>
    </xf>
    <xf numFmtId="0" fontId="4" fillId="0" borderId="2" xfId="4" applyBorder="1" applyAlignment="1">
      <alignment vertical="center" wrapText="1"/>
    </xf>
    <xf numFmtId="0" fontId="4" fillId="0" borderId="2" xfId="5" applyFont="1" applyFill="1" applyBorder="1" applyAlignment="1">
      <alignment vertical="center" wrapText="1"/>
    </xf>
    <xf numFmtId="0" fontId="4" fillId="0" borderId="2" xfId="5" applyFont="1" applyFill="1" applyBorder="1" applyAlignment="1">
      <alignment horizontal="center" vertical="center" wrapText="1"/>
    </xf>
    <xf numFmtId="0" fontId="4" fillId="0" borderId="2" xfId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2" xfId="4" applyBorder="1" applyAlignment="1">
      <alignment horizontal="center" vertical="center" wrapText="1"/>
    </xf>
    <xf numFmtId="0" fontId="7" fillId="0" borderId="2" xfId="5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4" fillId="0" borderId="1" xfId="2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0" fontId="4" fillId="0" borderId="3" xfId="2" applyFont="1" applyFill="1" applyBorder="1" applyAlignment="1">
      <alignment horizontal="center"/>
    </xf>
    <xf numFmtId="0" fontId="0" fillId="0" borderId="0" xfId="0" applyFill="1">
      <alignment vertical="center"/>
    </xf>
    <xf numFmtId="0" fontId="11" fillId="0" borderId="0" xfId="0" applyFo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>
      <alignment vertical="center"/>
    </xf>
    <xf numFmtId="0" fontId="7" fillId="0" borderId="5" xfId="3" applyFont="1" applyBorder="1" applyAlignment="1">
      <alignment wrapText="1"/>
    </xf>
    <xf numFmtId="0" fontId="11" fillId="0" borderId="6" xfId="0" applyFont="1" applyBorder="1">
      <alignment vertical="center"/>
    </xf>
    <xf numFmtId="0" fontId="11" fillId="0" borderId="7" xfId="0" applyFont="1" applyBorder="1">
      <alignment vertical="center"/>
    </xf>
    <xf numFmtId="0" fontId="7" fillId="0" borderId="7" xfId="3" applyFont="1" applyBorder="1" applyAlignment="1">
      <alignment wrapText="1"/>
    </xf>
    <xf numFmtId="0" fontId="11" fillId="0" borderId="8" xfId="0" applyFont="1" applyBorder="1">
      <alignment vertical="center"/>
    </xf>
    <xf numFmtId="0" fontId="11" fillId="0" borderId="11" xfId="0" applyFont="1" applyBorder="1">
      <alignment vertical="center"/>
    </xf>
    <xf numFmtId="0" fontId="11" fillId="0" borderId="12" xfId="0" applyFont="1" applyBorder="1">
      <alignment vertical="center"/>
    </xf>
    <xf numFmtId="0" fontId="7" fillId="0" borderId="13" xfId="3" applyFont="1" applyBorder="1" applyAlignment="1">
      <alignment wrapText="1"/>
    </xf>
    <xf numFmtId="0" fontId="7" fillId="0" borderId="5" xfId="3" applyFont="1" applyBorder="1" applyAlignment="1">
      <alignment horizontal="right" wrapText="1"/>
    </xf>
    <xf numFmtId="0" fontId="7" fillId="0" borderId="11" xfId="3" applyFont="1" applyBorder="1" applyAlignment="1">
      <alignment wrapText="1"/>
    </xf>
    <xf numFmtId="0" fontId="7" fillId="0" borderId="11" xfId="3" applyFont="1" applyBorder="1" applyAlignment="1">
      <alignment horizontal="right" wrapText="1"/>
    </xf>
    <xf numFmtId="0" fontId="11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1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7" xfId="0" applyFont="1" applyBorder="1">
      <alignment vertical="center"/>
    </xf>
    <xf numFmtId="0" fontId="11" fillId="0" borderId="11" xfId="0" applyFont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5" xfId="0" applyFont="1" applyFill="1" applyBorder="1">
      <alignment vertical="center"/>
    </xf>
    <xf numFmtId="0" fontId="7" fillId="0" borderId="5" xfId="3" applyFont="1" applyFill="1" applyBorder="1" applyAlignment="1">
      <alignment wrapText="1"/>
    </xf>
    <xf numFmtId="0" fontId="11" fillId="0" borderId="6" xfId="0" applyFont="1" applyFill="1" applyBorder="1">
      <alignment vertical="center"/>
    </xf>
    <xf numFmtId="0" fontId="11" fillId="0" borderId="0" xfId="0" applyFont="1" applyFill="1">
      <alignment vertical="center"/>
    </xf>
    <xf numFmtId="0" fontId="11" fillId="0" borderId="7" xfId="0" applyFont="1" applyFill="1" applyBorder="1">
      <alignment vertical="center"/>
    </xf>
    <xf numFmtId="0" fontId="7" fillId="0" borderId="7" xfId="3" applyFont="1" applyFill="1" applyBorder="1" applyAlignment="1">
      <alignment wrapText="1"/>
    </xf>
    <xf numFmtId="0" fontId="11" fillId="0" borderId="8" xfId="0" applyFont="1" applyFill="1" applyBorder="1">
      <alignment vertical="center"/>
    </xf>
    <xf numFmtId="0" fontId="14" fillId="0" borderId="0" xfId="0" applyFont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23" xfId="0" applyBorder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0" borderId="9" xfId="3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5" xfId="0" applyFont="1" applyBorder="1">
      <alignment vertical="center"/>
    </xf>
    <xf numFmtId="0" fontId="11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11" fillId="0" borderId="13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23" xfId="0" applyFont="1" applyBorder="1">
      <alignment vertical="center"/>
    </xf>
    <xf numFmtId="0" fontId="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19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7" fillId="0" borderId="7" xfId="3" applyFont="1" applyBorder="1" applyAlignment="1">
      <alignment horizontal="right" wrapText="1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horizontal="left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>
      <alignment vertical="center"/>
    </xf>
    <xf numFmtId="0" fontId="7" fillId="0" borderId="30" xfId="3" applyFont="1" applyBorder="1" applyAlignment="1">
      <alignment wrapText="1"/>
    </xf>
    <xf numFmtId="0" fontId="11" fillId="0" borderId="31" xfId="0" applyFont="1" applyBorder="1">
      <alignment vertical="center"/>
    </xf>
    <xf numFmtId="0" fontId="11" fillId="0" borderId="32" xfId="0" applyFont="1" applyBorder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Border="1">
      <alignment vertical="center"/>
    </xf>
    <xf numFmtId="0" fontId="11" fillId="0" borderId="21" xfId="0" applyFont="1" applyBorder="1">
      <alignment vertical="center"/>
    </xf>
    <xf numFmtId="0" fontId="17" fillId="0" borderId="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1" fillId="0" borderId="25" xfId="0" applyFont="1" applyBorder="1">
      <alignment vertical="center"/>
    </xf>
    <xf numFmtId="0" fontId="11" fillId="0" borderId="26" xfId="0" applyFont="1" applyBorder="1">
      <alignment vertical="center"/>
    </xf>
    <xf numFmtId="0" fontId="1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0" fillId="8" borderId="0" xfId="0" applyFill="1">
      <alignment vertical="center"/>
    </xf>
    <xf numFmtId="0" fontId="0" fillId="5" borderId="0" xfId="0" applyFill="1">
      <alignment vertical="center"/>
    </xf>
    <xf numFmtId="0" fontId="11" fillId="0" borderId="5" xfId="0" applyFont="1" applyBorder="1">
      <alignment vertical="center"/>
    </xf>
    <xf numFmtId="0" fontId="11" fillId="0" borderId="7" xfId="0" applyFont="1" applyBorder="1">
      <alignment vertical="center"/>
    </xf>
    <xf numFmtId="0" fontId="3" fillId="0" borderId="10" xfId="0" applyFont="1" applyBorder="1" applyAlignment="1">
      <alignment vertical="center" wrapText="1"/>
    </xf>
    <xf numFmtId="0" fontId="16" fillId="0" borderId="17" xfId="0" applyFont="1" applyBorder="1" applyAlignment="1">
      <alignment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1" xfId="0" applyFont="1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>
      <alignment vertical="center"/>
    </xf>
    <xf numFmtId="0" fontId="11" fillId="0" borderId="9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1" fillId="0" borderId="5" xfId="0" applyFont="1" applyBorder="1" applyAlignment="1">
      <alignment vertical="center" wrapText="1"/>
    </xf>
    <xf numFmtId="0" fontId="11" fillId="0" borderId="14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11" fillId="0" borderId="5" xfId="0" applyFont="1" applyFill="1" applyBorder="1">
      <alignment vertical="center"/>
    </xf>
    <xf numFmtId="0" fontId="11" fillId="0" borderId="7" xfId="0" applyFont="1" applyFill="1" applyBorder="1">
      <alignment vertical="center"/>
    </xf>
    <xf numFmtId="0" fontId="11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3" borderId="33" xfId="0" applyFont="1" applyFill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0" fillId="2" borderId="27" xfId="0" applyFill="1" applyBorder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>
      <alignment vertical="center"/>
    </xf>
    <xf numFmtId="0" fontId="17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 wrapText="1"/>
    </xf>
    <xf numFmtId="0" fontId="11" fillId="6" borderId="3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1" fillId="3" borderId="2" xfId="0" applyFont="1" applyFill="1" applyBorder="1">
      <alignment vertical="center"/>
    </xf>
    <xf numFmtId="0" fontId="11" fillId="2" borderId="33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0" fillId="0" borderId="2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0" borderId="2" xfId="0" applyFont="1" applyBorder="1">
      <alignment vertical="center"/>
    </xf>
    <xf numFmtId="0" fontId="11" fillId="6" borderId="27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3" borderId="7" xfId="0" applyFill="1" applyBorder="1" applyAlignment="1">
      <alignment horizontal="center" vertical="center" wrapText="1"/>
    </xf>
    <xf numFmtId="0" fontId="0" fillId="0" borderId="27" xfId="0" applyBorder="1">
      <alignment vertical="center"/>
    </xf>
    <xf numFmtId="0" fontId="0" fillId="0" borderId="13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</cellXfs>
  <cellStyles count="6">
    <cellStyle name="標準" xfId="0" builtinId="0"/>
    <cellStyle name="標準_Sheet1" xfId="1" xr:uid="{00000000-0005-0000-0000-000001000000}"/>
    <cellStyle name="標準_Sheet2" xfId="2" xr:uid="{00000000-0005-0000-0000-000002000000}"/>
    <cellStyle name="標準_Sheet4" xfId="3" xr:uid="{00000000-0005-0000-0000-000003000000}"/>
    <cellStyle name="標準_データ" xfId="4" xr:uid="{00000000-0005-0000-0000-000004000000}"/>
    <cellStyle name="標準_売上値引実績確認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"/>
  <sheetViews>
    <sheetView tabSelected="1" topLeftCell="A8" zoomScale="85" zoomScaleNormal="85" workbookViewId="0">
      <selection activeCell="B18" sqref="B18:B19"/>
    </sheetView>
  </sheetViews>
  <sheetFormatPr defaultRowHeight="27.75" customHeight="1" x14ac:dyDescent="0.4"/>
  <cols>
    <col min="1" max="1" width="13.875" style="1" bestFit="1" customWidth="1"/>
    <col min="2" max="2" width="37.75" style="20" bestFit="1" customWidth="1"/>
    <col min="3" max="3" width="51.625" style="20" bestFit="1" customWidth="1"/>
    <col min="4" max="4" width="11.625" style="20" bestFit="1" customWidth="1"/>
    <col min="5" max="5" width="9.5" style="20" bestFit="1" customWidth="1"/>
    <col min="6" max="6" width="29.375" style="20" bestFit="1" customWidth="1"/>
    <col min="7" max="7" width="81.5" style="20" bestFit="1" customWidth="1"/>
    <col min="8" max="16384" width="9" style="20"/>
  </cols>
  <sheetData>
    <row r="1" spans="1:7" ht="27.75" customHeight="1" x14ac:dyDescent="0.4">
      <c r="A1" s="125" t="s">
        <v>274</v>
      </c>
      <c r="B1" s="126"/>
      <c r="C1" s="126"/>
      <c r="D1" s="126"/>
      <c r="E1" s="126"/>
      <c r="F1" s="126"/>
      <c r="G1" s="127"/>
    </row>
    <row r="2" spans="1:7" ht="27.75" customHeight="1" thickBot="1" x14ac:dyDescent="0.45"/>
    <row r="3" spans="1:7" s="1" customFormat="1" ht="25.5" customHeight="1" thickBot="1" x14ac:dyDescent="0.45">
      <c r="A3" s="21" t="s">
        <v>193</v>
      </c>
      <c r="B3" s="44" t="s">
        <v>212</v>
      </c>
      <c r="C3" s="44" t="s">
        <v>194</v>
      </c>
      <c r="D3" s="71" t="s">
        <v>133</v>
      </c>
      <c r="E3" s="71" t="s">
        <v>134</v>
      </c>
      <c r="F3" s="44" t="s">
        <v>137</v>
      </c>
      <c r="G3" s="72" t="s">
        <v>195</v>
      </c>
    </row>
    <row r="4" spans="1:7" ht="25.5" customHeight="1" x14ac:dyDescent="0.15">
      <c r="A4" s="121">
        <v>1</v>
      </c>
      <c r="B4" s="128" t="s">
        <v>276</v>
      </c>
      <c r="C4" s="37" t="s">
        <v>232</v>
      </c>
      <c r="D4" s="23">
        <v>91121</v>
      </c>
      <c r="E4" s="31">
        <v>1</v>
      </c>
      <c r="F4" s="34" t="s">
        <v>234</v>
      </c>
      <c r="G4" s="38" t="s">
        <v>404</v>
      </c>
    </row>
    <row r="5" spans="1:7" ht="25.5" customHeight="1" thickBot="1" x14ac:dyDescent="0.2">
      <c r="A5" s="123"/>
      <c r="B5" s="129"/>
      <c r="C5" s="36" t="s">
        <v>262</v>
      </c>
      <c r="D5" s="32">
        <v>91220</v>
      </c>
      <c r="E5" s="33">
        <v>1</v>
      </c>
      <c r="F5" s="35" t="s">
        <v>403</v>
      </c>
      <c r="G5" s="39"/>
    </row>
    <row r="6" spans="1:7" ht="25.5" customHeight="1" x14ac:dyDescent="0.15">
      <c r="A6" s="121">
        <v>2</v>
      </c>
      <c r="B6" s="135" t="s">
        <v>260</v>
      </c>
      <c r="C6" s="37" t="s">
        <v>261</v>
      </c>
      <c r="D6" s="23">
        <v>91121</v>
      </c>
      <c r="E6" s="31">
        <v>1</v>
      </c>
      <c r="F6" s="75" t="s">
        <v>231</v>
      </c>
      <c r="G6" s="38"/>
    </row>
    <row r="7" spans="1:7" ht="25.5" customHeight="1" thickBot="1" x14ac:dyDescent="0.2">
      <c r="A7" s="123"/>
      <c r="B7" s="136"/>
      <c r="C7" s="76" t="s">
        <v>236</v>
      </c>
      <c r="D7" s="32">
        <v>91220</v>
      </c>
      <c r="E7" s="33">
        <v>1</v>
      </c>
      <c r="F7" s="35" t="s">
        <v>236</v>
      </c>
      <c r="G7" s="39"/>
    </row>
    <row r="8" spans="1:7" ht="25.5" customHeight="1" x14ac:dyDescent="0.15">
      <c r="A8" s="121">
        <v>3</v>
      </c>
      <c r="B8" s="135" t="s">
        <v>259</v>
      </c>
      <c r="C8" s="37" t="s">
        <v>399</v>
      </c>
      <c r="D8" s="23">
        <v>91141</v>
      </c>
      <c r="E8" s="31">
        <v>1</v>
      </c>
      <c r="F8" s="75" t="s">
        <v>259</v>
      </c>
      <c r="G8" s="38"/>
    </row>
    <row r="9" spans="1:7" ht="25.5" customHeight="1" thickBot="1" x14ac:dyDescent="0.2">
      <c r="A9" s="123"/>
      <c r="B9" s="136"/>
      <c r="C9" s="76" t="s">
        <v>236</v>
      </c>
      <c r="D9" s="32">
        <v>91220</v>
      </c>
      <c r="E9" s="33">
        <v>1</v>
      </c>
      <c r="F9" s="35" t="s">
        <v>403</v>
      </c>
      <c r="G9" s="39"/>
    </row>
    <row r="10" spans="1:7" ht="25.5" customHeight="1" x14ac:dyDescent="0.15">
      <c r="A10" s="121">
        <v>4</v>
      </c>
      <c r="B10" s="135" t="s">
        <v>263</v>
      </c>
      <c r="C10" s="37" t="s">
        <v>264</v>
      </c>
      <c r="D10" s="23">
        <v>91141</v>
      </c>
      <c r="E10" s="31">
        <v>1</v>
      </c>
      <c r="F10" s="75" t="s">
        <v>259</v>
      </c>
      <c r="G10" s="38"/>
    </row>
    <row r="11" spans="1:7" ht="25.5" customHeight="1" thickBot="1" x14ac:dyDescent="0.2">
      <c r="A11" s="122"/>
      <c r="B11" s="137"/>
      <c r="C11" s="91" t="s">
        <v>262</v>
      </c>
      <c r="D11" s="26">
        <v>91220</v>
      </c>
      <c r="E11" s="92">
        <v>1</v>
      </c>
      <c r="F11" s="93" t="s">
        <v>236</v>
      </c>
      <c r="G11" s="94"/>
    </row>
    <row r="12" spans="1:7" ht="25.5" customHeight="1" x14ac:dyDescent="0.15">
      <c r="A12" s="121">
        <v>5</v>
      </c>
      <c r="B12" s="117" t="s">
        <v>235</v>
      </c>
      <c r="C12" s="74" t="s">
        <v>386</v>
      </c>
      <c r="D12" s="23">
        <v>91316</v>
      </c>
      <c r="E12" s="31">
        <v>0</v>
      </c>
      <c r="F12" s="74" t="s">
        <v>197</v>
      </c>
      <c r="G12" s="38" t="s">
        <v>405</v>
      </c>
    </row>
    <row r="13" spans="1:7" ht="25.5" customHeight="1" thickBot="1" x14ac:dyDescent="0.2">
      <c r="A13" s="122"/>
      <c r="B13" s="118"/>
      <c r="C13" s="91" t="s">
        <v>236</v>
      </c>
      <c r="D13" s="26">
        <v>91220</v>
      </c>
      <c r="E13" s="92">
        <v>1</v>
      </c>
      <c r="F13" s="93" t="s">
        <v>236</v>
      </c>
      <c r="G13" s="27"/>
    </row>
    <row r="14" spans="1:7" ht="25.5" customHeight="1" thickBot="1" x14ac:dyDescent="0.2">
      <c r="A14" s="95">
        <v>6</v>
      </c>
      <c r="B14" s="96" t="s">
        <v>202</v>
      </c>
      <c r="C14" s="96" t="s">
        <v>236</v>
      </c>
      <c r="D14" s="97">
        <v>91220</v>
      </c>
      <c r="E14" s="97">
        <v>1</v>
      </c>
      <c r="F14" s="96" t="s">
        <v>236</v>
      </c>
      <c r="G14" s="98" t="s">
        <v>213</v>
      </c>
    </row>
    <row r="15" spans="1:7" ht="36.75" customHeight="1" thickBot="1" x14ac:dyDescent="0.2">
      <c r="A15" s="77">
        <v>7</v>
      </c>
      <c r="B15" s="78" t="s">
        <v>201</v>
      </c>
      <c r="C15" s="78" t="s">
        <v>236</v>
      </c>
      <c r="D15" s="30">
        <v>91220</v>
      </c>
      <c r="E15" s="30">
        <v>1</v>
      </c>
      <c r="F15" s="78" t="s">
        <v>236</v>
      </c>
      <c r="G15" s="99" t="s">
        <v>213</v>
      </c>
    </row>
    <row r="16" spans="1:7" ht="25.5" customHeight="1" x14ac:dyDescent="0.15">
      <c r="A16" s="121">
        <v>8</v>
      </c>
      <c r="B16" s="130" t="s">
        <v>334</v>
      </c>
      <c r="C16" s="22" t="s">
        <v>332</v>
      </c>
      <c r="D16" s="23">
        <v>91220</v>
      </c>
      <c r="E16" s="23">
        <v>1</v>
      </c>
      <c r="F16" s="22" t="s">
        <v>236</v>
      </c>
      <c r="G16" s="119" t="s">
        <v>406</v>
      </c>
    </row>
    <row r="17" spans="1:7" ht="25.5" customHeight="1" thickBot="1" x14ac:dyDescent="0.2">
      <c r="A17" s="122"/>
      <c r="B17" s="118"/>
      <c r="C17" s="25" t="s">
        <v>236</v>
      </c>
      <c r="D17" s="26">
        <v>91220</v>
      </c>
      <c r="E17" s="26">
        <v>1</v>
      </c>
      <c r="F17" s="25" t="s">
        <v>237</v>
      </c>
      <c r="G17" s="120"/>
    </row>
    <row r="18" spans="1:7" ht="25.5" customHeight="1" x14ac:dyDescent="0.15">
      <c r="A18" s="121">
        <v>9</v>
      </c>
      <c r="B18" s="117" t="s">
        <v>203</v>
      </c>
      <c r="C18" s="22" t="s">
        <v>236</v>
      </c>
      <c r="D18" s="23">
        <v>91220</v>
      </c>
      <c r="E18" s="23">
        <v>1</v>
      </c>
      <c r="F18" s="22" t="s">
        <v>236</v>
      </c>
      <c r="G18" s="24"/>
    </row>
    <row r="19" spans="1:7" ht="25.5" customHeight="1" thickBot="1" x14ac:dyDescent="0.2">
      <c r="A19" s="122"/>
      <c r="B19" s="118"/>
      <c r="C19" s="25" t="s">
        <v>208</v>
      </c>
      <c r="D19" s="26">
        <v>91324</v>
      </c>
      <c r="E19" s="26">
        <v>0</v>
      </c>
      <c r="F19" s="25" t="s">
        <v>170</v>
      </c>
      <c r="G19" s="27"/>
    </row>
    <row r="20" spans="1:7" s="48" customFormat="1" ht="25.5" customHeight="1" x14ac:dyDescent="0.15">
      <c r="A20" s="131">
        <v>10</v>
      </c>
      <c r="B20" s="133" t="s">
        <v>204</v>
      </c>
      <c r="C20" s="45" t="s">
        <v>236</v>
      </c>
      <c r="D20" s="46">
        <v>91220</v>
      </c>
      <c r="E20" s="46">
        <v>1</v>
      </c>
      <c r="F20" s="45" t="s">
        <v>236</v>
      </c>
      <c r="G20" s="47"/>
    </row>
    <row r="21" spans="1:7" s="48" customFormat="1" ht="25.5" customHeight="1" thickBot="1" x14ac:dyDescent="0.2">
      <c r="A21" s="132"/>
      <c r="B21" s="134"/>
      <c r="C21" s="49" t="s">
        <v>233</v>
      </c>
      <c r="D21" s="50">
        <v>91324</v>
      </c>
      <c r="E21" s="50">
        <v>0</v>
      </c>
      <c r="F21" s="49" t="s">
        <v>402</v>
      </c>
      <c r="G21" s="51"/>
    </row>
    <row r="22" spans="1:7" ht="25.5" customHeight="1" x14ac:dyDescent="0.15">
      <c r="A22" s="121">
        <v>11</v>
      </c>
      <c r="B22" s="117" t="s">
        <v>347</v>
      </c>
      <c r="C22" s="22" t="s">
        <v>236</v>
      </c>
      <c r="D22" s="23">
        <v>91220</v>
      </c>
      <c r="E22" s="23">
        <v>1</v>
      </c>
      <c r="F22" s="22" t="s">
        <v>236</v>
      </c>
      <c r="G22" s="24"/>
    </row>
    <row r="23" spans="1:7" ht="25.5" customHeight="1" thickBot="1" x14ac:dyDescent="0.2">
      <c r="A23" s="122"/>
      <c r="B23" s="118"/>
      <c r="C23" s="25" t="s">
        <v>347</v>
      </c>
      <c r="D23" s="26">
        <v>91400</v>
      </c>
      <c r="E23" s="26">
        <v>14</v>
      </c>
      <c r="F23" s="25" t="s">
        <v>346</v>
      </c>
      <c r="G23" s="27"/>
    </row>
    <row r="24" spans="1:7" ht="25.5" customHeight="1" x14ac:dyDescent="0.15">
      <c r="A24" s="121">
        <v>12</v>
      </c>
      <c r="B24" s="117" t="s">
        <v>353</v>
      </c>
      <c r="C24" s="22" t="s">
        <v>236</v>
      </c>
      <c r="D24" s="23">
        <v>91220</v>
      </c>
      <c r="E24" s="23">
        <v>1</v>
      </c>
      <c r="F24" s="22" t="s">
        <v>236</v>
      </c>
      <c r="G24" s="24"/>
    </row>
    <row r="25" spans="1:7" ht="25.5" customHeight="1" thickBot="1" x14ac:dyDescent="0.2">
      <c r="A25" s="122"/>
      <c r="B25" s="118"/>
      <c r="C25" s="40" t="s">
        <v>348</v>
      </c>
      <c r="D25" s="26">
        <v>91400</v>
      </c>
      <c r="E25" s="26">
        <v>14</v>
      </c>
      <c r="F25" s="25" t="s">
        <v>346</v>
      </c>
      <c r="G25" s="27"/>
    </row>
    <row r="26" spans="1:7" ht="25.5" customHeight="1" x14ac:dyDescent="0.15">
      <c r="A26" s="121">
        <v>13</v>
      </c>
      <c r="B26" s="117" t="s">
        <v>357</v>
      </c>
      <c r="C26" s="22" t="s">
        <v>236</v>
      </c>
      <c r="D26" s="23">
        <v>91220</v>
      </c>
      <c r="E26" s="23">
        <v>1</v>
      </c>
      <c r="F26" s="22" t="s">
        <v>236</v>
      </c>
      <c r="G26" s="24"/>
    </row>
    <row r="27" spans="1:7" ht="25.5" customHeight="1" thickBot="1" x14ac:dyDescent="0.2">
      <c r="A27" s="122"/>
      <c r="B27" s="118"/>
      <c r="C27" s="40" t="s">
        <v>209</v>
      </c>
      <c r="D27" s="26">
        <v>91400</v>
      </c>
      <c r="E27" s="26">
        <v>14</v>
      </c>
      <c r="F27" s="25" t="s">
        <v>346</v>
      </c>
      <c r="G27" s="27"/>
    </row>
    <row r="28" spans="1:7" ht="25.5" customHeight="1" x14ac:dyDescent="0.15">
      <c r="A28" s="121">
        <v>14</v>
      </c>
      <c r="B28" s="117" t="s">
        <v>361</v>
      </c>
      <c r="C28" s="22" t="s">
        <v>236</v>
      </c>
      <c r="D28" s="23">
        <v>91220</v>
      </c>
      <c r="E28" s="23">
        <v>1</v>
      </c>
      <c r="F28" s="22" t="s">
        <v>236</v>
      </c>
      <c r="G28" s="24"/>
    </row>
    <row r="29" spans="1:7" ht="25.5" customHeight="1" thickBot="1" x14ac:dyDescent="0.2">
      <c r="A29" s="122"/>
      <c r="B29" s="118"/>
      <c r="C29" s="40" t="s">
        <v>210</v>
      </c>
      <c r="D29" s="26">
        <v>91400</v>
      </c>
      <c r="E29" s="26">
        <v>14</v>
      </c>
      <c r="F29" s="25" t="s">
        <v>346</v>
      </c>
      <c r="G29" s="27"/>
    </row>
    <row r="30" spans="1:7" ht="25.5" customHeight="1" x14ac:dyDescent="0.15">
      <c r="A30" s="121">
        <v>15</v>
      </c>
      <c r="B30" s="117" t="s">
        <v>363</v>
      </c>
      <c r="C30" s="22" t="s">
        <v>236</v>
      </c>
      <c r="D30" s="23">
        <v>91220</v>
      </c>
      <c r="E30" s="23">
        <v>1</v>
      </c>
      <c r="F30" s="22" t="s">
        <v>236</v>
      </c>
      <c r="G30" s="24"/>
    </row>
    <row r="31" spans="1:7" ht="25.5" customHeight="1" thickBot="1" x14ac:dyDescent="0.2">
      <c r="A31" s="123"/>
      <c r="B31" s="124"/>
      <c r="C31" s="41" t="s">
        <v>211</v>
      </c>
      <c r="D31" s="32">
        <v>91400</v>
      </c>
      <c r="E31" s="32">
        <v>14</v>
      </c>
      <c r="F31" s="28" t="s">
        <v>346</v>
      </c>
      <c r="G31" s="29"/>
    </row>
  </sheetData>
  <mergeCells count="28">
    <mergeCell ref="A6:A7"/>
    <mergeCell ref="B6:B7"/>
    <mergeCell ref="A10:A11"/>
    <mergeCell ref="B10:B11"/>
    <mergeCell ref="A8:A9"/>
    <mergeCell ref="B8:B9"/>
    <mergeCell ref="A30:A31"/>
    <mergeCell ref="B30:B31"/>
    <mergeCell ref="A1:G1"/>
    <mergeCell ref="A4:A5"/>
    <mergeCell ref="B4:B5"/>
    <mergeCell ref="A12:A13"/>
    <mergeCell ref="B12:B13"/>
    <mergeCell ref="B26:B27"/>
    <mergeCell ref="A16:A17"/>
    <mergeCell ref="B16:B17"/>
    <mergeCell ref="A18:A19"/>
    <mergeCell ref="B18:B19"/>
    <mergeCell ref="A26:A27"/>
    <mergeCell ref="A20:A21"/>
    <mergeCell ref="B20:B21"/>
    <mergeCell ref="A28:A29"/>
    <mergeCell ref="B28:B29"/>
    <mergeCell ref="G16:G17"/>
    <mergeCell ref="A22:A23"/>
    <mergeCell ref="B22:B23"/>
    <mergeCell ref="A24:A25"/>
    <mergeCell ref="B24:B25"/>
  </mergeCells>
  <phoneticPr fontId="9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2B5C-29E7-403C-A77E-CEFCC8C181DF}">
  <dimension ref="D3:R360"/>
  <sheetViews>
    <sheetView topLeftCell="A273" zoomScale="85" zoomScaleNormal="85" workbookViewId="0">
      <selection activeCell="H287" sqref="H287:H289"/>
    </sheetView>
  </sheetViews>
  <sheetFormatPr defaultRowHeight="18.75" x14ac:dyDescent="0.4"/>
  <cols>
    <col min="1" max="3" width="3.875" customWidth="1"/>
    <col min="4" max="4" width="13.875" bestFit="1" customWidth="1"/>
    <col min="5" max="5" width="39.375" customWidth="1"/>
    <col min="6" max="6" width="3.75" customWidth="1"/>
    <col min="7" max="7" width="7.5" bestFit="1" customWidth="1"/>
    <col min="8" max="8" width="41.625" bestFit="1" customWidth="1"/>
    <col min="9" max="9" width="31.375" bestFit="1" customWidth="1"/>
    <col min="10" max="10" width="4.375" customWidth="1"/>
    <col min="11" max="11" width="7.5" bestFit="1" customWidth="1"/>
    <col min="12" max="12" width="41.625" bestFit="1" customWidth="1"/>
    <col min="13" max="13" width="31.375" bestFit="1" customWidth="1"/>
    <col min="14" max="14" width="4.5" customWidth="1"/>
    <col min="15" max="15" width="15" bestFit="1" customWidth="1"/>
    <col min="16" max="16" width="41.625" bestFit="1" customWidth="1"/>
    <col min="17" max="17" width="28.25" customWidth="1"/>
  </cols>
  <sheetData>
    <row r="3" spans="4:18" ht="19.5" thickBot="1" x14ac:dyDescent="0.45"/>
    <row r="4" spans="4:18" s="20" customFormat="1" ht="13.5" x14ac:dyDescent="0.4">
      <c r="D4" s="90" t="s">
        <v>257</v>
      </c>
      <c r="E4" s="100"/>
      <c r="F4" s="100"/>
      <c r="G4" s="100"/>
      <c r="H4" s="100"/>
      <c r="I4" s="100"/>
      <c r="J4" s="101"/>
      <c r="K4" s="101"/>
      <c r="L4" s="101"/>
      <c r="M4" s="101"/>
      <c r="N4" s="101"/>
      <c r="O4" s="101"/>
      <c r="P4" s="101"/>
      <c r="Q4" s="101"/>
      <c r="R4" s="102"/>
    </row>
    <row r="5" spans="4:18" s="20" customFormat="1" ht="13.5" x14ac:dyDescent="0.4">
      <c r="D5" s="83">
        <v>1</v>
      </c>
      <c r="E5" s="80" t="s">
        <v>249</v>
      </c>
      <c r="F5" s="80"/>
      <c r="G5" s="80"/>
      <c r="H5" s="1"/>
      <c r="I5" s="1"/>
      <c r="R5" s="85"/>
    </row>
    <row r="6" spans="4:18" s="20" customFormat="1" ht="13.5" x14ac:dyDescent="0.4">
      <c r="D6" s="83"/>
      <c r="E6" s="88"/>
      <c r="F6" s="80"/>
      <c r="G6" s="80"/>
      <c r="H6" s="1"/>
      <c r="I6" s="1"/>
      <c r="R6" s="85"/>
    </row>
    <row r="7" spans="4:18" s="20" customFormat="1" ht="13.5" x14ac:dyDescent="0.4">
      <c r="D7" s="83"/>
      <c r="E7" s="80"/>
      <c r="F7" s="80"/>
      <c r="G7" s="80"/>
      <c r="H7" s="1"/>
      <c r="I7" s="1"/>
      <c r="R7" s="85"/>
    </row>
    <row r="8" spans="4:18" s="1" customFormat="1" ht="13.5" x14ac:dyDescent="0.4">
      <c r="D8" s="83"/>
      <c r="E8" s="1" t="s">
        <v>248</v>
      </c>
      <c r="H8" s="1" t="str">
        <f>H10&amp;"円に特売（タイムサービス売価）設定"</f>
        <v>250円に特売（タイムサービス売価）設定</v>
      </c>
      <c r="I8" s="1" t="str">
        <f>I10&amp;"円のマニュアル単品値引"</f>
        <v>50円のマニュアル単品値引</v>
      </c>
      <c r="L8" s="1" t="str">
        <f>L10&amp;"円に特売（タイムサービス売価）設定"</f>
        <v>300円に特売（タイムサービス売価）設定</v>
      </c>
      <c r="M8" s="1" t="str">
        <f>M10&amp;"円のマニュアル単品値引"</f>
        <v>50円のマニュアル単品値引</v>
      </c>
      <c r="P8" s="1" t="str">
        <f>P10&amp;"円に特売（タイムサービス売価）設定"</f>
        <v>350円に特売（タイムサービス売価）設定</v>
      </c>
      <c r="Q8" s="1" t="str">
        <f>Q10&amp;"円のマニュアル単品値引"</f>
        <v>50円のマニュアル単品値引</v>
      </c>
      <c r="R8" s="109"/>
    </row>
    <row r="9" spans="4:18" s="20" customFormat="1" ht="13.5" x14ac:dyDescent="0.4">
      <c r="D9" s="83"/>
      <c r="E9" s="89"/>
      <c r="F9" s="89"/>
      <c r="G9" s="80"/>
      <c r="P9" s="1"/>
      <c r="Q9" s="1"/>
      <c r="R9" s="85"/>
    </row>
    <row r="10" spans="4:18" s="20" customFormat="1" ht="13.5" x14ac:dyDescent="0.4">
      <c r="D10" s="83"/>
      <c r="E10" s="89" t="s">
        <v>268</v>
      </c>
      <c r="F10" s="89"/>
      <c r="G10" s="1"/>
      <c r="H10" s="1">
        <v>250</v>
      </c>
      <c r="I10" s="1">
        <v>50</v>
      </c>
      <c r="L10" s="1">
        <v>300</v>
      </c>
      <c r="M10" s="1">
        <v>50</v>
      </c>
      <c r="P10" s="1">
        <v>350</v>
      </c>
      <c r="Q10" s="1">
        <v>50</v>
      </c>
      <c r="R10" s="85"/>
    </row>
    <row r="11" spans="4:18" s="20" customFormat="1" ht="13.5" x14ac:dyDescent="0.4">
      <c r="D11" s="83"/>
      <c r="E11" s="1"/>
      <c r="F11" s="1"/>
      <c r="G11" s="1"/>
      <c r="I11" s="1"/>
      <c r="P11" s="1"/>
      <c r="Q11" s="1"/>
      <c r="R11" s="85"/>
    </row>
    <row r="12" spans="4:18" s="20" customFormat="1" ht="13.5" customHeight="1" x14ac:dyDescent="0.4">
      <c r="D12" s="83"/>
      <c r="E12" s="1"/>
      <c r="F12" s="1"/>
      <c r="G12" s="1"/>
      <c r="L12" s="1"/>
      <c r="P12" s="1"/>
      <c r="R12" s="85"/>
    </row>
    <row r="13" spans="4:18" s="20" customFormat="1" ht="13.5" customHeight="1" x14ac:dyDescent="0.4">
      <c r="D13" s="83"/>
      <c r="E13" s="1"/>
      <c r="F13" s="1"/>
      <c r="G13" s="142" t="s">
        <v>265</v>
      </c>
      <c r="H13" s="82" t="s">
        <v>266</v>
      </c>
      <c r="K13" s="142" t="s">
        <v>265</v>
      </c>
      <c r="L13" s="145" t="s">
        <v>271</v>
      </c>
      <c r="M13" s="82" t="s">
        <v>266</v>
      </c>
      <c r="O13" s="142" t="s">
        <v>265</v>
      </c>
      <c r="P13" s="151" t="s">
        <v>251</v>
      </c>
      <c r="Q13" s="82" t="s">
        <v>266</v>
      </c>
      <c r="R13" s="85"/>
    </row>
    <row r="14" spans="4:18" s="20" customFormat="1" ht="13.5" customHeight="1" x14ac:dyDescent="0.4">
      <c r="D14" s="83"/>
      <c r="E14" s="1"/>
      <c r="F14" s="1"/>
      <c r="G14" s="143"/>
      <c r="H14" s="145" t="s">
        <v>270</v>
      </c>
      <c r="I14" s="82" t="s">
        <v>266</v>
      </c>
      <c r="K14" s="143"/>
      <c r="L14" s="149"/>
      <c r="M14" s="147" t="s">
        <v>269</v>
      </c>
      <c r="O14" s="143"/>
      <c r="P14" s="152"/>
      <c r="Q14" s="147" t="s">
        <v>273</v>
      </c>
      <c r="R14" s="85"/>
    </row>
    <row r="15" spans="4:18" s="20" customFormat="1" ht="13.5" customHeight="1" x14ac:dyDescent="0.4">
      <c r="D15" s="83"/>
      <c r="E15" s="1"/>
      <c r="F15" s="1"/>
      <c r="G15" s="143"/>
      <c r="H15" s="146"/>
      <c r="I15" s="147" t="s">
        <v>269</v>
      </c>
      <c r="K15" s="143"/>
      <c r="L15" s="149"/>
      <c r="M15" s="148"/>
      <c r="O15" s="143"/>
      <c r="P15" s="152"/>
      <c r="Q15" s="148"/>
      <c r="R15" s="85"/>
    </row>
    <row r="16" spans="4:18" s="20" customFormat="1" ht="13.5" customHeight="1" x14ac:dyDescent="0.4">
      <c r="D16" s="83"/>
      <c r="E16" s="1"/>
      <c r="F16" s="1"/>
      <c r="G16" s="143"/>
      <c r="H16" s="146"/>
      <c r="I16" s="148"/>
      <c r="K16" s="143"/>
      <c r="L16" s="149"/>
      <c r="M16" s="148"/>
      <c r="O16" s="143"/>
      <c r="P16" s="152"/>
      <c r="Q16" s="148"/>
      <c r="R16" s="85"/>
    </row>
    <row r="17" spans="4:18" s="20" customFormat="1" ht="13.5" customHeight="1" x14ac:dyDescent="0.4">
      <c r="D17" s="83"/>
      <c r="E17" s="1"/>
      <c r="F17" s="1"/>
      <c r="G17" s="143"/>
      <c r="H17" s="146"/>
      <c r="I17" s="148"/>
      <c r="K17" s="143"/>
      <c r="L17" s="149"/>
      <c r="M17" s="148"/>
      <c r="O17" s="143"/>
      <c r="P17" s="152"/>
      <c r="Q17" s="148"/>
      <c r="R17" s="85"/>
    </row>
    <row r="18" spans="4:18" s="20" customFormat="1" ht="13.5" customHeight="1" x14ac:dyDescent="0.4">
      <c r="D18" s="83"/>
      <c r="E18" s="1"/>
      <c r="F18" s="1"/>
      <c r="G18" s="144"/>
      <c r="H18" s="146"/>
      <c r="I18" s="148"/>
      <c r="K18" s="144"/>
      <c r="L18" s="149"/>
      <c r="M18" s="148"/>
      <c r="O18" s="144"/>
      <c r="P18" s="152"/>
      <c r="Q18" s="148"/>
      <c r="R18" s="85"/>
    </row>
    <row r="19" spans="4:18" s="1" customFormat="1" ht="13.5" customHeight="1" x14ac:dyDescent="0.4">
      <c r="D19" s="83"/>
      <c r="E19" s="84" t="s">
        <v>214</v>
      </c>
      <c r="F19" s="84"/>
      <c r="G19" s="84"/>
      <c r="H19" s="79">
        <v>50</v>
      </c>
      <c r="I19" s="79">
        <v>50</v>
      </c>
      <c r="L19" s="103">
        <v>0</v>
      </c>
      <c r="M19" s="111">
        <v>50</v>
      </c>
      <c r="P19" s="79"/>
      <c r="Q19" s="111">
        <v>50</v>
      </c>
      <c r="R19" s="109"/>
    </row>
    <row r="20" spans="4:18" s="20" customFormat="1" ht="13.5" x14ac:dyDescent="0.4">
      <c r="D20" s="83"/>
      <c r="E20" s="84" t="s">
        <v>242</v>
      </c>
      <c r="F20" s="84"/>
      <c r="G20" s="84"/>
      <c r="H20" s="141">
        <v>200</v>
      </c>
      <c r="I20" s="141"/>
      <c r="L20" s="141">
        <v>300</v>
      </c>
      <c r="M20" s="141"/>
      <c r="P20" s="141">
        <v>350</v>
      </c>
      <c r="Q20" s="141"/>
      <c r="R20" s="85"/>
    </row>
    <row r="21" spans="4:18" s="20" customFormat="1" ht="13.5" x14ac:dyDescent="0.4">
      <c r="D21" s="83"/>
      <c r="E21" s="84"/>
      <c r="F21" s="84"/>
      <c r="G21" s="84"/>
      <c r="H21" s="1"/>
      <c r="M21" s="1"/>
      <c r="P21" s="1"/>
      <c r="Q21" s="1"/>
      <c r="R21" s="85"/>
    </row>
    <row r="22" spans="4:18" s="20" customFormat="1" ht="13.5" x14ac:dyDescent="0.4">
      <c r="D22" s="83"/>
      <c r="E22" s="84" t="s">
        <v>243</v>
      </c>
      <c r="F22" s="84"/>
      <c r="G22" s="84"/>
      <c r="H22" s="1"/>
      <c r="I22" s="1"/>
      <c r="M22" s="1"/>
      <c r="P22" s="1"/>
      <c r="Q22" s="1"/>
      <c r="R22" s="85"/>
    </row>
    <row r="23" spans="4:18" s="20" customFormat="1" ht="13.5" customHeight="1" x14ac:dyDescent="0.4">
      <c r="D23" s="83"/>
      <c r="E23" s="86" t="s">
        <v>244</v>
      </c>
      <c r="F23" s="86"/>
      <c r="G23" s="84"/>
      <c r="H23" s="1">
        <v>91121</v>
      </c>
      <c r="I23" s="1">
        <v>91220</v>
      </c>
      <c r="L23" s="1">
        <v>91121</v>
      </c>
      <c r="M23" s="1">
        <v>91220</v>
      </c>
      <c r="P23" s="150" t="s">
        <v>267</v>
      </c>
      <c r="Q23" s="1">
        <v>91220</v>
      </c>
      <c r="R23" s="85"/>
    </row>
    <row r="24" spans="4:18" s="20" customFormat="1" ht="13.5" x14ac:dyDescent="0.4">
      <c r="D24" s="83"/>
      <c r="E24" s="86" t="s">
        <v>245</v>
      </c>
      <c r="F24" s="86"/>
      <c r="G24" s="84"/>
      <c r="H24" s="1">
        <v>0</v>
      </c>
      <c r="I24" s="1">
        <v>1</v>
      </c>
      <c r="L24" s="1">
        <v>0</v>
      </c>
      <c r="M24" s="1">
        <v>1</v>
      </c>
      <c r="P24" s="141"/>
      <c r="Q24" s="1">
        <v>1</v>
      </c>
      <c r="R24" s="85"/>
    </row>
    <row r="25" spans="4:18" s="20" customFormat="1" ht="13.5" x14ac:dyDescent="0.4">
      <c r="D25" s="83"/>
      <c r="E25" s="86" t="s">
        <v>246</v>
      </c>
      <c r="F25" s="86"/>
      <c r="G25" s="84"/>
      <c r="H25" s="84" t="s">
        <v>251</v>
      </c>
      <c r="I25" s="84" t="s">
        <v>236</v>
      </c>
      <c r="L25" s="84" t="s">
        <v>251</v>
      </c>
      <c r="M25" s="84" t="s">
        <v>236</v>
      </c>
      <c r="P25" s="141"/>
      <c r="Q25" s="84" t="s">
        <v>236</v>
      </c>
      <c r="R25" s="85"/>
    </row>
    <row r="26" spans="4:18" s="20" customFormat="1" ht="27" x14ac:dyDescent="0.4">
      <c r="D26" s="83"/>
      <c r="E26" s="84" t="s">
        <v>214</v>
      </c>
      <c r="F26" s="84"/>
      <c r="G26" s="84"/>
      <c r="H26" s="84" t="s">
        <v>280</v>
      </c>
      <c r="I26" s="84" t="s">
        <v>331</v>
      </c>
      <c r="L26" s="87" t="s">
        <v>254</v>
      </c>
      <c r="M26" s="84" t="s">
        <v>331</v>
      </c>
      <c r="P26" s="141"/>
      <c r="Q26" s="84" t="s">
        <v>331</v>
      </c>
      <c r="R26" s="85"/>
    </row>
    <row r="27" spans="4:18" s="20" customFormat="1" ht="13.5" x14ac:dyDescent="0.4">
      <c r="D27" s="83"/>
      <c r="E27" s="110" t="s">
        <v>275</v>
      </c>
      <c r="F27" s="88"/>
      <c r="G27" s="84"/>
      <c r="H27" s="1"/>
      <c r="I27" s="1"/>
      <c r="L27" s="1"/>
      <c r="M27" s="1"/>
      <c r="P27" s="1"/>
      <c r="Q27" s="1"/>
      <c r="R27" s="85"/>
    </row>
    <row r="28" spans="4:18" s="20" customFormat="1" ht="14.25" thickBot="1" x14ac:dyDescent="0.45">
      <c r="D28" s="104"/>
      <c r="E28" s="105"/>
      <c r="F28" s="105"/>
      <c r="G28" s="105"/>
      <c r="H28" s="105"/>
      <c r="I28" s="106"/>
      <c r="J28" s="107"/>
      <c r="K28" s="107"/>
      <c r="L28" s="107"/>
      <c r="M28" s="107"/>
      <c r="N28" s="107"/>
      <c r="O28" s="107"/>
      <c r="P28" s="107"/>
      <c r="Q28" s="107"/>
      <c r="R28" s="108"/>
    </row>
    <row r="29" spans="4:18" s="20" customFormat="1" ht="13.5" x14ac:dyDescent="0.4">
      <c r="D29" s="90" t="s">
        <v>257</v>
      </c>
      <c r="E29" s="100"/>
      <c r="F29" s="100"/>
      <c r="G29" s="100"/>
      <c r="H29" s="100"/>
      <c r="I29" s="100"/>
      <c r="J29" s="101"/>
      <c r="K29" s="101"/>
      <c r="L29" s="101"/>
      <c r="M29" s="101"/>
      <c r="N29" s="101"/>
      <c r="O29" s="101"/>
      <c r="P29" s="101"/>
      <c r="Q29" s="101"/>
      <c r="R29" s="102"/>
    </row>
    <row r="30" spans="4:18" s="20" customFormat="1" ht="13.5" x14ac:dyDescent="0.4">
      <c r="D30" s="83">
        <v>2</v>
      </c>
      <c r="E30" s="80" t="s">
        <v>277</v>
      </c>
      <c r="F30" s="80"/>
      <c r="G30" s="80"/>
      <c r="H30" s="1"/>
      <c r="I30" s="1"/>
      <c r="R30" s="85"/>
    </row>
    <row r="31" spans="4:18" s="20" customFormat="1" ht="13.5" x14ac:dyDescent="0.4">
      <c r="D31" s="83"/>
      <c r="E31" s="88"/>
      <c r="F31" s="80"/>
      <c r="G31" s="80"/>
      <c r="H31" s="1"/>
      <c r="I31" s="1"/>
      <c r="R31" s="85"/>
    </row>
    <row r="32" spans="4:18" s="20" customFormat="1" ht="13.5" x14ac:dyDescent="0.4">
      <c r="D32" s="83"/>
      <c r="E32" s="80"/>
      <c r="F32" s="80"/>
      <c r="G32" s="80"/>
      <c r="H32" s="1"/>
      <c r="I32" s="1"/>
      <c r="R32" s="85"/>
    </row>
    <row r="33" spans="4:18" s="1" customFormat="1" ht="13.5" x14ac:dyDescent="0.4">
      <c r="D33" s="83"/>
      <c r="E33" s="1" t="s">
        <v>248</v>
      </c>
      <c r="H33" s="1" t="str">
        <f>H35&amp;"%の特売（タイムサービス割引）設定"</f>
        <v>10%の特売（タイムサービス割引）設定</v>
      </c>
      <c r="I33" s="1" t="str">
        <f>I35&amp;"円のマニュアル単品値引"</f>
        <v>50円のマニュアル単品値引</v>
      </c>
      <c r="O33" s="20"/>
      <c r="P33" s="20"/>
      <c r="Q33" s="20"/>
      <c r="R33" s="109"/>
    </row>
    <row r="34" spans="4:18" s="20" customFormat="1" ht="13.5" x14ac:dyDescent="0.4">
      <c r="D34" s="83"/>
      <c r="E34" s="89"/>
      <c r="F34" s="89"/>
      <c r="G34" s="80"/>
      <c r="R34" s="85"/>
    </row>
    <row r="35" spans="4:18" s="20" customFormat="1" ht="13.5" x14ac:dyDescent="0.4">
      <c r="D35" s="83"/>
      <c r="E35" s="89" t="s">
        <v>268</v>
      </c>
      <c r="F35" s="89"/>
      <c r="G35" s="1"/>
      <c r="H35" s="1">
        <v>10</v>
      </c>
      <c r="I35" s="1">
        <v>50</v>
      </c>
      <c r="R35" s="85"/>
    </row>
    <row r="36" spans="4:18" s="20" customFormat="1" ht="13.5" x14ac:dyDescent="0.4">
      <c r="D36" s="83"/>
      <c r="E36" s="1"/>
      <c r="F36" s="1"/>
      <c r="G36" s="1"/>
      <c r="R36" s="85"/>
    </row>
    <row r="37" spans="4:18" s="20" customFormat="1" ht="13.5" customHeight="1" x14ac:dyDescent="0.4">
      <c r="D37" s="83"/>
      <c r="E37" s="1"/>
      <c r="F37" s="1"/>
      <c r="G37" s="1"/>
      <c r="H37" s="1"/>
      <c r="R37" s="85"/>
    </row>
    <row r="38" spans="4:18" s="20" customFormat="1" ht="13.5" customHeight="1" x14ac:dyDescent="0.4">
      <c r="D38" s="83"/>
      <c r="E38" s="1"/>
      <c r="F38" s="1"/>
      <c r="G38" s="142" t="s">
        <v>265</v>
      </c>
      <c r="H38" s="82" t="s">
        <v>278</v>
      </c>
      <c r="R38" s="85"/>
    </row>
    <row r="39" spans="4:18" s="20" customFormat="1" ht="13.5" customHeight="1" x14ac:dyDescent="0.4">
      <c r="D39" s="83"/>
      <c r="E39" s="1"/>
      <c r="F39" s="1"/>
      <c r="G39" s="143"/>
      <c r="H39" s="145" t="s">
        <v>289</v>
      </c>
      <c r="I39" s="82" t="s">
        <v>266</v>
      </c>
      <c r="R39" s="85"/>
    </row>
    <row r="40" spans="4:18" s="20" customFormat="1" ht="13.5" customHeight="1" x14ac:dyDescent="0.4">
      <c r="D40" s="83"/>
      <c r="E40" s="1"/>
      <c r="F40" s="1"/>
      <c r="G40" s="143"/>
      <c r="H40" s="146"/>
      <c r="I40" s="138" t="s">
        <v>279</v>
      </c>
      <c r="R40" s="85"/>
    </row>
    <row r="41" spans="4:18" s="20" customFormat="1" ht="13.5" customHeight="1" x14ac:dyDescent="0.4">
      <c r="D41" s="83"/>
      <c r="E41" s="1"/>
      <c r="F41" s="1"/>
      <c r="G41" s="143"/>
      <c r="H41" s="146"/>
      <c r="I41" s="139"/>
      <c r="R41" s="85"/>
    </row>
    <row r="42" spans="4:18" s="20" customFormat="1" ht="13.5" customHeight="1" x14ac:dyDescent="0.4">
      <c r="D42" s="83"/>
      <c r="E42" s="1"/>
      <c r="F42" s="1"/>
      <c r="G42" s="143"/>
      <c r="H42" s="146"/>
      <c r="I42" s="139"/>
      <c r="R42" s="85"/>
    </row>
    <row r="43" spans="4:18" s="20" customFormat="1" ht="13.5" customHeight="1" x14ac:dyDescent="0.4">
      <c r="D43" s="83"/>
      <c r="E43" s="1"/>
      <c r="F43" s="1"/>
      <c r="G43" s="144"/>
      <c r="H43" s="146"/>
      <c r="I43" s="140"/>
      <c r="R43" s="85"/>
    </row>
    <row r="44" spans="4:18" s="1" customFormat="1" ht="13.5" customHeight="1" x14ac:dyDescent="0.4">
      <c r="D44" s="83"/>
      <c r="E44" s="84" t="s">
        <v>214</v>
      </c>
      <c r="F44" s="84"/>
      <c r="G44" s="84"/>
      <c r="H44" s="79">
        <v>30</v>
      </c>
      <c r="I44" s="79">
        <v>50</v>
      </c>
      <c r="K44" s="20"/>
      <c r="O44" s="20"/>
      <c r="P44" s="20"/>
      <c r="Q44" s="20"/>
      <c r="R44" s="109"/>
    </row>
    <row r="45" spans="4:18" s="20" customFormat="1" ht="13.5" x14ac:dyDescent="0.4">
      <c r="D45" s="83"/>
      <c r="E45" s="84" t="s">
        <v>242</v>
      </c>
      <c r="F45" s="84"/>
      <c r="G45" s="84"/>
      <c r="H45" s="141">
        <v>220</v>
      </c>
      <c r="I45" s="141"/>
      <c r="R45" s="85"/>
    </row>
    <row r="46" spans="4:18" s="20" customFormat="1" ht="13.5" x14ac:dyDescent="0.4">
      <c r="D46" s="83"/>
      <c r="E46" s="84"/>
      <c r="F46" s="84"/>
      <c r="G46" s="84"/>
      <c r="H46" s="1"/>
      <c r="R46" s="85"/>
    </row>
    <row r="47" spans="4:18" s="20" customFormat="1" ht="13.5" x14ac:dyDescent="0.4">
      <c r="D47" s="83"/>
      <c r="E47" s="84" t="s">
        <v>243</v>
      </c>
      <c r="F47" s="84"/>
      <c r="G47" s="84"/>
      <c r="H47" s="1"/>
      <c r="I47" s="1"/>
      <c r="R47" s="85"/>
    </row>
    <row r="48" spans="4:18" s="20" customFormat="1" ht="13.5" customHeight="1" x14ac:dyDescent="0.4">
      <c r="D48" s="83"/>
      <c r="E48" s="86" t="s">
        <v>244</v>
      </c>
      <c r="F48" s="86"/>
      <c r="G48" s="84"/>
      <c r="H48" s="1">
        <v>91121</v>
      </c>
      <c r="I48" s="1">
        <v>91220</v>
      </c>
      <c r="R48" s="85"/>
    </row>
    <row r="49" spans="4:18" s="20" customFormat="1" ht="13.5" x14ac:dyDescent="0.4">
      <c r="D49" s="83"/>
      <c r="E49" s="86" t="s">
        <v>245</v>
      </c>
      <c r="F49" s="86"/>
      <c r="G49" s="84"/>
      <c r="H49" s="1">
        <v>0</v>
      </c>
      <c r="I49" s="1">
        <v>1</v>
      </c>
      <c r="R49" s="85"/>
    </row>
    <row r="50" spans="4:18" s="20" customFormat="1" ht="13.5" x14ac:dyDescent="0.4">
      <c r="D50" s="83"/>
      <c r="E50" s="86" t="s">
        <v>246</v>
      </c>
      <c r="F50" s="86"/>
      <c r="G50" s="84"/>
      <c r="H50" s="84" t="s">
        <v>251</v>
      </c>
      <c r="I50" s="84" t="s">
        <v>236</v>
      </c>
      <c r="R50" s="85"/>
    </row>
    <row r="51" spans="4:18" s="20" customFormat="1" ht="27" x14ac:dyDescent="0.4">
      <c r="D51" s="83"/>
      <c r="E51" s="84" t="s">
        <v>214</v>
      </c>
      <c r="F51" s="84"/>
      <c r="G51" s="84"/>
      <c r="H51" s="84" t="s">
        <v>290</v>
      </c>
      <c r="I51" s="84" t="s">
        <v>331</v>
      </c>
      <c r="R51" s="85"/>
    </row>
    <row r="52" spans="4:18" s="20" customFormat="1" ht="13.5" x14ac:dyDescent="0.4">
      <c r="D52" s="83"/>
      <c r="E52" s="110"/>
      <c r="F52" s="88"/>
      <c r="G52" s="84"/>
      <c r="H52" s="1"/>
      <c r="I52" s="1"/>
      <c r="L52" s="1"/>
      <c r="M52" s="1"/>
      <c r="P52" s="1"/>
      <c r="Q52" s="1"/>
      <c r="R52" s="85"/>
    </row>
    <row r="53" spans="4:18" s="20" customFormat="1" ht="14.25" thickBot="1" x14ac:dyDescent="0.45">
      <c r="D53" s="104"/>
      <c r="E53" s="105"/>
      <c r="F53" s="105"/>
      <c r="G53" s="105"/>
      <c r="H53" s="105"/>
      <c r="I53" s="106"/>
      <c r="J53" s="107"/>
      <c r="K53" s="107"/>
      <c r="L53" s="107"/>
      <c r="M53" s="107"/>
      <c r="N53" s="107"/>
      <c r="O53" s="107"/>
      <c r="P53" s="107"/>
      <c r="Q53" s="107"/>
      <c r="R53" s="108"/>
    </row>
    <row r="54" spans="4:18" s="20" customFormat="1" ht="13.5" x14ac:dyDescent="0.4">
      <c r="D54" s="90" t="s">
        <v>257</v>
      </c>
      <c r="E54" s="100"/>
      <c r="F54" s="100"/>
      <c r="G54" s="100"/>
      <c r="H54" s="100"/>
      <c r="I54" s="100"/>
      <c r="J54" s="101"/>
      <c r="K54" s="101"/>
      <c r="L54" s="101"/>
      <c r="M54" s="101"/>
      <c r="N54" s="101"/>
      <c r="O54" s="101"/>
      <c r="P54" s="101"/>
      <c r="Q54" s="101"/>
      <c r="R54" s="102"/>
    </row>
    <row r="55" spans="4:18" s="20" customFormat="1" ht="13.5" x14ac:dyDescent="0.4">
      <c r="D55" s="83">
        <v>3</v>
      </c>
      <c r="E55" s="80" t="s">
        <v>258</v>
      </c>
      <c r="F55" s="80"/>
      <c r="G55" s="80"/>
      <c r="H55" s="1"/>
      <c r="I55" s="1"/>
      <c r="R55" s="85"/>
    </row>
    <row r="56" spans="4:18" s="20" customFormat="1" ht="13.5" x14ac:dyDescent="0.4">
      <c r="D56" s="83"/>
      <c r="E56" s="88"/>
      <c r="F56" s="80"/>
      <c r="G56" s="80"/>
      <c r="H56" s="1"/>
      <c r="I56" s="1"/>
      <c r="R56" s="85"/>
    </row>
    <row r="57" spans="4:18" s="20" customFormat="1" ht="13.5" x14ac:dyDescent="0.4">
      <c r="D57" s="83"/>
      <c r="E57" s="80"/>
      <c r="F57" s="80"/>
      <c r="G57" s="80"/>
      <c r="H57" s="1"/>
      <c r="I57" s="1"/>
      <c r="R57" s="85"/>
    </row>
    <row r="58" spans="4:18" s="1" customFormat="1" ht="13.5" x14ac:dyDescent="0.4">
      <c r="D58" s="83"/>
      <c r="E58" s="1" t="s">
        <v>248</v>
      </c>
      <c r="H58" s="1" t="str">
        <f>H60&amp;"円に特売（期間売価）設定"</f>
        <v>250円に特売（期間売価）設定</v>
      </c>
      <c r="I58" s="1" t="str">
        <f>I60&amp;"円のマニュアル単品値引"</f>
        <v>50円のマニュアル単品値引</v>
      </c>
      <c r="L58" s="1" t="str">
        <f>L60&amp;"円に特売（期間売価）設定"</f>
        <v>300円に特売（期間売価）設定</v>
      </c>
      <c r="M58" s="1" t="str">
        <f>M60&amp;"円のマニュアル単品値引"</f>
        <v>50円のマニュアル単品値引</v>
      </c>
      <c r="P58" s="1" t="str">
        <f>P60&amp;"円に特売（期間売価）設定"</f>
        <v>350円に特売（期間売価）設定</v>
      </c>
      <c r="Q58" s="1" t="str">
        <f>Q60&amp;"円のマニュアル単品値引"</f>
        <v>350円のマニュアル単品値引</v>
      </c>
      <c r="R58" s="109"/>
    </row>
    <row r="59" spans="4:18" s="20" customFormat="1" ht="13.5" x14ac:dyDescent="0.4">
      <c r="D59" s="83"/>
      <c r="E59" s="89"/>
      <c r="F59" s="89"/>
      <c r="G59" s="80"/>
      <c r="P59" s="1"/>
      <c r="Q59" s="1"/>
      <c r="R59" s="85"/>
    </row>
    <row r="60" spans="4:18" s="20" customFormat="1" ht="13.5" x14ac:dyDescent="0.4">
      <c r="D60" s="83"/>
      <c r="E60" s="89" t="s">
        <v>281</v>
      </c>
      <c r="F60" s="89"/>
      <c r="G60" s="1"/>
      <c r="H60" s="1">
        <v>250</v>
      </c>
      <c r="I60" s="1">
        <v>50</v>
      </c>
      <c r="L60" s="1">
        <v>300</v>
      </c>
      <c r="M60" s="1">
        <v>50</v>
      </c>
      <c r="P60" s="1">
        <v>350</v>
      </c>
      <c r="Q60" s="1">
        <v>350</v>
      </c>
      <c r="R60" s="85"/>
    </row>
    <row r="61" spans="4:18" s="20" customFormat="1" ht="13.5" x14ac:dyDescent="0.4">
      <c r="D61" s="83"/>
      <c r="E61" s="1"/>
      <c r="F61" s="1"/>
      <c r="G61" s="1"/>
      <c r="I61" s="1"/>
      <c r="P61" s="1"/>
      <c r="Q61" s="1"/>
      <c r="R61" s="85"/>
    </row>
    <row r="62" spans="4:18" s="20" customFormat="1" ht="13.5" customHeight="1" x14ac:dyDescent="0.4">
      <c r="D62" s="83"/>
      <c r="E62" s="1"/>
      <c r="F62" s="1"/>
      <c r="G62" s="1"/>
      <c r="L62" s="1"/>
      <c r="P62" s="1"/>
      <c r="R62" s="85"/>
    </row>
    <row r="63" spans="4:18" s="20" customFormat="1" ht="13.5" customHeight="1" x14ac:dyDescent="0.4">
      <c r="D63" s="83"/>
      <c r="E63" s="1"/>
      <c r="F63" s="1"/>
      <c r="G63" s="142" t="s">
        <v>265</v>
      </c>
      <c r="H63" s="82" t="s">
        <v>266</v>
      </c>
      <c r="K63" s="142" t="s">
        <v>265</v>
      </c>
      <c r="L63" s="145" t="s">
        <v>282</v>
      </c>
      <c r="M63" s="82" t="s">
        <v>266</v>
      </c>
      <c r="O63" s="142" t="s">
        <v>265</v>
      </c>
      <c r="P63" s="151" t="s">
        <v>258</v>
      </c>
      <c r="Q63" s="82" t="s">
        <v>266</v>
      </c>
      <c r="R63" s="85"/>
    </row>
    <row r="64" spans="4:18" s="20" customFormat="1" ht="13.5" customHeight="1" x14ac:dyDescent="0.4">
      <c r="D64" s="83"/>
      <c r="E64" s="1"/>
      <c r="F64" s="1"/>
      <c r="G64" s="143"/>
      <c r="H64" s="145" t="s">
        <v>283</v>
      </c>
      <c r="I64" s="82" t="s">
        <v>266</v>
      </c>
      <c r="K64" s="143"/>
      <c r="L64" s="149"/>
      <c r="M64" s="147" t="s">
        <v>269</v>
      </c>
      <c r="O64" s="143"/>
      <c r="P64" s="152"/>
      <c r="Q64" s="147" t="s">
        <v>273</v>
      </c>
      <c r="R64" s="85"/>
    </row>
    <row r="65" spans="4:18" s="20" customFormat="1" ht="13.5" customHeight="1" x14ac:dyDescent="0.4">
      <c r="D65" s="83"/>
      <c r="E65" s="1"/>
      <c r="F65" s="1"/>
      <c r="G65" s="143"/>
      <c r="H65" s="146"/>
      <c r="I65" s="147" t="s">
        <v>269</v>
      </c>
      <c r="K65" s="143"/>
      <c r="L65" s="149"/>
      <c r="M65" s="148"/>
      <c r="O65" s="143"/>
      <c r="P65" s="152"/>
      <c r="Q65" s="148"/>
      <c r="R65" s="85"/>
    </row>
    <row r="66" spans="4:18" s="20" customFormat="1" ht="13.5" customHeight="1" x14ac:dyDescent="0.4">
      <c r="D66" s="83"/>
      <c r="E66" s="1"/>
      <c r="F66" s="1"/>
      <c r="G66" s="143"/>
      <c r="H66" s="146"/>
      <c r="I66" s="153"/>
      <c r="K66" s="143"/>
      <c r="L66" s="149"/>
      <c r="M66" s="148"/>
      <c r="O66" s="143"/>
      <c r="P66" s="152"/>
      <c r="Q66" s="148"/>
      <c r="R66" s="85"/>
    </row>
    <row r="67" spans="4:18" s="20" customFormat="1" ht="13.5" customHeight="1" x14ac:dyDescent="0.4">
      <c r="D67" s="83"/>
      <c r="E67" s="1"/>
      <c r="F67" s="1"/>
      <c r="G67" s="143"/>
      <c r="H67" s="146"/>
      <c r="I67" s="153"/>
      <c r="K67" s="143"/>
      <c r="L67" s="149"/>
      <c r="M67" s="148"/>
      <c r="O67" s="143"/>
      <c r="P67" s="152"/>
      <c r="Q67" s="148"/>
      <c r="R67" s="85"/>
    </row>
    <row r="68" spans="4:18" s="20" customFormat="1" ht="13.5" customHeight="1" x14ac:dyDescent="0.4">
      <c r="D68" s="83"/>
      <c r="E68" s="1"/>
      <c r="F68" s="1"/>
      <c r="G68" s="144"/>
      <c r="H68" s="146"/>
      <c r="I68" s="153"/>
      <c r="K68" s="144"/>
      <c r="L68" s="149"/>
      <c r="M68" s="148"/>
      <c r="O68" s="144"/>
      <c r="P68" s="152"/>
      <c r="Q68" s="148"/>
      <c r="R68" s="85"/>
    </row>
    <row r="69" spans="4:18" s="1" customFormat="1" ht="13.5" customHeight="1" x14ac:dyDescent="0.4">
      <c r="D69" s="83"/>
      <c r="E69" s="84" t="s">
        <v>214</v>
      </c>
      <c r="F69" s="84"/>
      <c r="G69" s="84"/>
      <c r="H69" s="79">
        <v>50</v>
      </c>
      <c r="I69" s="79">
        <v>50</v>
      </c>
      <c r="L69" s="103">
        <v>0</v>
      </c>
      <c r="M69" s="111">
        <v>50</v>
      </c>
      <c r="P69" s="79"/>
      <c r="Q69" s="111">
        <v>50</v>
      </c>
      <c r="R69" s="109"/>
    </row>
    <row r="70" spans="4:18" s="20" customFormat="1" ht="13.5" x14ac:dyDescent="0.4">
      <c r="D70" s="83"/>
      <c r="E70" s="84" t="s">
        <v>242</v>
      </c>
      <c r="F70" s="84"/>
      <c r="G70" s="84"/>
      <c r="H70" s="141">
        <v>200</v>
      </c>
      <c r="I70" s="141"/>
      <c r="L70" s="141">
        <v>300</v>
      </c>
      <c r="M70" s="141"/>
      <c r="P70" s="141">
        <v>350</v>
      </c>
      <c r="Q70" s="141"/>
      <c r="R70" s="85"/>
    </row>
    <row r="71" spans="4:18" s="20" customFormat="1" ht="13.5" x14ac:dyDescent="0.4">
      <c r="D71" s="83"/>
      <c r="E71" s="84"/>
      <c r="F71" s="84"/>
      <c r="G71" s="84"/>
      <c r="H71" s="1"/>
      <c r="M71" s="1"/>
      <c r="P71" s="1"/>
      <c r="Q71" s="1"/>
      <c r="R71" s="85"/>
    </row>
    <row r="72" spans="4:18" s="20" customFormat="1" ht="13.5" x14ac:dyDescent="0.4">
      <c r="D72" s="83"/>
      <c r="E72" s="84" t="s">
        <v>243</v>
      </c>
      <c r="F72" s="84"/>
      <c r="G72" s="84"/>
      <c r="H72" s="1"/>
      <c r="I72" s="1"/>
      <c r="M72" s="1"/>
      <c r="P72" s="1"/>
      <c r="Q72" s="1"/>
      <c r="R72" s="85"/>
    </row>
    <row r="73" spans="4:18" s="20" customFormat="1" ht="13.5" customHeight="1" x14ac:dyDescent="0.4">
      <c r="D73" s="83"/>
      <c r="E73" s="86" t="s">
        <v>244</v>
      </c>
      <c r="F73" s="86"/>
      <c r="G73" s="84"/>
      <c r="H73" s="1">
        <v>91141</v>
      </c>
      <c r="I73" s="1">
        <v>91220</v>
      </c>
      <c r="L73" s="1">
        <v>91141</v>
      </c>
      <c r="M73" s="1">
        <v>91220</v>
      </c>
      <c r="P73" s="150" t="s">
        <v>267</v>
      </c>
      <c r="Q73" s="1">
        <v>91220</v>
      </c>
      <c r="R73" s="85"/>
    </row>
    <row r="74" spans="4:18" s="20" customFormat="1" ht="13.5" x14ac:dyDescent="0.4">
      <c r="D74" s="83"/>
      <c r="E74" s="86" t="s">
        <v>245</v>
      </c>
      <c r="F74" s="86"/>
      <c r="G74" s="84"/>
      <c r="H74" s="1">
        <v>0</v>
      </c>
      <c r="I74" s="1">
        <v>1</v>
      </c>
      <c r="L74" s="1">
        <v>0</v>
      </c>
      <c r="M74" s="1">
        <v>1</v>
      </c>
      <c r="P74" s="141"/>
      <c r="Q74" s="1">
        <v>1</v>
      </c>
      <c r="R74" s="85"/>
    </row>
    <row r="75" spans="4:18" s="20" customFormat="1" ht="13.5" x14ac:dyDescent="0.4">
      <c r="D75" s="83"/>
      <c r="E75" s="86" t="s">
        <v>246</v>
      </c>
      <c r="F75" s="86"/>
      <c r="G75" s="84"/>
      <c r="H75" s="84" t="s">
        <v>258</v>
      </c>
      <c r="I75" s="84" t="s">
        <v>236</v>
      </c>
      <c r="L75" s="84" t="s">
        <v>258</v>
      </c>
      <c r="M75" s="84" t="s">
        <v>236</v>
      </c>
      <c r="P75" s="141"/>
      <c r="Q75" s="84" t="s">
        <v>236</v>
      </c>
      <c r="R75" s="85"/>
    </row>
    <row r="76" spans="4:18" s="20" customFormat="1" ht="27" x14ac:dyDescent="0.4">
      <c r="D76" s="83"/>
      <c r="E76" s="84" t="s">
        <v>214</v>
      </c>
      <c r="F76" s="84"/>
      <c r="G76" s="84"/>
      <c r="H76" s="84" t="s">
        <v>284</v>
      </c>
      <c r="I76" s="84" t="s">
        <v>331</v>
      </c>
      <c r="L76" s="87" t="s">
        <v>272</v>
      </c>
      <c r="M76" s="84" t="s">
        <v>331</v>
      </c>
      <c r="P76" s="141"/>
      <c r="Q76" s="84" t="s">
        <v>331</v>
      </c>
      <c r="R76" s="85"/>
    </row>
    <row r="77" spans="4:18" s="20" customFormat="1" ht="13.5" x14ac:dyDescent="0.4">
      <c r="D77" s="83"/>
      <c r="E77" s="110" t="s">
        <v>275</v>
      </c>
      <c r="F77" s="88"/>
      <c r="G77" s="84"/>
      <c r="H77" s="1"/>
      <c r="I77" s="1"/>
      <c r="L77" s="1"/>
      <c r="M77" s="1"/>
      <c r="P77" s="1"/>
      <c r="Q77" s="1"/>
      <c r="R77" s="85"/>
    </row>
    <row r="78" spans="4:18" s="20" customFormat="1" ht="14.25" thickBot="1" x14ac:dyDescent="0.45">
      <c r="D78" s="104"/>
      <c r="E78" s="105"/>
      <c r="F78" s="105"/>
      <c r="G78" s="105"/>
      <c r="H78" s="105"/>
      <c r="I78" s="106"/>
      <c r="J78" s="107"/>
      <c r="K78" s="107"/>
      <c r="L78" s="107"/>
      <c r="M78" s="107"/>
      <c r="N78" s="107"/>
      <c r="O78" s="107"/>
      <c r="P78" s="107"/>
      <c r="Q78" s="107"/>
      <c r="R78" s="108"/>
    </row>
    <row r="79" spans="4:18" s="20" customFormat="1" ht="13.5" x14ac:dyDescent="0.4">
      <c r="D79" s="90" t="s">
        <v>257</v>
      </c>
      <c r="E79" s="100"/>
      <c r="F79" s="100"/>
      <c r="G79" s="100"/>
      <c r="H79" s="100"/>
      <c r="I79" s="100"/>
      <c r="J79" s="101"/>
      <c r="K79" s="101"/>
      <c r="L79" s="101"/>
      <c r="M79" s="101"/>
      <c r="N79" s="101"/>
      <c r="O79" s="101"/>
      <c r="P79" s="101"/>
      <c r="Q79" s="101"/>
      <c r="R79" s="102"/>
    </row>
    <row r="80" spans="4:18" s="20" customFormat="1" ht="13.5" x14ac:dyDescent="0.4">
      <c r="D80" s="83">
        <v>4</v>
      </c>
      <c r="E80" s="80" t="s">
        <v>285</v>
      </c>
      <c r="F80" s="80"/>
      <c r="G80" s="80"/>
      <c r="H80" s="1"/>
      <c r="I80" s="1"/>
      <c r="R80" s="85"/>
    </row>
    <row r="81" spans="4:18" s="20" customFormat="1" ht="13.5" x14ac:dyDescent="0.4">
      <c r="D81" s="83"/>
      <c r="E81" s="88"/>
      <c r="F81" s="80"/>
      <c r="G81" s="80"/>
      <c r="H81" s="1"/>
      <c r="I81" s="1"/>
      <c r="R81" s="85"/>
    </row>
    <row r="82" spans="4:18" s="20" customFormat="1" ht="13.5" x14ac:dyDescent="0.4">
      <c r="D82" s="83"/>
      <c r="E82" s="80"/>
      <c r="F82" s="80"/>
      <c r="G82" s="80"/>
      <c r="H82" s="1"/>
      <c r="I82" s="1"/>
      <c r="R82" s="85"/>
    </row>
    <row r="83" spans="4:18" s="1" customFormat="1" ht="13.5" x14ac:dyDescent="0.4">
      <c r="D83" s="83"/>
      <c r="E83" s="1" t="s">
        <v>248</v>
      </c>
      <c r="H83" s="1" t="str">
        <f>H85&amp;"%の特売（期間割引）設定"</f>
        <v>10%の特売（期間割引）設定</v>
      </c>
      <c r="I83" s="1" t="str">
        <f>I85&amp;"円のマニュアル単品値引"</f>
        <v>50円のマニュアル単品値引</v>
      </c>
      <c r="O83" s="20"/>
      <c r="P83" s="20"/>
      <c r="Q83" s="20"/>
      <c r="R83" s="109"/>
    </row>
    <row r="84" spans="4:18" s="20" customFormat="1" ht="13.5" x14ac:dyDescent="0.4">
      <c r="D84" s="83"/>
      <c r="E84" s="89"/>
      <c r="F84" s="89"/>
      <c r="G84" s="80"/>
      <c r="R84" s="85"/>
    </row>
    <row r="85" spans="4:18" s="20" customFormat="1" ht="13.5" x14ac:dyDescent="0.4">
      <c r="D85" s="83"/>
      <c r="E85" s="89" t="s">
        <v>288</v>
      </c>
      <c r="F85" s="89"/>
      <c r="G85" s="1"/>
      <c r="H85" s="1">
        <v>10</v>
      </c>
      <c r="I85" s="1">
        <v>50</v>
      </c>
      <c r="R85" s="85"/>
    </row>
    <row r="86" spans="4:18" s="20" customFormat="1" ht="13.5" x14ac:dyDescent="0.4">
      <c r="D86" s="83"/>
      <c r="E86" s="1"/>
      <c r="F86" s="1"/>
      <c r="G86" s="1"/>
      <c r="R86" s="85"/>
    </row>
    <row r="87" spans="4:18" s="20" customFormat="1" ht="13.5" customHeight="1" x14ac:dyDescent="0.4">
      <c r="D87" s="83"/>
      <c r="E87" s="1"/>
      <c r="F87" s="1"/>
      <c r="G87" s="1"/>
      <c r="H87" s="1"/>
      <c r="R87" s="85"/>
    </row>
    <row r="88" spans="4:18" s="20" customFormat="1" ht="13.5" customHeight="1" x14ac:dyDescent="0.4">
      <c r="D88" s="83"/>
      <c r="E88" s="1"/>
      <c r="F88" s="1"/>
      <c r="G88" s="142" t="s">
        <v>265</v>
      </c>
      <c r="H88" s="82" t="s">
        <v>278</v>
      </c>
      <c r="R88" s="85"/>
    </row>
    <row r="89" spans="4:18" s="20" customFormat="1" ht="13.5" customHeight="1" x14ac:dyDescent="0.4">
      <c r="D89" s="83"/>
      <c r="E89" s="1"/>
      <c r="F89" s="1"/>
      <c r="G89" s="143"/>
      <c r="H89" s="145" t="s">
        <v>286</v>
      </c>
      <c r="I89" s="82" t="s">
        <v>266</v>
      </c>
      <c r="R89" s="85"/>
    </row>
    <row r="90" spans="4:18" s="20" customFormat="1" ht="13.5" customHeight="1" x14ac:dyDescent="0.4">
      <c r="D90" s="83"/>
      <c r="E90" s="1"/>
      <c r="F90" s="1"/>
      <c r="G90" s="143"/>
      <c r="H90" s="146"/>
      <c r="I90" s="147" t="s">
        <v>279</v>
      </c>
      <c r="R90" s="85"/>
    </row>
    <row r="91" spans="4:18" s="20" customFormat="1" ht="13.5" customHeight="1" x14ac:dyDescent="0.4">
      <c r="D91" s="83"/>
      <c r="E91" s="1"/>
      <c r="F91" s="1"/>
      <c r="G91" s="143"/>
      <c r="H91" s="146"/>
      <c r="I91" s="153"/>
      <c r="R91" s="85"/>
    </row>
    <row r="92" spans="4:18" s="20" customFormat="1" ht="13.5" customHeight="1" x14ac:dyDescent="0.4">
      <c r="D92" s="83"/>
      <c r="E92" s="1"/>
      <c r="F92" s="1"/>
      <c r="G92" s="143"/>
      <c r="H92" s="146"/>
      <c r="I92" s="153"/>
      <c r="R92" s="85"/>
    </row>
    <row r="93" spans="4:18" s="20" customFormat="1" ht="13.5" customHeight="1" x14ac:dyDescent="0.4">
      <c r="D93" s="83"/>
      <c r="E93" s="1"/>
      <c r="F93" s="1"/>
      <c r="G93" s="144"/>
      <c r="H93" s="146"/>
      <c r="I93" s="153"/>
      <c r="R93" s="85"/>
    </row>
    <row r="94" spans="4:18" s="1" customFormat="1" ht="13.5" customHeight="1" x14ac:dyDescent="0.4">
      <c r="D94" s="83"/>
      <c r="E94" s="84" t="s">
        <v>214</v>
      </c>
      <c r="F94" s="84"/>
      <c r="G94" s="84"/>
      <c r="H94" s="79">
        <v>30</v>
      </c>
      <c r="I94" s="79">
        <v>50</v>
      </c>
      <c r="K94" s="20"/>
      <c r="O94" s="20"/>
      <c r="P94" s="20"/>
      <c r="Q94" s="20"/>
      <c r="R94" s="109"/>
    </row>
    <row r="95" spans="4:18" s="20" customFormat="1" ht="13.5" x14ac:dyDescent="0.4">
      <c r="D95" s="83"/>
      <c r="E95" s="84" t="s">
        <v>242</v>
      </c>
      <c r="F95" s="84"/>
      <c r="G95" s="84"/>
      <c r="H95" s="141">
        <v>220</v>
      </c>
      <c r="I95" s="141"/>
      <c r="R95" s="85"/>
    </row>
    <row r="96" spans="4:18" s="20" customFormat="1" ht="13.5" x14ac:dyDescent="0.4">
      <c r="D96" s="83"/>
      <c r="E96" s="84"/>
      <c r="F96" s="84"/>
      <c r="G96" s="84"/>
      <c r="H96" s="1"/>
      <c r="R96" s="85"/>
    </row>
    <row r="97" spans="4:18" s="20" customFormat="1" ht="13.5" x14ac:dyDescent="0.4">
      <c r="D97" s="83"/>
      <c r="E97" s="84" t="s">
        <v>243</v>
      </c>
      <c r="F97" s="84"/>
      <c r="G97" s="84"/>
      <c r="H97" s="1"/>
      <c r="I97" s="1"/>
      <c r="R97" s="85"/>
    </row>
    <row r="98" spans="4:18" s="20" customFormat="1" ht="13.5" customHeight="1" x14ac:dyDescent="0.4">
      <c r="D98" s="83"/>
      <c r="E98" s="86" t="s">
        <v>244</v>
      </c>
      <c r="F98" s="86"/>
      <c r="G98" s="84"/>
      <c r="H98" s="1">
        <v>91141</v>
      </c>
      <c r="I98" s="1">
        <v>91220</v>
      </c>
      <c r="R98" s="85"/>
    </row>
    <row r="99" spans="4:18" s="20" customFormat="1" ht="13.5" x14ac:dyDescent="0.4">
      <c r="D99" s="83"/>
      <c r="E99" s="86" t="s">
        <v>245</v>
      </c>
      <c r="F99" s="86"/>
      <c r="G99" s="84"/>
      <c r="H99" s="1">
        <v>0</v>
      </c>
      <c r="I99" s="1">
        <v>1</v>
      </c>
      <c r="R99" s="85"/>
    </row>
    <row r="100" spans="4:18" s="20" customFormat="1" ht="13.5" x14ac:dyDescent="0.4">
      <c r="D100" s="83"/>
      <c r="E100" s="86" t="s">
        <v>246</v>
      </c>
      <c r="F100" s="86"/>
      <c r="G100" s="84"/>
      <c r="H100" s="84" t="s">
        <v>258</v>
      </c>
      <c r="I100" s="84" t="s">
        <v>238</v>
      </c>
      <c r="R100" s="85"/>
    </row>
    <row r="101" spans="4:18" s="20" customFormat="1" ht="27" x14ac:dyDescent="0.4">
      <c r="D101" s="83"/>
      <c r="E101" s="84" t="s">
        <v>214</v>
      </c>
      <c r="F101" s="84"/>
      <c r="G101" s="84"/>
      <c r="H101" s="84" t="s">
        <v>287</v>
      </c>
      <c r="I101" s="84" t="s">
        <v>331</v>
      </c>
      <c r="R101" s="85"/>
    </row>
    <row r="102" spans="4:18" s="20" customFormat="1" ht="13.5" x14ac:dyDescent="0.4">
      <c r="D102" s="83"/>
      <c r="E102" s="110"/>
      <c r="F102" s="88"/>
      <c r="G102" s="84"/>
      <c r="H102" s="1"/>
      <c r="I102" s="1"/>
      <c r="L102" s="1"/>
      <c r="M102" s="1"/>
      <c r="P102" s="1"/>
      <c r="Q102" s="1"/>
      <c r="R102" s="85"/>
    </row>
    <row r="103" spans="4:18" s="20" customFormat="1" ht="14.25" thickBot="1" x14ac:dyDescent="0.45">
      <c r="D103" s="104"/>
      <c r="E103" s="105"/>
      <c r="F103" s="105"/>
      <c r="G103" s="105"/>
      <c r="H103" s="105"/>
      <c r="I103" s="106"/>
      <c r="J103" s="107"/>
      <c r="K103" s="107"/>
      <c r="L103" s="107"/>
      <c r="M103" s="107"/>
      <c r="N103" s="107"/>
      <c r="O103" s="107"/>
      <c r="P103" s="107"/>
      <c r="Q103" s="107"/>
      <c r="R103" s="108"/>
    </row>
    <row r="104" spans="4:18" s="20" customFormat="1" ht="13.5" x14ac:dyDescent="0.4">
      <c r="D104" s="90" t="s">
        <v>257</v>
      </c>
      <c r="E104" s="100"/>
      <c r="F104" s="100"/>
      <c r="G104" s="100"/>
      <c r="H104" s="100"/>
      <c r="I104" s="100"/>
      <c r="J104" s="101"/>
      <c r="K104" s="101"/>
      <c r="L104" s="101"/>
      <c r="M104" s="101"/>
      <c r="N104" s="101"/>
      <c r="O104" s="101"/>
      <c r="P104" s="101"/>
      <c r="Q104" s="101"/>
      <c r="R104" s="102"/>
    </row>
    <row r="105" spans="4:18" s="20" customFormat="1" ht="13.5" x14ac:dyDescent="0.4">
      <c r="D105" s="83">
        <v>5</v>
      </c>
      <c r="E105" s="80" t="s">
        <v>296</v>
      </c>
      <c r="F105" s="80"/>
      <c r="G105" s="80"/>
      <c r="H105" s="1"/>
      <c r="I105" s="1"/>
      <c r="R105" s="85"/>
    </row>
    <row r="106" spans="4:18" s="20" customFormat="1" ht="13.5" x14ac:dyDescent="0.4">
      <c r="D106" s="83"/>
      <c r="E106" s="80"/>
      <c r="F106" s="80"/>
      <c r="G106" s="80"/>
      <c r="H106" s="1"/>
      <c r="I106" s="1"/>
      <c r="R106" s="85"/>
    </row>
    <row r="107" spans="4:18" s="1" customFormat="1" ht="13.5" x14ac:dyDescent="0.4">
      <c r="D107" s="83"/>
      <c r="E107" s="1" t="s">
        <v>291</v>
      </c>
      <c r="H107" s="1" t="str">
        <f>"2個"&amp;H110&amp;"円にミックスマッチ設定"</f>
        <v>2個500円にミックスマッチ設定</v>
      </c>
      <c r="I107" s="1" t="str">
        <f>I109&amp;"円のマニュアル単品値引"</f>
        <v>50円のマニュアル単品値引</v>
      </c>
      <c r="L107" s="1" t="str">
        <f>"2個"&amp;L110&amp;"円にミックスマッチ設定"</f>
        <v>2個600円にミックスマッチ設定</v>
      </c>
      <c r="M107" s="1" t="str">
        <f>M109&amp;"円のマニュアル単品値引"</f>
        <v>50円のマニュアル単品値引</v>
      </c>
      <c r="P107" s="1" t="str">
        <f>"2個"&amp;P110&amp;"円にミックスマッチ設定"</f>
        <v>2個700円にミックスマッチ設定</v>
      </c>
      <c r="Q107" s="1" t="str">
        <f>Q109&amp;"円のマニュアル単品値引"</f>
        <v>50円のマニュアル単品値引</v>
      </c>
      <c r="R107" s="109"/>
    </row>
    <row r="108" spans="4:18" s="20" customFormat="1" ht="13.5" x14ac:dyDescent="0.4">
      <c r="D108" s="83"/>
      <c r="E108" s="80"/>
      <c r="G108" s="80"/>
      <c r="H108" s="1"/>
      <c r="I108" s="1"/>
      <c r="R108" s="85"/>
    </row>
    <row r="109" spans="4:18" s="20" customFormat="1" ht="13.5" x14ac:dyDescent="0.4">
      <c r="D109" s="83"/>
      <c r="E109" s="89" t="s">
        <v>308</v>
      </c>
      <c r="F109" s="1"/>
      <c r="G109" s="1"/>
      <c r="H109" s="1">
        <v>250</v>
      </c>
      <c r="I109" s="1">
        <v>50</v>
      </c>
      <c r="L109" s="1">
        <v>300</v>
      </c>
      <c r="M109" s="1">
        <v>50</v>
      </c>
      <c r="P109" s="1">
        <v>350</v>
      </c>
      <c r="Q109" s="1">
        <v>50</v>
      </c>
      <c r="R109" s="85"/>
    </row>
    <row r="110" spans="4:18" s="20" customFormat="1" ht="13.5" x14ac:dyDescent="0.4">
      <c r="D110" s="83"/>
      <c r="E110" s="89" t="s">
        <v>309</v>
      </c>
      <c r="F110" s="1"/>
      <c r="G110" s="1"/>
      <c r="H110" s="1">
        <v>500</v>
      </c>
      <c r="I110" s="1">
        <v>100</v>
      </c>
      <c r="L110" s="1">
        <v>600</v>
      </c>
      <c r="M110" s="1">
        <v>100</v>
      </c>
      <c r="P110" s="1">
        <v>700</v>
      </c>
      <c r="Q110" s="1">
        <v>100</v>
      </c>
      <c r="R110" s="85"/>
    </row>
    <row r="111" spans="4:18" s="20" customFormat="1" ht="13.5" x14ac:dyDescent="0.4">
      <c r="D111" s="83"/>
      <c r="E111" s="1"/>
      <c r="F111" s="1"/>
      <c r="G111" s="1"/>
      <c r="H111" s="1"/>
      <c r="I111" s="1"/>
      <c r="L111" s="1"/>
      <c r="M111" s="1"/>
      <c r="P111" s="1"/>
      <c r="Q111" s="1"/>
      <c r="R111" s="85"/>
    </row>
    <row r="112" spans="4:18" s="20" customFormat="1" ht="13.5" customHeight="1" x14ac:dyDescent="0.4">
      <c r="D112" s="83"/>
      <c r="E112" s="1"/>
      <c r="F112" s="1"/>
      <c r="G112" s="1"/>
      <c r="H112" s="1"/>
      <c r="I112" s="1"/>
      <c r="L112" s="1"/>
      <c r="M112" s="1"/>
      <c r="P112" s="145" t="s">
        <v>307</v>
      </c>
      <c r="Q112" s="1"/>
      <c r="R112" s="85"/>
    </row>
    <row r="113" spans="4:18" s="20" customFormat="1" ht="13.5" customHeight="1" x14ac:dyDescent="0.4">
      <c r="D113" s="83"/>
      <c r="E113" s="1"/>
      <c r="F113" s="1"/>
      <c r="G113" s="142" t="s">
        <v>293</v>
      </c>
      <c r="H113" s="157" t="s">
        <v>292</v>
      </c>
      <c r="I113" s="1"/>
      <c r="K113" s="142" t="s">
        <v>293</v>
      </c>
      <c r="L113" s="145" t="s">
        <v>300</v>
      </c>
      <c r="M113" s="82" t="s">
        <v>298</v>
      </c>
      <c r="O113" s="142" t="s">
        <v>293</v>
      </c>
      <c r="P113" s="154"/>
      <c r="Q113" s="82" t="s">
        <v>298</v>
      </c>
      <c r="R113" s="85"/>
    </row>
    <row r="114" spans="4:18" s="20" customFormat="1" ht="13.5" customHeight="1" x14ac:dyDescent="0.4">
      <c r="D114" s="83"/>
      <c r="E114" s="1"/>
      <c r="F114" s="1"/>
      <c r="G114" s="143"/>
      <c r="H114" s="158"/>
      <c r="K114" s="143"/>
      <c r="L114" s="154"/>
      <c r="M114" s="147" t="s">
        <v>302</v>
      </c>
      <c r="O114" s="143"/>
      <c r="P114" s="154"/>
      <c r="Q114" s="147" t="s">
        <v>302</v>
      </c>
      <c r="R114" s="85"/>
    </row>
    <row r="115" spans="4:18" s="20" customFormat="1" ht="13.5" customHeight="1" x14ac:dyDescent="0.4">
      <c r="D115" s="83"/>
      <c r="E115" s="1"/>
      <c r="F115" s="1"/>
      <c r="G115" s="143"/>
      <c r="H115" s="145" t="s">
        <v>294</v>
      </c>
      <c r="I115" s="82" t="s">
        <v>298</v>
      </c>
      <c r="K115" s="143"/>
      <c r="L115" s="154"/>
      <c r="M115" s="153"/>
      <c r="O115" s="143"/>
      <c r="P115" s="154"/>
      <c r="Q115" s="153"/>
      <c r="R115" s="85"/>
    </row>
    <row r="116" spans="4:18" s="20" customFormat="1" ht="13.5" customHeight="1" x14ac:dyDescent="0.4">
      <c r="D116" s="83"/>
      <c r="E116" s="1"/>
      <c r="F116" s="1"/>
      <c r="G116" s="143"/>
      <c r="H116" s="149"/>
      <c r="I116" s="147" t="s">
        <v>299</v>
      </c>
      <c r="K116" s="143"/>
      <c r="L116" s="154"/>
      <c r="M116" s="153"/>
      <c r="O116" s="143"/>
      <c r="P116" s="154"/>
      <c r="Q116" s="153"/>
      <c r="R116" s="85"/>
    </row>
    <row r="117" spans="4:18" s="20" customFormat="1" ht="13.5" customHeight="1" x14ac:dyDescent="0.4">
      <c r="D117" s="83"/>
      <c r="E117" s="1"/>
      <c r="F117" s="1"/>
      <c r="G117" s="143"/>
      <c r="H117" s="149"/>
      <c r="I117" s="153"/>
      <c r="K117" s="143"/>
      <c r="L117" s="154"/>
      <c r="M117" s="153"/>
      <c r="O117" s="143"/>
      <c r="P117" s="154"/>
      <c r="Q117" s="153"/>
      <c r="R117" s="85"/>
    </row>
    <row r="118" spans="4:18" s="20" customFormat="1" ht="13.5" customHeight="1" x14ac:dyDescent="0.4">
      <c r="D118" s="83"/>
      <c r="E118" s="1"/>
      <c r="F118" s="1"/>
      <c r="G118" s="144"/>
      <c r="H118" s="156"/>
      <c r="I118" s="153"/>
      <c r="K118" s="144"/>
      <c r="L118" s="155"/>
      <c r="M118" s="153"/>
      <c r="O118" s="144"/>
      <c r="P118" s="155"/>
      <c r="Q118" s="153"/>
      <c r="R118" s="85"/>
    </row>
    <row r="119" spans="4:18" s="20" customFormat="1" ht="13.5" customHeight="1" x14ac:dyDescent="0.4">
      <c r="D119" s="83"/>
      <c r="E119" s="84" t="s">
        <v>214</v>
      </c>
      <c r="F119" s="1"/>
      <c r="G119" s="84"/>
      <c r="H119" s="79">
        <v>100</v>
      </c>
      <c r="I119" s="79">
        <v>100</v>
      </c>
      <c r="L119" s="79">
        <v>100</v>
      </c>
      <c r="M119" s="79">
        <v>100</v>
      </c>
      <c r="P119" s="79"/>
      <c r="Q119" s="79">
        <v>100</v>
      </c>
      <c r="R119" s="85"/>
    </row>
    <row r="120" spans="4:18" s="20" customFormat="1" ht="13.5" x14ac:dyDescent="0.4">
      <c r="D120" s="83"/>
      <c r="E120" s="84" t="s">
        <v>295</v>
      </c>
      <c r="F120" s="84"/>
      <c r="G120" s="84"/>
      <c r="H120" s="141">
        <v>300</v>
      </c>
      <c r="I120" s="141"/>
      <c r="L120" s="141">
        <v>500</v>
      </c>
      <c r="M120" s="141"/>
      <c r="P120" s="141">
        <v>600</v>
      </c>
      <c r="Q120" s="141"/>
      <c r="R120" s="85"/>
    </row>
    <row r="121" spans="4:18" s="20" customFormat="1" ht="13.5" x14ac:dyDescent="0.4">
      <c r="D121" s="83"/>
      <c r="E121" s="84"/>
      <c r="F121" s="84"/>
      <c r="G121" s="84"/>
      <c r="H121" s="1"/>
      <c r="I121" s="1"/>
      <c r="L121" s="112"/>
      <c r="M121" s="1"/>
      <c r="P121" s="112"/>
      <c r="Q121" s="1"/>
      <c r="R121" s="85"/>
    </row>
    <row r="122" spans="4:18" s="20" customFormat="1" ht="13.5" x14ac:dyDescent="0.4">
      <c r="D122" s="83"/>
      <c r="E122" s="84" t="s">
        <v>243</v>
      </c>
      <c r="F122" s="84"/>
      <c r="G122" s="84"/>
      <c r="H122" s="1"/>
      <c r="I122" s="1"/>
      <c r="L122" s="1"/>
      <c r="M122" s="1"/>
      <c r="P122" s="1"/>
      <c r="Q122" s="1"/>
      <c r="R122" s="85"/>
    </row>
    <row r="123" spans="4:18" s="20" customFormat="1" ht="13.5" x14ac:dyDescent="0.4">
      <c r="D123" s="83"/>
      <c r="E123" s="86" t="s">
        <v>244</v>
      </c>
      <c r="F123" s="1"/>
      <c r="G123" s="84"/>
      <c r="H123" s="1">
        <v>91316</v>
      </c>
      <c r="I123" s="1">
        <v>91220</v>
      </c>
      <c r="L123" s="150" t="s">
        <v>301</v>
      </c>
      <c r="M123" s="1">
        <v>91220</v>
      </c>
      <c r="P123" s="150" t="s">
        <v>301</v>
      </c>
      <c r="Q123" s="1">
        <v>91220</v>
      </c>
      <c r="R123" s="85"/>
    </row>
    <row r="124" spans="4:18" s="20" customFormat="1" ht="13.5" x14ac:dyDescent="0.4">
      <c r="D124" s="83"/>
      <c r="E124" s="86" t="s">
        <v>245</v>
      </c>
      <c r="F124" s="1"/>
      <c r="G124" s="84"/>
      <c r="H124" s="1">
        <v>0</v>
      </c>
      <c r="I124" s="1">
        <v>1</v>
      </c>
      <c r="L124" s="141"/>
      <c r="M124" s="1">
        <v>1</v>
      </c>
      <c r="P124" s="141"/>
      <c r="Q124" s="1">
        <v>1</v>
      </c>
      <c r="R124" s="85"/>
    </row>
    <row r="125" spans="4:18" s="20" customFormat="1" ht="13.5" x14ac:dyDescent="0.4">
      <c r="D125" s="83"/>
      <c r="E125" s="86" t="s">
        <v>246</v>
      </c>
      <c r="F125" s="1"/>
      <c r="G125" s="84"/>
      <c r="H125" s="84" t="s">
        <v>235</v>
      </c>
      <c r="I125" s="84" t="s">
        <v>236</v>
      </c>
      <c r="L125" s="141"/>
      <c r="M125" s="84" t="s">
        <v>236</v>
      </c>
      <c r="P125" s="141"/>
      <c r="Q125" s="84" t="s">
        <v>236</v>
      </c>
      <c r="R125" s="85"/>
    </row>
    <row r="126" spans="4:18" s="20" customFormat="1" ht="27" x14ac:dyDescent="0.4">
      <c r="D126" s="83"/>
      <c r="E126" s="84" t="s">
        <v>214</v>
      </c>
      <c r="F126" s="1"/>
      <c r="G126" s="84"/>
      <c r="H126" s="84" t="s">
        <v>297</v>
      </c>
      <c r="I126" s="84" t="s">
        <v>312</v>
      </c>
      <c r="L126" s="141"/>
      <c r="M126" s="84" t="s">
        <v>311</v>
      </c>
      <c r="P126" s="141"/>
      <c r="Q126" s="84" t="s">
        <v>311</v>
      </c>
      <c r="R126" s="85"/>
    </row>
    <row r="127" spans="4:18" s="20" customFormat="1" ht="13.5" x14ac:dyDescent="0.4">
      <c r="D127" s="83"/>
      <c r="E127" s="88" t="s">
        <v>387</v>
      </c>
      <c r="F127" s="88"/>
      <c r="G127" s="84"/>
      <c r="H127" s="1"/>
      <c r="I127" s="1"/>
      <c r="L127" s="1"/>
      <c r="M127" s="1"/>
      <c r="P127" s="1"/>
      <c r="Q127" s="1"/>
      <c r="R127" s="85"/>
    </row>
    <row r="128" spans="4:18" s="20" customFormat="1" ht="14.25" thickBot="1" x14ac:dyDescent="0.45">
      <c r="D128" s="104"/>
      <c r="E128" s="105"/>
      <c r="F128" s="105"/>
      <c r="G128" s="105"/>
      <c r="H128" s="105"/>
      <c r="I128" s="105"/>
      <c r="J128" s="107"/>
      <c r="K128" s="107"/>
      <c r="L128" s="107"/>
      <c r="M128" s="107"/>
      <c r="N128" s="107"/>
      <c r="O128" s="107"/>
      <c r="P128" s="107"/>
      <c r="Q128" s="107"/>
      <c r="R128" s="108"/>
    </row>
    <row r="129" spans="4:18" s="20" customFormat="1" ht="13.5" x14ac:dyDescent="0.4">
      <c r="D129" s="90" t="s">
        <v>257</v>
      </c>
      <c r="E129" s="100"/>
      <c r="F129" s="100"/>
      <c r="G129" s="100"/>
      <c r="H129" s="100"/>
      <c r="I129" s="100"/>
      <c r="J129" s="101"/>
      <c r="K129" s="101"/>
      <c r="L129" s="101"/>
      <c r="M129" s="101"/>
      <c r="N129" s="101"/>
      <c r="O129" s="101"/>
      <c r="P129" s="101"/>
      <c r="Q129" s="101"/>
      <c r="R129" s="102"/>
    </row>
    <row r="130" spans="4:18" s="20" customFormat="1" ht="13.5" x14ac:dyDescent="0.4">
      <c r="D130" s="113">
        <v>6</v>
      </c>
      <c r="E130" s="80" t="s">
        <v>303</v>
      </c>
      <c r="F130" s="80"/>
      <c r="G130" s="80"/>
      <c r="H130" s="1"/>
      <c r="I130" s="1"/>
      <c r="R130" s="85"/>
    </row>
    <row r="131" spans="4:18" s="20" customFormat="1" ht="13.5" x14ac:dyDescent="0.4">
      <c r="D131" s="114"/>
      <c r="E131" s="80"/>
      <c r="F131" s="80"/>
      <c r="G131" s="80"/>
      <c r="H131" s="1"/>
      <c r="I131" s="1"/>
      <c r="R131" s="85"/>
    </row>
    <row r="132" spans="4:18" s="1" customFormat="1" ht="13.5" x14ac:dyDescent="0.4">
      <c r="D132" s="83"/>
      <c r="E132" s="1" t="s">
        <v>248</v>
      </c>
      <c r="H132" s="1" t="str">
        <f>H134&amp;"円の値引シール【1:値引】"</f>
        <v>50円の値引シール【1:値引】</v>
      </c>
      <c r="I132" s="1" t="str">
        <f>I134&amp;"円のマニュアル単品値引"</f>
        <v>30円のマニュアル単品値引</v>
      </c>
      <c r="K132" s="20"/>
      <c r="L132" s="20"/>
      <c r="M132" s="20"/>
      <c r="N132" s="20"/>
      <c r="O132" s="20"/>
      <c r="P132" s="20"/>
      <c r="Q132" s="20"/>
      <c r="R132" s="109"/>
    </row>
    <row r="133" spans="4:18" s="20" customFormat="1" ht="13.5" x14ac:dyDescent="0.4">
      <c r="D133" s="83"/>
      <c r="E133" s="89"/>
      <c r="F133" s="89"/>
      <c r="G133" s="80"/>
      <c r="H133" s="1"/>
      <c r="I133" s="1"/>
      <c r="R133" s="85"/>
    </row>
    <row r="134" spans="4:18" s="20" customFormat="1" ht="13.5" x14ac:dyDescent="0.4">
      <c r="D134" s="83"/>
      <c r="E134" s="89" t="s">
        <v>310</v>
      </c>
      <c r="F134" s="89"/>
      <c r="G134" s="1"/>
      <c r="H134" s="1">
        <v>50</v>
      </c>
      <c r="I134" s="1">
        <v>30</v>
      </c>
      <c r="R134" s="85"/>
    </row>
    <row r="135" spans="4:18" s="20" customFormat="1" ht="13.5" x14ac:dyDescent="0.4">
      <c r="D135" s="83"/>
      <c r="E135" s="1"/>
      <c r="F135" s="1"/>
      <c r="G135" s="1"/>
      <c r="H135" s="1"/>
      <c r="I135" s="1"/>
      <c r="R135" s="85"/>
    </row>
    <row r="136" spans="4:18" s="20" customFormat="1" ht="13.5" customHeight="1" x14ac:dyDescent="0.4">
      <c r="D136" s="83"/>
      <c r="E136" s="1"/>
      <c r="F136" s="1"/>
      <c r="G136" s="1"/>
      <c r="H136" s="1"/>
      <c r="I136" s="1"/>
      <c r="R136" s="85"/>
    </row>
    <row r="137" spans="4:18" s="20" customFormat="1" ht="13.5" customHeight="1" x14ac:dyDescent="0.4">
      <c r="D137" s="83"/>
      <c r="E137" s="1"/>
      <c r="F137" s="1"/>
      <c r="G137" s="142" t="s">
        <v>265</v>
      </c>
      <c r="H137" s="161" t="s">
        <v>314</v>
      </c>
      <c r="I137" s="82" t="s">
        <v>315</v>
      </c>
      <c r="R137" s="85"/>
    </row>
    <row r="138" spans="4:18" s="20" customFormat="1" ht="13.5" customHeight="1" x14ac:dyDescent="0.4">
      <c r="D138" s="83"/>
      <c r="E138" s="1"/>
      <c r="F138" s="1"/>
      <c r="G138" s="163"/>
      <c r="H138" s="162"/>
      <c r="I138" s="147" t="s">
        <v>317</v>
      </c>
      <c r="R138" s="85"/>
    </row>
    <row r="139" spans="4:18" s="20" customFormat="1" ht="13.5" x14ac:dyDescent="0.4">
      <c r="D139" s="83"/>
      <c r="E139" s="1"/>
      <c r="F139" s="1"/>
      <c r="G139" s="163"/>
      <c r="H139" s="162"/>
      <c r="I139" s="148"/>
      <c r="R139" s="85"/>
    </row>
    <row r="140" spans="4:18" s="20" customFormat="1" ht="13.5" x14ac:dyDescent="0.4">
      <c r="D140" s="83"/>
      <c r="E140" s="1"/>
      <c r="F140" s="1"/>
      <c r="G140" s="163"/>
      <c r="H140" s="162"/>
      <c r="I140" s="148"/>
      <c r="R140" s="85"/>
    </row>
    <row r="141" spans="4:18" s="20" customFormat="1" ht="13.5" x14ac:dyDescent="0.4">
      <c r="D141" s="83"/>
      <c r="E141" s="1"/>
      <c r="F141" s="1"/>
      <c r="G141" s="163"/>
      <c r="H141" s="162"/>
      <c r="I141" s="148"/>
      <c r="R141" s="85"/>
    </row>
    <row r="142" spans="4:18" s="20" customFormat="1" ht="13.5" x14ac:dyDescent="0.4">
      <c r="D142" s="83"/>
      <c r="E142" s="1"/>
      <c r="F142" s="1"/>
      <c r="G142" s="164"/>
      <c r="H142" s="162"/>
      <c r="I142" s="148"/>
      <c r="R142" s="85"/>
    </row>
    <row r="143" spans="4:18" s="20" customFormat="1" ht="13.5" x14ac:dyDescent="0.4">
      <c r="D143" s="83"/>
      <c r="E143" s="84" t="s">
        <v>214</v>
      </c>
      <c r="F143" s="84"/>
      <c r="G143" s="84"/>
      <c r="H143" s="79"/>
      <c r="I143" s="79">
        <v>30</v>
      </c>
      <c r="R143" s="85"/>
    </row>
    <row r="144" spans="4:18" s="20" customFormat="1" x14ac:dyDescent="0.4">
      <c r="D144" s="83"/>
      <c r="E144" s="84" t="s">
        <v>242</v>
      </c>
      <c r="F144" s="84"/>
      <c r="G144" s="84"/>
      <c r="H144" s="141">
        <v>250</v>
      </c>
      <c r="I144" s="165"/>
      <c r="R144" s="85"/>
    </row>
    <row r="145" spans="4:18" s="20" customFormat="1" ht="13.5" x14ac:dyDescent="0.4">
      <c r="D145" s="83"/>
      <c r="E145" s="84"/>
      <c r="F145" s="84"/>
      <c r="G145" s="84"/>
      <c r="H145" s="1"/>
      <c r="I145" s="1"/>
      <c r="R145" s="85"/>
    </row>
    <row r="146" spans="4:18" s="20" customFormat="1" ht="13.5" x14ac:dyDescent="0.4">
      <c r="D146" s="83"/>
      <c r="E146" s="84" t="s">
        <v>243</v>
      </c>
      <c r="F146" s="84"/>
      <c r="G146" s="84"/>
      <c r="H146" s="1"/>
      <c r="I146" s="1"/>
      <c r="R146" s="85"/>
    </row>
    <row r="147" spans="4:18" s="20" customFormat="1" ht="13.5" x14ac:dyDescent="0.4">
      <c r="D147" s="83"/>
      <c r="E147" s="86" t="s">
        <v>244</v>
      </c>
      <c r="F147" s="86"/>
      <c r="G147" s="84"/>
      <c r="H147" s="150" t="s">
        <v>323</v>
      </c>
      <c r="I147" s="1">
        <v>91220</v>
      </c>
      <c r="R147" s="85"/>
    </row>
    <row r="148" spans="4:18" s="20" customFormat="1" ht="13.5" x14ac:dyDescent="0.4">
      <c r="D148" s="83"/>
      <c r="E148" s="86" t="s">
        <v>245</v>
      </c>
      <c r="F148" s="86"/>
      <c r="G148" s="84"/>
      <c r="H148" s="141"/>
      <c r="I148" s="1">
        <v>1</v>
      </c>
      <c r="R148" s="85"/>
    </row>
    <row r="149" spans="4:18" s="20" customFormat="1" ht="13.5" x14ac:dyDescent="0.4">
      <c r="D149" s="83"/>
      <c r="E149" s="86" t="s">
        <v>246</v>
      </c>
      <c r="F149" s="86"/>
      <c r="G149" s="84"/>
      <c r="H149" s="141"/>
      <c r="I149" s="84" t="s">
        <v>237</v>
      </c>
      <c r="R149" s="85"/>
    </row>
    <row r="150" spans="4:18" s="20" customFormat="1" ht="27" x14ac:dyDescent="0.4">
      <c r="D150" s="83"/>
      <c r="E150" s="84" t="s">
        <v>214</v>
      </c>
      <c r="F150" s="84"/>
      <c r="G150" s="84"/>
      <c r="H150" s="141"/>
      <c r="I150" s="84" t="s">
        <v>316</v>
      </c>
      <c r="R150" s="85"/>
    </row>
    <row r="151" spans="4:18" s="20" customFormat="1" ht="13.5" x14ac:dyDescent="0.4">
      <c r="D151" s="83"/>
      <c r="E151" s="88" t="s">
        <v>313</v>
      </c>
      <c r="F151" s="88"/>
      <c r="G151" s="84"/>
      <c r="H151" s="1"/>
      <c r="I151" s="1"/>
      <c r="R151" s="85"/>
    </row>
    <row r="152" spans="4:18" s="20" customFormat="1" ht="14.25" thickBot="1" x14ac:dyDescent="0.45">
      <c r="D152" s="104"/>
      <c r="E152" s="105"/>
      <c r="F152" s="105"/>
      <c r="G152" s="105"/>
      <c r="H152" s="105"/>
      <c r="I152" s="105"/>
      <c r="J152" s="107"/>
      <c r="K152" s="107"/>
      <c r="L152" s="107"/>
      <c r="M152" s="107"/>
      <c r="N152" s="107"/>
      <c r="O152" s="107"/>
      <c r="P152" s="107"/>
      <c r="Q152" s="107"/>
      <c r="R152" s="108"/>
    </row>
    <row r="153" spans="4:18" s="20" customFormat="1" ht="13.5" x14ac:dyDescent="0.4">
      <c r="D153" s="90" t="s">
        <v>257</v>
      </c>
      <c r="E153" s="100"/>
      <c r="F153" s="100"/>
      <c r="G153" s="100"/>
      <c r="H153" s="100"/>
      <c r="I153" s="100"/>
      <c r="J153" s="101"/>
      <c r="K153" s="101"/>
      <c r="L153" s="101"/>
      <c r="M153" s="101"/>
      <c r="N153" s="101"/>
      <c r="O153" s="101"/>
      <c r="P153" s="101"/>
      <c r="Q153" s="101"/>
      <c r="R153" s="102"/>
    </row>
    <row r="154" spans="4:18" s="20" customFormat="1" ht="13.5" x14ac:dyDescent="0.4">
      <c r="D154" s="113">
        <v>7</v>
      </c>
      <c r="E154" s="80" t="s">
        <v>318</v>
      </c>
      <c r="F154" s="80"/>
      <c r="G154" s="80"/>
      <c r="H154" s="1"/>
      <c r="I154" s="1"/>
      <c r="R154" s="85"/>
    </row>
    <row r="155" spans="4:18" s="20" customFormat="1" ht="13.5" x14ac:dyDescent="0.4">
      <c r="D155" s="114"/>
      <c r="E155" s="80"/>
      <c r="F155" s="80"/>
      <c r="G155" s="80"/>
      <c r="H155" s="1"/>
      <c r="I155" s="1"/>
      <c r="R155" s="85"/>
    </row>
    <row r="156" spans="4:18" s="1" customFormat="1" ht="13.5" x14ac:dyDescent="0.4">
      <c r="D156" s="83"/>
      <c r="E156" s="1" t="s">
        <v>248</v>
      </c>
      <c r="H156" s="1" t="str">
        <f>H158&amp;"%の値引シール【2:割引】"</f>
        <v>10%の値引シール【2:割引】</v>
      </c>
      <c r="I156" s="1" t="str">
        <f>I158&amp;"円のマニュアル単品値引"</f>
        <v>20円のマニュアル単品値引</v>
      </c>
      <c r="K156" s="20"/>
      <c r="L156" s="20"/>
      <c r="M156" s="20"/>
      <c r="N156" s="20"/>
      <c r="O156" s="20"/>
      <c r="P156" s="20"/>
      <c r="Q156" s="20"/>
      <c r="R156" s="109"/>
    </row>
    <row r="157" spans="4:18" s="20" customFormat="1" ht="13.5" x14ac:dyDescent="0.4">
      <c r="D157" s="83"/>
      <c r="E157" s="89"/>
      <c r="F157" s="89"/>
      <c r="G157" s="80"/>
      <c r="H157" s="1"/>
      <c r="I157" s="1"/>
      <c r="R157" s="85"/>
    </row>
    <row r="158" spans="4:18" s="20" customFormat="1" ht="13.5" x14ac:dyDescent="0.4">
      <c r="D158" s="83"/>
      <c r="E158" s="89" t="s">
        <v>319</v>
      </c>
      <c r="F158" s="89"/>
      <c r="G158" s="1"/>
      <c r="H158" s="1">
        <v>10</v>
      </c>
      <c r="I158" s="1">
        <v>20</v>
      </c>
      <c r="R158" s="85"/>
    </row>
    <row r="159" spans="4:18" s="20" customFormat="1" ht="13.5" x14ac:dyDescent="0.4">
      <c r="D159" s="83"/>
      <c r="E159" s="1"/>
      <c r="F159" s="1"/>
      <c r="G159" s="1"/>
      <c r="H159" s="1"/>
      <c r="I159" s="1"/>
      <c r="R159" s="85"/>
    </row>
    <row r="160" spans="4:18" s="20" customFormat="1" ht="13.5" customHeight="1" x14ac:dyDescent="0.4">
      <c r="D160" s="83"/>
      <c r="E160" s="1"/>
      <c r="F160" s="1"/>
      <c r="G160" s="1"/>
      <c r="H160" s="1"/>
      <c r="I160" s="1"/>
      <c r="R160" s="85"/>
    </row>
    <row r="161" spans="4:18" s="20" customFormat="1" ht="13.5" customHeight="1" x14ac:dyDescent="0.4">
      <c r="D161" s="83"/>
      <c r="E161" s="1"/>
      <c r="F161" s="1"/>
      <c r="G161" s="142" t="s">
        <v>265</v>
      </c>
      <c r="H161" s="161" t="s">
        <v>320</v>
      </c>
      <c r="I161" s="82" t="s">
        <v>304</v>
      </c>
      <c r="R161" s="85"/>
    </row>
    <row r="162" spans="4:18" s="20" customFormat="1" ht="13.5" customHeight="1" x14ac:dyDescent="0.4">
      <c r="D162" s="83"/>
      <c r="E162" s="1"/>
      <c r="F162" s="1"/>
      <c r="G162" s="163"/>
      <c r="H162" s="162"/>
      <c r="I162" s="147" t="s">
        <v>321</v>
      </c>
      <c r="R162" s="85"/>
    </row>
    <row r="163" spans="4:18" s="20" customFormat="1" ht="13.5" x14ac:dyDescent="0.4">
      <c r="D163" s="83"/>
      <c r="E163" s="1"/>
      <c r="F163" s="1"/>
      <c r="G163" s="163"/>
      <c r="H163" s="162"/>
      <c r="I163" s="148"/>
      <c r="R163" s="85"/>
    </row>
    <row r="164" spans="4:18" s="20" customFormat="1" ht="13.5" x14ac:dyDescent="0.4">
      <c r="D164" s="83"/>
      <c r="E164" s="1"/>
      <c r="F164" s="1"/>
      <c r="G164" s="163"/>
      <c r="H164" s="162"/>
      <c r="I164" s="148"/>
      <c r="R164" s="85"/>
    </row>
    <row r="165" spans="4:18" s="20" customFormat="1" ht="13.5" x14ac:dyDescent="0.4">
      <c r="D165" s="83"/>
      <c r="E165" s="1"/>
      <c r="F165" s="1"/>
      <c r="G165" s="163"/>
      <c r="H165" s="162"/>
      <c r="I165" s="148"/>
      <c r="R165" s="85"/>
    </row>
    <row r="166" spans="4:18" s="20" customFormat="1" ht="13.5" x14ac:dyDescent="0.4">
      <c r="D166" s="83"/>
      <c r="E166" s="1"/>
      <c r="F166" s="1"/>
      <c r="G166" s="164"/>
      <c r="H166" s="162"/>
      <c r="I166" s="148"/>
      <c r="R166" s="85"/>
    </row>
    <row r="167" spans="4:18" s="20" customFormat="1" ht="13.5" x14ac:dyDescent="0.4">
      <c r="D167" s="83"/>
      <c r="E167" s="84" t="s">
        <v>214</v>
      </c>
      <c r="F167" s="84"/>
      <c r="G167" s="84"/>
      <c r="H167" s="79"/>
      <c r="I167" s="79">
        <v>20</v>
      </c>
      <c r="R167" s="85"/>
    </row>
    <row r="168" spans="4:18" s="20" customFormat="1" x14ac:dyDescent="0.4">
      <c r="D168" s="83"/>
      <c r="E168" s="84" t="s">
        <v>242</v>
      </c>
      <c r="F168" s="84"/>
      <c r="G168" s="84"/>
      <c r="H168" s="141">
        <v>280</v>
      </c>
      <c r="I168" s="165"/>
      <c r="R168" s="85"/>
    </row>
    <row r="169" spans="4:18" s="20" customFormat="1" ht="13.5" x14ac:dyDescent="0.4">
      <c r="D169" s="83"/>
      <c r="E169" s="84"/>
      <c r="F169" s="84"/>
      <c r="G169" s="84"/>
      <c r="H169" s="1"/>
      <c r="I169" s="1"/>
      <c r="R169" s="85"/>
    </row>
    <row r="170" spans="4:18" s="20" customFormat="1" ht="13.5" x14ac:dyDescent="0.4">
      <c r="D170" s="83"/>
      <c r="E170" s="84" t="s">
        <v>243</v>
      </c>
      <c r="F170" s="84"/>
      <c r="G170" s="84"/>
      <c r="H170" s="1"/>
      <c r="I170" s="1"/>
      <c r="R170" s="85"/>
    </row>
    <row r="171" spans="4:18" s="20" customFormat="1" ht="13.5" x14ac:dyDescent="0.4">
      <c r="D171" s="83"/>
      <c r="E171" s="86" t="s">
        <v>244</v>
      </c>
      <c r="F171" s="86"/>
      <c r="G171" s="84"/>
      <c r="H171" s="150" t="s">
        <v>322</v>
      </c>
      <c r="I171" s="1">
        <v>91220</v>
      </c>
      <c r="R171" s="85"/>
    </row>
    <row r="172" spans="4:18" s="20" customFormat="1" ht="13.5" x14ac:dyDescent="0.4">
      <c r="D172" s="83"/>
      <c r="E172" s="86" t="s">
        <v>245</v>
      </c>
      <c r="F172" s="86"/>
      <c r="G172" s="84"/>
      <c r="H172" s="141"/>
      <c r="I172" s="1">
        <v>1</v>
      </c>
      <c r="R172" s="85"/>
    </row>
    <row r="173" spans="4:18" s="20" customFormat="1" ht="13.5" x14ac:dyDescent="0.4">
      <c r="D173" s="83"/>
      <c r="E173" s="86" t="s">
        <v>246</v>
      </c>
      <c r="F173" s="86"/>
      <c r="G173" s="84"/>
      <c r="H173" s="141"/>
      <c r="I173" s="84" t="s">
        <v>237</v>
      </c>
      <c r="R173" s="85"/>
    </row>
    <row r="174" spans="4:18" s="20" customFormat="1" ht="27" x14ac:dyDescent="0.4">
      <c r="D174" s="83"/>
      <c r="E174" s="84" t="s">
        <v>214</v>
      </c>
      <c r="F174" s="84"/>
      <c r="G174" s="84"/>
      <c r="H174" s="141"/>
      <c r="I174" s="84" t="s">
        <v>324</v>
      </c>
      <c r="R174" s="85"/>
    </row>
    <row r="175" spans="4:18" s="20" customFormat="1" ht="13.5" x14ac:dyDescent="0.4">
      <c r="D175" s="83"/>
      <c r="E175" s="88" t="s">
        <v>313</v>
      </c>
      <c r="F175" s="88"/>
      <c r="G175" s="84"/>
      <c r="H175" s="1"/>
      <c r="I175" s="1"/>
      <c r="R175" s="85"/>
    </row>
    <row r="176" spans="4:18" s="20" customFormat="1" ht="14.25" thickBot="1" x14ac:dyDescent="0.45">
      <c r="D176" s="104"/>
      <c r="E176" s="105"/>
      <c r="F176" s="105"/>
      <c r="G176" s="105"/>
      <c r="H176" s="105"/>
      <c r="I176" s="105"/>
      <c r="J176" s="107"/>
      <c r="K176" s="107"/>
      <c r="L176" s="107"/>
      <c r="M176" s="107"/>
      <c r="N176" s="107"/>
      <c r="O176" s="107"/>
      <c r="P176" s="107"/>
      <c r="Q176" s="107"/>
      <c r="R176" s="108"/>
    </row>
    <row r="177" spans="4:18" s="20" customFormat="1" ht="13.5" x14ac:dyDescent="0.4">
      <c r="D177" s="90" t="s">
        <v>257</v>
      </c>
      <c r="E177" s="100"/>
      <c r="F177" s="100"/>
      <c r="G177" s="100"/>
      <c r="H177" s="100"/>
      <c r="I177" s="100"/>
      <c r="J177" s="101"/>
      <c r="K177" s="101"/>
      <c r="L177" s="101"/>
      <c r="M177" s="101"/>
      <c r="N177" s="101"/>
      <c r="O177" s="101"/>
      <c r="P177" s="101"/>
      <c r="Q177" s="101"/>
      <c r="R177" s="102"/>
    </row>
    <row r="178" spans="4:18" s="20" customFormat="1" ht="13.5" x14ac:dyDescent="0.4">
      <c r="D178" s="83">
        <v>8</v>
      </c>
      <c r="E178" s="80" t="s">
        <v>222</v>
      </c>
      <c r="F178" s="80"/>
      <c r="G178" s="80"/>
      <c r="H178" s="1"/>
      <c r="I178" s="1"/>
      <c r="R178" s="85"/>
    </row>
    <row r="179" spans="4:18" s="20" customFormat="1" ht="13.5" x14ac:dyDescent="0.4">
      <c r="D179" s="83"/>
      <c r="E179" s="80"/>
      <c r="F179" s="80"/>
      <c r="G179" s="80"/>
      <c r="H179" s="1"/>
      <c r="I179" s="1"/>
      <c r="R179" s="85"/>
    </row>
    <row r="180" spans="4:18" s="1" customFormat="1" ht="13.5" x14ac:dyDescent="0.4">
      <c r="D180" s="83"/>
      <c r="E180" s="1" t="s">
        <v>248</v>
      </c>
      <c r="H180" s="1" t="str">
        <f>H182&amp;"円に値引シール【3:金額】設定"</f>
        <v>250円に値引シール【3:金額】設定</v>
      </c>
      <c r="I180" s="1" t="str">
        <f>I182&amp;"円のマニュアル単品値引"</f>
        <v>50円のマニュアル単品値引</v>
      </c>
      <c r="L180" s="1" t="str">
        <f>L182&amp;"円に値引シール【3:金額】設定"</f>
        <v>300円に値引シール【3:金額】設定</v>
      </c>
      <c r="M180" s="1" t="str">
        <f>M182&amp;"円のマニュアル単品値引"</f>
        <v>50円のマニュアル単品値引</v>
      </c>
      <c r="P180" s="1" t="str">
        <f>P182&amp;"円に値引シール【3:金額】設定"</f>
        <v>350円に値引シール【3:金額】設定</v>
      </c>
      <c r="Q180" s="1" t="str">
        <f>Q182&amp;"円のマニュアル単品値引"</f>
        <v>50円のマニュアル単品値引</v>
      </c>
      <c r="R180" s="109"/>
    </row>
    <row r="181" spans="4:18" s="20" customFormat="1" ht="13.5" x14ac:dyDescent="0.4">
      <c r="D181" s="83"/>
      <c r="E181" s="89"/>
      <c r="F181" s="89"/>
      <c r="G181" s="80"/>
      <c r="H181" s="1"/>
      <c r="I181" s="1"/>
      <c r="R181" s="85"/>
    </row>
    <row r="182" spans="4:18" s="20" customFormat="1" ht="13.5" x14ac:dyDescent="0.4">
      <c r="D182" s="83"/>
      <c r="E182" s="89" t="s">
        <v>333</v>
      </c>
      <c r="F182" s="89"/>
      <c r="G182" s="1"/>
      <c r="H182" s="1">
        <v>250</v>
      </c>
      <c r="I182" s="1">
        <v>50</v>
      </c>
      <c r="L182" s="1">
        <v>300</v>
      </c>
      <c r="M182" s="1">
        <v>50</v>
      </c>
      <c r="P182" s="1">
        <v>350</v>
      </c>
      <c r="Q182" s="1">
        <v>50</v>
      </c>
      <c r="R182" s="85"/>
    </row>
    <row r="183" spans="4:18" s="20" customFormat="1" ht="13.5" x14ac:dyDescent="0.4">
      <c r="D183" s="83"/>
      <c r="E183" s="1"/>
      <c r="F183" s="1"/>
      <c r="G183" s="1"/>
      <c r="H183" s="1"/>
      <c r="I183" s="1"/>
      <c r="L183" s="1"/>
      <c r="M183" s="1"/>
      <c r="P183" s="1"/>
      <c r="Q183" s="1"/>
      <c r="R183" s="85"/>
    </row>
    <row r="184" spans="4:18" s="20" customFormat="1" ht="13.5" customHeight="1" x14ac:dyDescent="0.4">
      <c r="D184" s="83"/>
      <c r="E184" s="1"/>
      <c r="F184" s="1"/>
      <c r="G184" s="1"/>
      <c r="H184" s="1"/>
      <c r="I184" s="1"/>
      <c r="L184" s="1"/>
      <c r="M184" s="1"/>
      <c r="P184" s="159" t="s">
        <v>329</v>
      </c>
      <c r="Q184" s="82" t="s">
        <v>325</v>
      </c>
      <c r="R184" s="85"/>
    </row>
    <row r="185" spans="4:18" s="20" customFormat="1" ht="13.5" customHeight="1" x14ac:dyDescent="0.4">
      <c r="D185" s="83"/>
      <c r="E185" s="1"/>
      <c r="F185" s="1"/>
      <c r="G185" s="142" t="s">
        <v>265</v>
      </c>
      <c r="H185" s="82" t="s">
        <v>304</v>
      </c>
      <c r="K185" s="142" t="s">
        <v>265</v>
      </c>
      <c r="L185" s="159" t="s">
        <v>326</v>
      </c>
      <c r="M185" s="82" t="s">
        <v>325</v>
      </c>
      <c r="O185" s="142" t="s">
        <v>265</v>
      </c>
      <c r="P185" s="160"/>
      <c r="Q185" s="147" t="s">
        <v>305</v>
      </c>
      <c r="R185" s="85"/>
    </row>
    <row r="186" spans="4:18" s="20" customFormat="1" ht="13.5" customHeight="1" x14ac:dyDescent="0.4">
      <c r="D186" s="83"/>
      <c r="E186" s="1"/>
      <c r="F186" s="1"/>
      <c r="G186" s="143"/>
      <c r="H186" s="167" t="s">
        <v>327</v>
      </c>
      <c r="I186" s="82" t="s">
        <v>304</v>
      </c>
      <c r="K186" s="143"/>
      <c r="L186" s="160"/>
      <c r="M186" s="147" t="s">
        <v>306</v>
      </c>
      <c r="O186" s="143"/>
      <c r="P186" s="160"/>
      <c r="Q186" s="166"/>
      <c r="R186" s="85"/>
    </row>
    <row r="187" spans="4:18" s="20" customFormat="1" ht="13.5" customHeight="1" x14ac:dyDescent="0.4">
      <c r="D187" s="83"/>
      <c r="E187" s="1"/>
      <c r="F187" s="1"/>
      <c r="G187" s="143"/>
      <c r="H187" s="168"/>
      <c r="I187" s="147" t="s">
        <v>269</v>
      </c>
      <c r="K187" s="143"/>
      <c r="L187" s="160"/>
      <c r="M187" s="166"/>
      <c r="O187" s="143"/>
      <c r="P187" s="160"/>
      <c r="Q187" s="166"/>
      <c r="R187" s="85"/>
    </row>
    <row r="188" spans="4:18" s="20" customFormat="1" ht="13.5" customHeight="1" x14ac:dyDescent="0.4">
      <c r="D188" s="83"/>
      <c r="E188" s="1"/>
      <c r="F188" s="1"/>
      <c r="G188" s="143"/>
      <c r="H188" s="168"/>
      <c r="I188" s="153"/>
      <c r="K188" s="143"/>
      <c r="L188" s="160"/>
      <c r="M188" s="166"/>
      <c r="O188" s="143"/>
      <c r="P188" s="160"/>
      <c r="Q188" s="166"/>
      <c r="R188" s="85"/>
    </row>
    <row r="189" spans="4:18" s="20" customFormat="1" ht="13.5" x14ac:dyDescent="0.4">
      <c r="D189" s="83"/>
      <c r="E189" s="1"/>
      <c r="F189" s="1"/>
      <c r="G189" s="143"/>
      <c r="H189" s="168"/>
      <c r="I189" s="153"/>
      <c r="K189" s="143"/>
      <c r="L189" s="160"/>
      <c r="M189" s="166"/>
      <c r="O189" s="143"/>
      <c r="P189" s="160"/>
      <c r="Q189" s="166"/>
      <c r="R189" s="85"/>
    </row>
    <row r="190" spans="4:18" s="20" customFormat="1" ht="13.5" x14ac:dyDescent="0.4">
      <c r="D190" s="83"/>
      <c r="E190" s="1"/>
      <c r="F190" s="1"/>
      <c r="G190" s="144"/>
      <c r="H190" s="169"/>
      <c r="I190" s="153"/>
      <c r="K190" s="144"/>
      <c r="L190" s="160"/>
      <c r="M190" s="166"/>
      <c r="O190" s="144"/>
      <c r="P190" s="160"/>
      <c r="Q190" s="166"/>
      <c r="R190" s="85"/>
    </row>
    <row r="191" spans="4:18" s="20" customFormat="1" ht="13.5" x14ac:dyDescent="0.4">
      <c r="D191" s="83"/>
      <c r="E191" s="84" t="s">
        <v>214</v>
      </c>
      <c r="F191" s="84"/>
      <c r="G191" s="84"/>
      <c r="H191" s="79">
        <v>50</v>
      </c>
      <c r="I191" s="79">
        <v>50</v>
      </c>
      <c r="L191" s="103"/>
      <c r="M191" s="79">
        <v>50</v>
      </c>
      <c r="P191" s="103"/>
      <c r="Q191" s="79">
        <v>50</v>
      </c>
      <c r="R191" s="85"/>
    </row>
    <row r="192" spans="4:18" s="20" customFormat="1" x14ac:dyDescent="0.4">
      <c r="D192" s="83"/>
      <c r="E192" s="84" t="s">
        <v>242</v>
      </c>
      <c r="F192" s="84"/>
      <c r="G192" s="84"/>
      <c r="H192" s="141">
        <v>200</v>
      </c>
      <c r="I192" s="165"/>
      <c r="L192" s="141">
        <v>250</v>
      </c>
      <c r="M192" s="141"/>
      <c r="P192" s="141">
        <v>300</v>
      </c>
      <c r="Q192" s="141"/>
      <c r="R192" s="85"/>
    </row>
    <row r="193" spans="4:18" s="20" customFormat="1" ht="13.5" x14ac:dyDescent="0.4">
      <c r="D193" s="83"/>
      <c r="E193" s="84"/>
      <c r="F193" s="84"/>
      <c r="G193" s="84"/>
      <c r="H193" s="1"/>
      <c r="I193" s="1"/>
      <c r="L193" s="1"/>
      <c r="M193" s="1"/>
      <c r="P193" s="1"/>
      <c r="Q193" s="1"/>
      <c r="R193" s="85"/>
    </row>
    <row r="194" spans="4:18" s="20" customFormat="1" ht="13.5" x14ac:dyDescent="0.4">
      <c r="D194" s="83"/>
      <c r="E194" s="84" t="s">
        <v>243</v>
      </c>
      <c r="F194" s="84"/>
      <c r="G194" s="84"/>
      <c r="H194" s="1"/>
      <c r="I194" s="1"/>
      <c r="L194" s="1"/>
      <c r="M194" s="1"/>
      <c r="P194" s="1"/>
      <c r="Q194" s="1"/>
      <c r="R194" s="85"/>
    </row>
    <row r="195" spans="4:18" s="20" customFormat="1" x14ac:dyDescent="0.4">
      <c r="D195" s="83"/>
      <c r="E195" s="86" t="s">
        <v>244</v>
      </c>
      <c r="F195" s="86"/>
      <c r="G195" s="84"/>
      <c r="H195" s="170">
        <v>91220</v>
      </c>
      <c r="I195" s="171"/>
      <c r="L195" s="150" t="s">
        <v>330</v>
      </c>
      <c r="M195" s="1">
        <v>91220</v>
      </c>
      <c r="P195" s="150" t="s">
        <v>330</v>
      </c>
      <c r="Q195" s="1">
        <v>91220</v>
      </c>
      <c r="R195" s="85"/>
    </row>
    <row r="196" spans="4:18" s="20" customFormat="1" x14ac:dyDescent="0.4">
      <c r="D196" s="83"/>
      <c r="E196" s="86" t="s">
        <v>245</v>
      </c>
      <c r="F196" s="86"/>
      <c r="G196" s="84"/>
      <c r="H196" s="170">
        <v>1</v>
      </c>
      <c r="I196" s="171"/>
      <c r="L196" s="141"/>
      <c r="M196" s="1">
        <v>1</v>
      </c>
      <c r="P196" s="141"/>
      <c r="Q196" s="1">
        <v>1</v>
      </c>
      <c r="R196" s="85"/>
    </row>
    <row r="197" spans="4:18" s="20" customFormat="1" x14ac:dyDescent="0.4">
      <c r="D197" s="83"/>
      <c r="E197" s="86" t="s">
        <v>246</v>
      </c>
      <c r="F197" s="86"/>
      <c r="G197" s="84"/>
      <c r="H197" s="172" t="s">
        <v>237</v>
      </c>
      <c r="I197" s="171"/>
      <c r="L197" s="141"/>
      <c r="M197" s="84" t="s">
        <v>237</v>
      </c>
      <c r="P197" s="141"/>
      <c r="Q197" s="84" t="s">
        <v>237</v>
      </c>
      <c r="R197" s="85"/>
    </row>
    <row r="198" spans="4:18" s="20" customFormat="1" ht="27" x14ac:dyDescent="0.4">
      <c r="D198" s="83"/>
      <c r="E198" s="84" t="s">
        <v>214</v>
      </c>
      <c r="F198" s="84"/>
      <c r="G198" s="84"/>
      <c r="H198" s="173" t="s">
        <v>328</v>
      </c>
      <c r="I198" s="174"/>
      <c r="L198" s="141"/>
      <c r="M198" s="84" t="s">
        <v>247</v>
      </c>
      <c r="P198" s="141"/>
      <c r="Q198" s="84" t="s">
        <v>247</v>
      </c>
      <c r="R198" s="85"/>
    </row>
    <row r="199" spans="4:18" s="20" customFormat="1" ht="14.25" thickBot="1" x14ac:dyDescent="0.45">
      <c r="D199" s="104"/>
      <c r="E199" s="105"/>
      <c r="F199" s="105"/>
      <c r="G199" s="105"/>
      <c r="H199" s="105"/>
      <c r="I199" s="105"/>
      <c r="J199" s="107"/>
      <c r="K199" s="107"/>
      <c r="L199" s="107"/>
      <c r="M199" s="107"/>
      <c r="N199" s="107"/>
      <c r="O199" s="107"/>
      <c r="P199" s="107"/>
      <c r="Q199" s="107"/>
      <c r="R199" s="108"/>
    </row>
    <row r="200" spans="4:18" s="20" customFormat="1" ht="13.5" x14ac:dyDescent="0.4">
      <c r="D200" s="90" t="s">
        <v>257</v>
      </c>
      <c r="E200" s="100"/>
      <c r="F200" s="100"/>
      <c r="G200" s="100"/>
      <c r="H200" s="100"/>
      <c r="I200" s="100"/>
      <c r="J200" s="101"/>
      <c r="K200" s="101"/>
      <c r="L200" s="101"/>
      <c r="M200" s="101"/>
      <c r="N200" s="101"/>
      <c r="O200" s="101"/>
      <c r="P200" s="101"/>
      <c r="Q200" s="101"/>
      <c r="R200" s="102"/>
    </row>
    <row r="201" spans="4:18" s="20" customFormat="1" ht="13.5" x14ac:dyDescent="0.4">
      <c r="D201" s="113">
        <v>9</v>
      </c>
      <c r="E201" s="80" t="s">
        <v>336</v>
      </c>
      <c r="F201" s="80"/>
      <c r="G201" s="80"/>
      <c r="H201" s="1"/>
      <c r="I201" s="1"/>
      <c r="R201" s="85"/>
    </row>
    <row r="202" spans="4:18" s="20" customFormat="1" ht="13.5" x14ac:dyDescent="0.4">
      <c r="D202" s="114"/>
      <c r="E202" s="80"/>
      <c r="F202" s="80"/>
      <c r="G202" s="80"/>
      <c r="H202" s="1"/>
      <c r="I202" s="1"/>
      <c r="R202" s="85"/>
    </row>
    <row r="203" spans="4:18" s="1" customFormat="1" ht="13.5" x14ac:dyDescent="0.4">
      <c r="D203" s="83"/>
      <c r="E203" s="1" t="s">
        <v>248</v>
      </c>
      <c r="H203" s="1" t="str">
        <f>H205&amp;"円のカテゴリ値引"</f>
        <v>50円のカテゴリ値引</v>
      </c>
      <c r="I203" s="1" t="str">
        <f>I205&amp;"円のマニュアル単品値引"</f>
        <v>50円のマニュアル単品値引</v>
      </c>
      <c r="K203" s="20"/>
      <c r="L203" s="20"/>
      <c r="M203" s="20"/>
      <c r="N203" s="20"/>
      <c r="O203" s="20"/>
      <c r="P203" s="20"/>
      <c r="Q203" s="20"/>
      <c r="R203" s="109"/>
    </row>
    <row r="204" spans="4:18" s="20" customFormat="1" ht="13.5" x14ac:dyDescent="0.4">
      <c r="D204" s="83"/>
      <c r="E204" s="89"/>
      <c r="F204" s="89"/>
      <c r="G204" s="80"/>
      <c r="H204" s="1"/>
      <c r="R204" s="85"/>
    </row>
    <row r="205" spans="4:18" s="20" customFormat="1" ht="13.5" x14ac:dyDescent="0.4">
      <c r="D205" s="83"/>
      <c r="E205" s="89" t="s">
        <v>337</v>
      </c>
      <c r="F205" s="89"/>
      <c r="G205" s="1"/>
      <c r="H205" s="1">
        <v>50</v>
      </c>
      <c r="I205" s="1">
        <v>50</v>
      </c>
      <c r="R205" s="85"/>
    </row>
    <row r="206" spans="4:18" s="20" customFormat="1" ht="13.5" x14ac:dyDescent="0.4">
      <c r="D206" s="83"/>
      <c r="E206" s="1"/>
      <c r="F206" s="1"/>
      <c r="G206" s="1"/>
      <c r="H206" s="1"/>
      <c r="I206" s="1"/>
      <c r="R206" s="85"/>
    </row>
    <row r="207" spans="4:18" s="20" customFormat="1" ht="13.5" customHeight="1" x14ac:dyDescent="0.4">
      <c r="D207" s="83"/>
      <c r="E207" s="1"/>
      <c r="F207" s="1"/>
      <c r="G207" s="1"/>
      <c r="H207" s="1"/>
      <c r="I207" s="1"/>
      <c r="R207" s="85"/>
    </row>
    <row r="208" spans="4:18" s="20" customFormat="1" ht="13.5" customHeight="1" x14ac:dyDescent="0.4">
      <c r="D208" s="83"/>
      <c r="E208" s="1"/>
      <c r="F208" s="1"/>
      <c r="G208" s="142" t="s">
        <v>265</v>
      </c>
      <c r="H208" s="82" t="s">
        <v>266</v>
      </c>
      <c r="I208" s="1"/>
      <c r="R208" s="85"/>
    </row>
    <row r="209" spans="4:18" s="20" customFormat="1" ht="13.5" customHeight="1" x14ac:dyDescent="0.4">
      <c r="D209" s="83"/>
      <c r="E209" s="1"/>
      <c r="F209" s="1"/>
      <c r="G209" s="143"/>
      <c r="H209" s="167" t="s">
        <v>338</v>
      </c>
      <c r="I209" s="82" t="s">
        <v>304</v>
      </c>
      <c r="R209" s="85"/>
    </row>
    <row r="210" spans="4:18" s="20" customFormat="1" ht="13.5" x14ac:dyDescent="0.4">
      <c r="D210" s="83"/>
      <c r="E210" s="1"/>
      <c r="F210" s="1"/>
      <c r="G210" s="143"/>
      <c r="H210" s="168"/>
      <c r="I210" s="147" t="s">
        <v>269</v>
      </c>
      <c r="R210" s="85"/>
    </row>
    <row r="211" spans="4:18" s="20" customFormat="1" ht="13.5" x14ac:dyDescent="0.4">
      <c r="D211" s="83"/>
      <c r="E211" s="1"/>
      <c r="F211" s="1"/>
      <c r="G211" s="143"/>
      <c r="H211" s="168"/>
      <c r="I211" s="153"/>
      <c r="R211" s="85"/>
    </row>
    <row r="212" spans="4:18" s="20" customFormat="1" ht="13.5" x14ac:dyDescent="0.4">
      <c r="D212" s="83"/>
      <c r="E212" s="1"/>
      <c r="F212" s="1"/>
      <c r="G212" s="143"/>
      <c r="H212" s="168"/>
      <c r="I212" s="153"/>
      <c r="R212" s="85"/>
    </row>
    <row r="213" spans="4:18" s="20" customFormat="1" ht="13.5" x14ac:dyDescent="0.4">
      <c r="D213" s="83"/>
      <c r="E213" s="1"/>
      <c r="F213" s="1"/>
      <c r="G213" s="144"/>
      <c r="H213" s="169"/>
      <c r="I213" s="153"/>
      <c r="R213" s="85"/>
    </row>
    <row r="214" spans="4:18" s="20" customFormat="1" ht="13.5" x14ac:dyDescent="0.4">
      <c r="D214" s="83"/>
      <c r="E214" s="84" t="s">
        <v>214</v>
      </c>
      <c r="F214" s="84"/>
      <c r="G214" s="84"/>
      <c r="H214" s="79">
        <v>50</v>
      </c>
      <c r="I214" s="79">
        <v>50</v>
      </c>
      <c r="R214" s="85"/>
    </row>
    <row r="215" spans="4:18" s="20" customFormat="1" x14ac:dyDescent="0.4">
      <c r="D215" s="83"/>
      <c r="E215" s="84" t="s">
        <v>242</v>
      </c>
      <c r="F215" s="84"/>
      <c r="G215" s="84"/>
      <c r="H215" s="141">
        <v>200</v>
      </c>
      <c r="I215" s="165"/>
      <c r="R215" s="85"/>
    </row>
    <row r="216" spans="4:18" s="20" customFormat="1" ht="13.5" x14ac:dyDescent="0.4">
      <c r="D216" s="83"/>
      <c r="E216" s="84"/>
      <c r="F216" s="84"/>
      <c r="G216" s="84"/>
      <c r="H216" s="1"/>
      <c r="I216" s="1"/>
      <c r="R216" s="85"/>
    </row>
    <row r="217" spans="4:18" s="20" customFormat="1" ht="13.5" x14ac:dyDescent="0.4">
      <c r="D217" s="83"/>
      <c r="E217" s="84" t="s">
        <v>243</v>
      </c>
      <c r="F217" s="84"/>
      <c r="G217" s="84"/>
      <c r="H217" s="1"/>
      <c r="I217" s="1"/>
      <c r="R217" s="85"/>
    </row>
    <row r="218" spans="4:18" s="20" customFormat="1" ht="13.5" x14ac:dyDescent="0.4">
      <c r="D218" s="83"/>
      <c r="E218" s="86" t="s">
        <v>244</v>
      </c>
      <c r="F218" s="86"/>
      <c r="G218" s="84"/>
      <c r="H218" s="1">
        <v>91324</v>
      </c>
      <c r="I218" s="1">
        <v>91220</v>
      </c>
      <c r="R218" s="85"/>
    </row>
    <row r="219" spans="4:18" s="20" customFormat="1" ht="13.5" x14ac:dyDescent="0.4">
      <c r="D219" s="83"/>
      <c r="E219" s="86" t="s">
        <v>245</v>
      </c>
      <c r="F219" s="86"/>
      <c r="G219" s="84"/>
      <c r="H219" s="1">
        <v>0</v>
      </c>
      <c r="I219" s="1">
        <v>1</v>
      </c>
      <c r="R219" s="85"/>
    </row>
    <row r="220" spans="4:18" s="20" customFormat="1" ht="13.5" x14ac:dyDescent="0.4">
      <c r="D220" s="83"/>
      <c r="E220" s="86" t="s">
        <v>246</v>
      </c>
      <c r="F220" s="86"/>
      <c r="G220" s="84"/>
      <c r="H220" s="84" t="s">
        <v>335</v>
      </c>
      <c r="I220" s="84" t="s">
        <v>237</v>
      </c>
      <c r="R220" s="85"/>
    </row>
    <row r="221" spans="4:18" s="20" customFormat="1" ht="27" x14ac:dyDescent="0.4">
      <c r="D221" s="83"/>
      <c r="E221" s="84" t="s">
        <v>214</v>
      </c>
      <c r="F221" s="84"/>
      <c r="G221" s="84"/>
      <c r="H221" s="84" t="s">
        <v>400</v>
      </c>
      <c r="I221" s="84" t="s">
        <v>247</v>
      </c>
      <c r="R221" s="85"/>
    </row>
    <row r="222" spans="4:18" s="20" customFormat="1" ht="14.25" thickBot="1" x14ac:dyDescent="0.45">
      <c r="D222" s="104"/>
      <c r="E222" s="105"/>
      <c r="F222" s="105"/>
      <c r="G222" s="105"/>
      <c r="H222" s="105"/>
      <c r="I222" s="105"/>
      <c r="J222" s="107"/>
      <c r="K222" s="107"/>
      <c r="L222" s="107"/>
      <c r="M222" s="107"/>
      <c r="N222" s="107"/>
      <c r="O222" s="107"/>
      <c r="P222" s="107"/>
      <c r="Q222" s="107"/>
      <c r="R222" s="108"/>
    </row>
    <row r="223" spans="4:18" s="20" customFormat="1" ht="13.5" x14ac:dyDescent="0.4">
      <c r="D223" s="90" t="s">
        <v>257</v>
      </c>
      <c r="E223" s="100"/>
      <c r="F223" s="100"/>
      <c r="G223" s="100"/>
      <c r="H223" s="100"/>
      <c r="I223" s="100"/>
      <c r="J223" s="101"/>
      <c r="K223" s="101"/>
      <c r="L223" s="101"/>
      <c r="M223" s="101"/>
      <c r="N223" s="101"/>
      <c r="O223" s="101"/>
      <c r="P223" s="101"/>
      <c r="Q223" s="101"/>
      <c r="R223" s="102"/>
    </row>
    <row r="224" spans="4:18" s="20" customFormat="1" ht="13.5" x14ac:dyDescent="0.4">
      <c r="D224" s="113">
        <v>10</v>
      </c>
      <c r="E224" s="80" t="s">
        <v>340</v>
      </c>
      <c r="F224" s="80"/>
      <c r="G224" s="80"/>
      <c r="H224" s="1"/>
      <c r="I224" s="1"/>
      <c r="R224" s="85"/>
    </row>
    <row r="225" spans="4:18" s="20" customFormat="1" ht="13.5" x14ac:dyDescent="0.4">
      <c r="D225" s="114"/>
      <c r="E225" s="80"/>
      <c r="F225" s="80"/>
      <c r="G225" s="80"/>
      <c r="H225" s="1"/>
      <c r="I225" s="1"/>
      <c r="R225" s="85"/>
    </row>
    <row r="226" spans="4:18" s="1" customFormat="1" ht="13.5" x14ac:dyDescent="0.4">
      <c r="D226" s="83"/>
      <c r="E226" s="1" t="s">
        <v>248</v>
      </c>
      <c r="H226" s="1" t="str">
        <f>H228&amp;"%のカテゴリ割引"</f>
        <v>10%のカテゴリ割引</v>
      </c>
      <c r="I226" s="1" t="str">
        <f>I228&amp;"円のマニュアル単品値引"</f>
        <v>50円のマニュアル単品値引</v>
      </c>
      <c r="K226" s="20"/>
      <c r="L226" s="20"/>
      <c r="M226" s="20"/>
      <c r="N226" s="20"/>
      <c r="O226" s="20"/>
      <c r="P226" s="20"/>
      <c r="Q226" s="20"/>
      <c r="R226" s="109"/>
    </row>
    <row r="227" spans="4:18" s="20" customFormat="1" ht="13.5" x14ac:dyDescent="0.4">
      <c r="D227" s="83"/>
      <c r="E227" s="89"/>
      <c r="F227" s="89"/>
      <c r="G227" s="80"/>
      <c r="H227" s="1"/>
      <c r="R227" s="85"/>
    </row>
    <row r="228" spans="4:18" s="20" customFormat="1" ht="13.5" x14ac:dyDescent="0.4">
      <c r="D228" s="83"/>
      <c r="E228" s="89" t="s">
        <v>341</v>
      </c>
      <c r="F228" s="89"/>
      <c r="G228" s="1"/>
      <c r="H228" s="1">
        <v>10</v>
      </c>
      <c r="I228" s="1">
        <v>50</v>
      </c>
      <c r="R228" s="85"/>
    </row>
    <row r="229" spans="4:18" s="20" customFormat="1" ht="13.5" x14ac:dyDescent="0.4">
      <c r="D229" s="83"/>
      <c r="E229" s="1"/>
      <c r="F229" s="1"/>
      <c r="G229" s="1"/>
      <c r="H229" s="1"/>
      <c r="I229" s="1"/>
      <c r="R229" s="85"/>
    </row>
    <row r="230" spans="4:18" s="20" customFormat="1" ht="13.5" customHeight="1" x14ac:dyDescent="0.4">
      <c r="D230" s="83"/>
      <c r="E230" s="1"/>
      <c r="F230" s="1"/>
      <c r="G230" s="1"/>
      <c r="H230" s="1"/>
      <c r="I230" s="1"/>
      <c r="R230" s="85"/>
    </row>
    <row r="231" spans="4:18" s="20" customFormat="1" ht="13.5" customHeight="1" x14ac:dyDescent="0.4">
      <c r="D231" s="83"/>
      <c r="E231" s="1"/>
      <c r="F231" s="1"/>
      <c r="G231" s="142" t="s">
        <v>265</v>
      </c>
      <c r="H231" s="82" t="s">
        <v>278</v>
      </c>
      <c r="I231" s="1"/>
      <c r="R231" s="85"/>
    </row>
    <row r="232" spans="4:18" s="20" customFormat="1" ht="13.5" customHeight="1" x14ac:dyDescent="0.4">
      <c r="D232" s="83"/>
      <c r="E232" s="1"/>
      <c r="F232" s="1"/>
      <c r="G232" s="143"/>
      <c r="H232" s="167" t="s">
        <v>342</v>
      </c>
      <c r="I232" s="82" t="s">
        <v>304</v>
      </c>
      <c r="R232" s="85"/>
    </row>
    <row r="233" spans="4:18" s="20" customFormat="1" ht="13.5" x14ac:dyDescent="0.4">
      <c r="D233" s="83"/>
      <c r="E233" s="1"/>
      <c r="F233" s="1"/>
      <c r="G233" s="143"/>
      <c r="H233" s="168"/>
      <c r="I233" s="147" t="s">
        <v>279</v>
      </c>
      <c r="R233" s="85"/>
    </row>
    <row r="234" spans="4:18" s="20" customFormat="1" ht="13.5" x14ac:dyDescent="0.4">
      <c r="D234" s="83"/>
      <c r="E234" s="1"/>
      <c r="F234" s="1"/>
      <c r="G234" s="143"/>
      <c r="H234" s="168"/>
      <c r="I234" s="153"/>
      <c r="R234" s="85"/>
    </row>
    <row r="235" spans="4:18" s="20" customFormat="1" ht="13.5" x14ac:dyDescent="0.4">
      <c r="D235" s="83"/>
      <c r="E235" s="1"/>
      <c r="F235" s="1"/>
      <c r="G235" s="143"/>
      <c r="H235" s="168"/>
      <c r="I235" s="153"/>
      <c r="R235" s="85"/>
    </row>
    <row r="236" spans="4:18" s="20" customFormat="1" ht="13.5" x14ac:dyDescent="0.4">
      <c r="D236" s="83"/>
      <c r="E236" s="1"/>
      <c r="F236" s="1"/>
      <c r="G236" s="144"/>
      <c r="H236" s="169"/>
      <c r="I236" s="153"/>
      <c r="R236" s="85"/>
    </row>
    <row r="237" spans="4:18" s="20" customFormat="1" ht="13.5" x14ac:dyDescent="0.4">
      <c r="D237" s="83"/>
      <c r="E237" s="84" t="s">
        <v>214</v>
      </c>
      <c r="F237" s="84"/>
      <c r="G237" s="84"/>
      <c r="H237" s="79">
        <v>30</v>
      </c>
      <c r="I237" s="79">
        <v>50</v>
      </c>
      <c r="R237" s="85"/>
    </row>
    <row r="238" spans="4:18" s="20" customFormat="1" x14ac:dyDescent="0.4">
      <c r="D238" s="83"/>
      <c r="E238" s="84" t="s">
        <v>242</v>
      </c>
      <c r="F238" s="84"/>
      <c r="G238" s="84"/>
      <c r="H238" s="141">
        <v>220</v>
      </c>
      <c r="I238" s="165"/>
      <c r="R238" s="85"/>
    </row>
    <row r="239" spans="4:18" s="20" customFormat="1" ht="13.5" x14ac:dyDescent="0.4">
      <c r="D239" s="83"/>
      <c r="E239" s="84"/>
      <c r="F239" s="84"/>
      <c r="G239" s="84"/>
      <c r="H239" s="1"/>
      <c r="I239" s="1"/>
      <c r="R239" s="85"/>
    </row>
    <row r="240" spans="4:18" s="20" customFormat="1" ht="13.5" x14ac:dyDescent="0.4">
      <c r="D240" s="83"/>
      <c r="E240" s="84" t="s">
        <v>243</v>
      </c>
      <c r="F240" s="84"/>
      <c r="G240" s="84"/>
      <c r="H240" s="1"/>
      <c r="I240" s="1"/>
      <c r="R240" s="85"/>
    </row>
    <row r="241" spans="4:18" s="20" customFormat="1" ht="13.5" x14ac:dyDescent="0.4">
      <c r="D241" s="83"/>
      <c r="E241" s="86" t="s">
        <v>244</v>
      </c>
      <c r="F241" s="86"/>
      <c r="G241" s="84"/>
      <c r="H241" s="1">
        <v>91324</v>
      </c>
      <c r="I241" s="1">
        <v>91220</v>
      </c>
      <c r="R241" s="85"/>
    </row>
    <row r="242" spans="4:18" s="20" customFormat="1" ht="13.5" x14ac:dyDescent="0.4">
      <c r="D242" s="83"/>
      <c r="E242" s="86" t="s">
        <v>245</v>
      </c>
      <c r="F242" s="86"/>
      <c r="G242" s="84"/>
      <c r="H242" s="1">
        <v>0</v>
      </c>
      <c r="I242" s="1">
        <v>1</v>
      </c>
      <c r="R242" s="85"/>
    </row>
    <row r="243" spans="4:18" s="20" customFormat="1" ht="13.5" x14ac:dyDescent="0.4">
      <c r="D243" s="83"/>
      <c r="E243" s="86" t="s">
        <v>246</v>
      </c>
      <c r="F243" s="86"/>
      <c r="G243" s="84"/>
      <c r="H243" s="84" t="s">
        <v>339</v>
      </c>
      <c r="I243" s="84" t="s">
        <v>237</v>
      </c>
      <c r="R243" s="85"/>
    </row>
    <row r="244" spans="4:18" s="20" customFormat="1" ht="27" x14ac:dyDescent="0.4">
      <c r="D244" s="83"/>
      <c r="E244" s="84" t="s">
        <v>214</v>
      </c>
      <c r="F244" s="84"/>
      <c r="G244" s="84"/>
      <c r="H244" s="84" t="s">
        <v>401</v>
      </c>
      <c r="I244" s="84" t="s">
        <v>247</v>
      </c>
      <c r="R244" s="85"/>
    </row>
    <row r="245" spans="4:18" s="20" customFormat="1" ht="14.25" thickBot="1" x14ac:dyDescent="0.45">
      <c r="D245" s="104"/>
      <c r="E245" s="105"/>
      <c r="F245" s="105"/>
      <c r="G245" s="105"/>
      <c r="H245" s="105"/>
      <c r="I245" s="105"/>
      <c r="J245" s="107"/>
      <c r="K245" s="107"/>
      <c r="L245" s="107"/>
      <c r="M245" s="107"/>
      <c r="N245" s="107"/>
      <c r="O245" s="107"/>
      <c r="P245" s="107"/>
      <c r="Q245" s="107"/>
      <c r="R245" s="108"/>
    </row>
    <row r="246" spans="4:18" s="20" customFormat="1" ht="13.5" x14ac:dyDescent="0.4">
      <c r="D246" s="90" t="s">
        <v>257</v>
      </c>
      <c r="E246" s="100"/>
      <c r="F246" s="100"/>
      <c r="G246" s="100"/>
      <c r="H246" s="100"/>
      <c r="I246" s="100"/>
      <c r="J246" s="101"/>
      <c r="K246" s="101"/>
      <c r="L246" s="101"/>
      <c r="M246" s="101"/>
      <c r="N246" s="101"/>
      <c r="O246" s="101"/>
      <c r="P246" s="101"/>
      <c r="Q246" s="101"/>
      <c r="R246" s="102"/>
    </row>
    <row r="247" spans="4:18" s="20" customFormat="1" ht="13.5" x14ac:dyDescent="0.4">
      <c r="D247" s="113">
        <v>11</v>
      </c>
      <c r="E247" s="80" t="s">
        <v>343</v>
      </c>
      <c r="F247" s="80"/>
      <c r="G247" s="80"/>
      <c r="H247" s="1"/>
      <c r="I247" s="1"/>
      <c r="R247" s="85"/>
    </row>
    <row r="248" spans="4:18" s="20" customFormat="1" ht="13.5" x14ac:dyDescent="0.4">
      <c r="D248" s="114"/>
      <c r="E248" s="80"/>
      <c r="F248" s="80"/>
      <c r="G248" s="80"/>
      <c r="H248" s="1"/>
      <c r="I248" s="1"/>
      <c r="R248" s="85"/>
    </row>
    <row r="249" spans="4:18" s="1" customFormat="1" ht="13.5" x14ac:dyDescent="0.4">
      <c r="D249" s="83"/>
      <c r="E249" s="1" t="s">
        <v>248</v>
      </c>
      <c r="H249" s="1" t="str">
        <f>H251&amp;"円のマニュアル単品値引"</f>
        <v>50円のマニュアル単品値引</v>
      </c>
      <c r="I249" s="1" t="str">
        <f>I251&amp;"円の小計値引（マニュアル）"</f>
        <v>50円の小計値引（マニュアル）</v>
      </c>
      <c r="K249" s="20"/>
      <c r="L249" s="20"/>
      <c r="M249" s="20"/>
      <c r="N249" s="20"/>
      <c r="O249" s="20"/>
      <c r="P249" s="20"/>
      <c r="Q249" s="20"/>
      <c r="R249" s="109"/>
    </row>
    <row r="250" spans="4:18" s="20" customFormat="1" ht="13.5" x14ac:dyDescent="0.4">
      <c r="D250" s="83"/>
      <c r="E250" s="89"/>
      <c r="F250" s="89"/>
      <c r="G250" s="80"/>
      <c r="I250" s="1"/>
      <c r="R250" s="85"/>
    </row>
    <row r="251" spans="4:18" s="20" customFormat="1" ht="13.5" x14ac:dyDescent="0.4">
      <c r="D251" s="83"/>
      <c r="E251" s="89" t="s">
        <v>344</v>
      </c>
      <c r="F251" s="89"/>
      <c r="G251" s="1"/>
      <c r="H251" s="1">
        <v>50</v>
      </c>
      <c r="I251" s="1">
        <v>50</v>
      </c>
      <c r="R251" s="85"/>
    </row>
    <row r="252" spans="4:18" s="20" customFormat="1" ht="13.5" x14ac:dyDescent="0.4">
      <c r="D252" s="83"/>
      <c r="E252" s="1"/>
      <c r="F252" s="1"/>
      <c r="G252" s="1"/>
      <c r="H252" s="1"/>
      <c r="I252" s="1"/>
      <c r="R252" s="85"/>
    </row>
    <row r="253" spans="4:18" s="20" customFormat="1" ht="13.5" customHeight="1" x14ac:dyDescent="0.4">
      <c r="D253" s="83"/>
      <c r="E253" s="1"/>
      <c r="F253" s="1"/>
      <c r="G253" s="1"/>
      <c r="H253" s="1"/>
      <c r="I253" s="1"/>
      <c r="R253" s="85"/>
    </row>
    <row r="254" spans="4:18" s="20" customFormat="1" ht="13.5" customHeight="1" x14ac:dyDescent="0.4">
      <c r="D254" s="83"/>
      <c r="E254" s="1"/>
      <c r="F254" s="1"/>
      <c r="G254" s="142" t="s">
        <v>265</v>
      </c>
      <c r="H254" s="82" t="s">
        <v>304</v>
      </c>
      <c r="I254" s="1"/>
      <c r="R254" s="85"/>
    </row>
    <row r="255" spans="4:18" s="20" customFormat="1" ht="13.5" customHeight="1" x14ac:dyDescent="0.4">
      <c r="D255" s="83"/>
      <c r="E255" s="1"/>
      <c r="F255" s="1"/>
      <c r="G255" s="143"/>
      <c r="H255" s="145" t="s">
        <v>351</v>
      </c>
      <c r="I255" s="82" t="s">
        <v>266</v>
      </c>
      <c r="R255" s="85"/>
    </row>
    <row r="256" spans="4:18" s="20" customFormat="1" ht="13.5" customHeight="1" x14ac:dyDescent="0.4">
      <c r="D256" s="83"/>
      <c r="E256" s="1"/>
      <c r="F256" s="1"/>
      <c r="G256" s="143"/>
      <c r="H256" s="175"/>
      <c r="I256" s="147" t="s">
        <v>269</v>
      </c>
      <c r="R256" s="85"/>
    </row>
    <row r="257" spans="4:18" s="20" customFormat="1" ht="13.5" customHeight="1" x14ac:dyDescent="0.4">
      <c r="D257" s="83"/>
      <c r="E257" s="1"/>
      <c r="F257" s="1"/>
      <c r="G257" s="143"/>
      <c r="H257" s="175"/>
      <c r="I257" s="153"/>
      <c r="R257" s="85"/>
    </row>
    <row r="258" spans="4:18" s="20" customFormat="1" ht="13.5" customHeight="1" x14ac:dyDescent="0.4">
      <c r="D258" s="83"/>
      <c r="E258" s="1"/>
      <c r="F258" s="1"/>
      <c r="G258" s="143"/>
      <c r="H258" s="175"/>
      <c r="I258" s="153"/>
      <c r="R258" s="85"/>
    </row>
    <row r="259" spans="4:18" s="20" customFormat="1" ht="13.5" customHeight="1" x14ac:dyDescent="0.4">
      <c r="D259" s="83"/>
      <c r="E259" s="1"/>
      <c r="F259" s="1"/>
      <c r="G259" s="144"/>
      <c r="H259" s="176"/>
      <c r="I259" s="153"/>
      <c r="R259" s="85"/>
    </row>
    <row r="260" spans="4:18" s="20" customFormat="1" ht="13.5" x14ac:dyDescent="0.4">
      <c r="D260" s="83"/>
      <c r="E260" s="84" t="s">
        <v>214</v>
      </c>
      <c r="F260" s="84"/>
      <c r="G260" s="84"/>
      <c r="H260" s="79">
        <v>50</v>
      </c>
      <c r="I260" s="79">
        <v>50</v>
      </c>
      <c r="R260" s="85"/>
    </row>
    <row r="261" spans="4:18" s="20" customFormat="1" x14ac:dyDescent="0.4">
      <c r="D261" s="83"/>
      <c r="E261" s="84" t="s">
        <v>242</v>
      </c>
      <c r="F261" s="84"/>
      <c r="G261" s="84"/>
      <c r="H261" s="141">
        <v>200</v>
      </c>
      <c r="I261" s="165"/>
      <c r="R261" s="85"/>
    </row>
    <row r="262" spans="4:18" s="20" customFormat="1" ht="13.5" x14ac:dyDescent="0.4">
      <c r="D262" s="83"/>
      <c r="E262" s="84"/>
      <c r="F262" s="84"/>
      <c r="G262" s="84"/>
      <c r="H262" s="1"/>
      <c r="I262" s="1"/>
      <c r="R262" s="85"/>
    </row>
    <row r="263" spans="4:18" s="20" customFormat="1" ht="13.5" x14ac:dyDescent="0.4">
      <c r="D263" s="83"/>
      <c r="E263" s="84" t="s">
        <v>243</v>
      </c>
      <c r="F263" s="84"/>
      <c r="G263" s="84"/>
      <c r="H263" s="1"/>
      <c r="I263" s="1"/>
      <c r="R263" s="85"/>
    </row>
    <row r="264" spans="4:18" s="20" customFormat="1" ht="13.5" x14ac:dyDescent="0.4">
      <c r="D264" s="83"/>
      <c r="E264" s="86" t="s">
        <v>244</v>
      </c>
      <c r="F264" s="86"/>
      <c r="G264" s="84"/>
      <c r="H264" s="1">
        <v>91220</v>
      </c>
      <c r="I264" s="1">
        <v>91440</v>
      </c>
      <c r="R264" s="85"/>
    </row>
    <row r="265" spans="4:18" s="20" customFormat="1" ht="13.5" x14ac:dyDescent="0.4">
      <c r="D265" s="83"/>
      <c r="E265" s="86" t="s">
        <v>245</v>
      </c>
      <c r="F265" s="86"/>
      <c r="G265" s="84"/>
      <c r="H265" s="1">
        <v>1</v>
      </c>
      <c r="I265" s="1">
        <v>14</v>
      </c>
      <c r="R265" s="85"/>
    </row>
    <row r="266" spans="4:18" s="20" customFormat="1" ht="13.5" x14ac:dyDescent="0.4">
      <c r="D266" s="83"/>
      <c r="E266" s="86" t="s">
        <v>246</v>
      </c>
      <c r="F266" s="86"/>
      <c r="G266" s="84"/>
      <c r="H266" s="84" t="s">
        <v>237</v>
      </c>
      <c r="I266" s="84" t="s">
        <v>343</v>
      </c>
      <c r="R266" s="85"/>
    </row>
    <row r="267" spans="4:18" s="20" customFormat="1" ht="27" x14ac:dyDescent="0.4">
      <c r="D267" s="83"/>
      <c r="E267" s="84" t="s">
        <v>214</v>
      </c>
      <c r="F267" s="84"/>
      <c r="G267" s="84"/>
      <c r="H267" s="84" t="s">
        <v>247</v>
      </c>
      <c r="I267" s="84" t="s">
        <v>345</v>
      </c>
      <c r="R267" s="85"/>
    </row>
    <row r="268" spans="4:18" s="20" customFormat="1" ht="14.25" thickBot="1" x14ac:dyDescent="0.45">
      <c r="D268" s="104"/>
      <c r="E268" s="105"/>
      <c r="F268" s="105"/>
      <c r="G268" s="105"/>
      <c r="H268" s="105"/>
      <c r="I268" s="105"/>
      <c r="J268" s="107"/>
      <c r="K268" s="107"/>
      <c r="L268" s="107"/>
      <c r="M268" s="107"/>
      <c r="N268" s="107"/>
      <c r="O268" s="107"/>
      <c r="P268" s="107"/>
      <c r="Q268" s="107"/>
      <c r="R268" s="108"/>
    </row>
    <row r="269" spans="4:18" s="20" customFormat="1" ht="13.5" x14ac:dyDescent="0.4">
      <c r="D269" s="90" t="s">
        <v>257</v>
      </c>
      <c r="E269" s="100"/>
      <c r="F269" s="100"/>
      <c r="G269" s="100"/>
      <c r="H269" s="100"/>
      <c r="I269" s="100"/>
      <c r="J269" s="101"/>
      <c r="K269" s="101"/>
      <c r="L269" s="101"/>
      <c r="M269" s="101"/>
      <c r="N269" s="101"/>
      <c r="O269" s="101"/>
      <c r="P269" s="101"/>
      <c r="Q269" s="101"/>
      <c r="R269" s="102"/>
    </row>
    <row r="270" spans="4:18" s="20" customFormat="1" ht="13.5" x14ac:dyDescent="0.4">
      <c r="D270" s="113">
        <v>12</v>
      </c>
      <c r="E270" s="80" t="s">
        <v>355</v>
      </c>
      <c r="F270" s="80"/>
      <c r="G270" s="80"/>
      <c r="H270" s="1"/>
      <c r="I270" s="1"/>
      <c r="R270" s="85"/>
    </row>
    <row r="271" spans="4:18" s="20" customFormat="1" ht="13.5" x14ac:dyDescent="0.4">
      <c r="D271" s="114"/>
      <c r="E271" s="80"/>
      <c r="F271" s="80"/>
      <c r="G271" s="80"/>
      <c r="H271" s="1"/>
      <c r="I271" s="1"/>
      <c r="R271" s="85"/>
    </row>
    <row r="272" spans="4:18" s="1" customFormat="1" ht="13.5" x14ac:dyDescent="0.4">
      <c r="D272" s="83"/>
      <c r="E272" s="1" t="s">
        <v>248</v>
      </c>
      <c r="H272" s="1" t="str">
        <f>H274&amp;"円のマニュアル単品値引"</f>
        <v>50円のマニュアル単品値引</v>
      </c>
      <c r="I272" s="1" t="str">
        <f>I274&amp;"%の小計割引（マニュアル）"</f>
        <v>10%の小計割引（マニュアル）</v>
      </c>
      <c r="K272" s="20"/>
      <c r="L272" s="20"/>
      <c r="M272" s="20"/>
      <c r="N272" s="20"/>
      <c r="O272" s="20"/>
      <c r="P272" s="20"/>
      <c r="Q272" s="20"/>
      <c r="R272" s="109"/>
    </row>
    <row r="273" spans="4:18" s="20" customFormat="1" ht="13.5" x14ac:dyDescent="0.4">
      <c r="D273" s="83"/>
      <c r="E273" s="89"/>
      <c r="F273" s="89"/>
      <c r="G273" s="80"/>
      <c r="I273" s="1"/>
      <c r="R273" s="85"/>
    </row>
    <row r="274" spans="4:18" s="20" customFormat="1" ht="13.5" x14ac:dyDescent="0.4">
      <c r="D274" s="83"/>
      <c r="E274" s="89" t="s">
        <v>354</v>
      </c>
      <c r="F274" s="89"/>
      <c r="G274" s="1"/>
      <c r="H274" s="1">
        <v>50</v>
      </c>
      <c r="I274" s="1">
        <v>10</v>
      </c>
      <c r="R274" s="85"/>
    </row>
    <row r="275" spans="4:18" s="20" customFormat="1" ht="13.5" x14ac:dyDescent="0.4">
      <c r="D275" s="83"/>
      <c r="E275" s="1"/>
      <c r="F275" s="1"/>
      <c r="G275" s="1"/>
      <c r="H275" s="1"/>
      <c r="I275" s="1"/>
      <c r="R275" s="85"/>
    </row>
    <row r="276" spans="4:18" s="20" customFormat="1" ht="13.5" customHeight="1" x14ac:dyDescent="0.4">
      <c r="D276" s="83"/>
      <c r="E276" s="1"/>
      <c r="F276" s="1"/>
      <c r="G276" s="1"/>
      <c r="H276" s="1"/>
      <c r="I276" s="1"/>
      <c r="R276" s="85"/>
    </row>
    <row r="277" spans="4:18" s="20" customFormat="1" ht="13.5" customHeight="1" x14ac:dyDescent="0.4">
      <c r="D277" s="83"/>
      <c r="E277" s="1"/>
      <c r="F277" s="1"/>
      <c r="G277" s="142" t="s">
        <v>265</v>
      </c>
      <c r="H277" s="82" t="s">
        <v>266</v>
      </c>
      <c r="I277" s="1"/>
      <c r="R277" s="85"/>
    </row>
    <row r="278" spans="4:18" s="20" customFormat="1" ht="13.5" customHeight="1" x14ac:dyDescent="0.4">
      <c r="D278" s="83"/>
      <c r="E278" s="1"/>
      <c r="F278" s="1"/>
      <c r="G278" s="143"/>
      <c r="H278" s="145" t="s">
        <v>351</v>
      </c>
      <c r="I278" s="82" t="s">
        <v>349</v>
      </c>
      <c r="R278" s="85"/>
    </row>
    <row r="279" spans="4:18" s="20" customFormat="1" ht="13.5" customHeight="1" x14ac:dyDescent="0.4">
      <c r="D279" s="83"/>
      <c r="E279" s="1"/>
      <c r="F279" s="1"/>
      <c r="G279" s="143"/>
      <c r="H279" s="175"/>
      <c r="I279" s="147" t="s">
        <v>350</v>
      </c>
      <c r="R279" s="85"/>
    </row>
    <row r="280" spans="4:18" s="20" customFormat="1" ht="13.5" customHeight="1" x14ac:dyDescent="0.4">
      <c r="D280" s="83"/>
      <c r="E280" s="1"/>
      <c r="F280" s="1"/>
      <c r="G280" s="143"/>
      <c r="H280" s="175"/>
      <c r="I280" s="153"/>
      <c r="R280" s="85"/>
    </row>
    <row r="281" spans="4:18" s="20" customFormat="1" ht="13.5" customHeight="1" x14ac:dyDescent="0.4">
      <c r="D281" s="83"/>
      <c r="E281" s="1"/>
      <c r="F281" s="1"/>
      <c r="G281" s="143"/>
      <c r="H281" s="175"/>
      <c r="I281" s="153"/>
      <c r="R281" s="85"/>
    </row>
    <row r="282" spans="4:18" s="20" customFormat="1" ht="13.5" customHeight="1" x14ac:dyDescent="0.4">
      <c r="D282" s="83"/>
      <c r="E282" s="1"/>
      <c r="F282" s="1"/>
      <c r="G282" s="144"/>
      <c r="H282" s="176"/>
      <c r="I282" s="153"/>
      <c r="R282" s="85"/>
    </row>
    <row r="283" spans="4:18" s="20" customFormat="1" ht="13.5" x14ac:dyDescent="0.4">
      <c r="D283" s="83"/>
      <c r="E283" s="84" t="s">
        <v>214</v>
      </c>
      <c r="F283" s="84"/>
      <c r="G283" s="84"/>
      <c r="H283" s="79">
        <v>50</v>
      </c>
      <c r="I283" s="79">
        <v>25</v>
      </c>
      <c r="R283" s="85"/>
    </row>
    <row r="284" spans="4:18" s="20" customFormat="1" x14ac:dyDescent="0.4">
      <c r="D284" s="83"/>
      <c r="E284" s="84" t="s">
        <v>242</v>
      </c>
      <c r="F284" s="84"/>
      <c r="G284" s="84"/>
      <c r="H284" s="141">
        <v>225</v>
      </c>
      <c r="I284" s="165"/>
      <c r="R284" s="85"/>
    </row>
    <row r="285" spans="4:18" s="20" customFormat="1" ht="13.5" x14ac:dyDescent="0.4">
      <c r="D285" s="83"/>
      <c r="E285" s="84"/>
      <c r="F285" s="84"/>
      <c r="G285" s="84"/>
      <c r="H285" s="1"/>
      <c r="I285" s="1"/>
      <c r="R285" s="85"/>
    </row>
    <row r="286" spans="4:18" s="20" customFormat="1" ht="13.5" x14ac:dyDescent="0.4">
      <c r="D286" s="83"/>
      <c r="E286" s="84" t="s">
        <v>243</v>
      </c>
      <c r="F286" s="84"/>
      <c r="G286" s="84"/>
      <c r="H286" s="1"/>
      <c r="I286" s="1"/>
      <c r="R286" s="85"/>
    </row>
    <row r="287" spans="4:18" s="20" customFormat="1" ht="13.5" x14ac:dyDescent="0.4">
      <c r="D287" s="83"/>
      <c r="E287" s="86" t="s">
        <v>244</v>
      </c>
      <c r="F287" s="86"/>
      <c r="G287" s="84"/>
      <c r="H287" s="1">
        <v>91220</v>
      </c>
      <c r="I287" s="1">
        <v>91440</v>
      </c>
      <c r="R287" s="85"/>
    </row>
    <row r="288" spans="4:18" s="20" customFormat="1" ht="13.5" x14ac:dyDescent="0.4">
      <c r="D288" s="83"/>
      <c r="E288" s="86" t="s">
        <v>245</v>
      </c>
      <c r="F288" s="86"/>
      <c r="G288" s="84"/>
      <c r="H288" s="1">
        <v>1</v>
      </c>
      <c r="I288" s="1">
        <v>14</v>
      </c>
      <c r="R288" s="85"/>
    </row>
    <row r="289" spans="4:18" s="20" customFormat="1" ht="13.5" x14ac:dyDescent="0.4">
      <c r="D289" s="83"/>
      <c r="E289" s="86" t="s">
        <v>246</v>
      </c>
      <c r="F289" s="86"/>
      <c r="G289" s="84"/>
      <c r="H289" s="84" t="s">
        <v>237</v>
      </c>
      <c r="I289" s="84" t="s">
        <v>343</v>
      </c>
      <c r="R289" s="85"/>
    </row>
    <row r="290" spans="4:18" s="20" customFormat="1" ht="27" x14ac:dyDescent="0.4">
      <c r="D290" s="83"/>
      <c r="E290" s="84" t="s">
        <v>214</v>
      </c>
      <c r="F290" s="84"/>
      <c r="G290" s="84"/>
      <c r="H290" s="84" t="s">
        <v>247</v>
      </c>
      <c r="I290" s="84" t="s">
        <v>352</v>
      </c>
      <c r="R290" s="85"/>
    </row>
    <row r="291" spans="4:18" s="20" customFormat="1" ht="14.25" thickBot="1" x14ac:dyDescent="0.45">
      <c r="D291" s="104"/>
      <c r="E291" s="105"/>
      <c r="F291" s="105"/>
      <c r="G291" s="105"/>
      <c r="H291" s="105"/>
      <c r="I291" s="105"/>
      <c r="J291" s="107"/>
      <c r="K291" s="107"/>
      <c r="L291" s="107"/>
      <c r="M291" s="107"/>
      <c r="N291" s="107"/>
      <c r="O291" s="107"/>
      <c r="P291" s="107"/>
      <c r="Q291" s="107"/>
      <c r="R291" s="108"/>
    </row>
    <row r="292" spans="4:18" s="20" customFormat="1" ht="13.5" x14ac:dyDescent="0.4">
      <c r="D292" s="90" t="s">
        <v>257</v>
      </c>
      <c r="E292" s="100"/>
      <c r="F292" s="100"/>
      <c r="G292" s="100"/>
      <c r="H292" s="100"/>
      <c r="I292" s="100"/>
      <c r="J292" s="101"/>
      <c r="K292" s="101"/>
      <c r="L292" s="101"/>
      <c r="M292" s="101"/>
      <c r="N292" s="101"/>
      <c r="O292" s="101"/>
      <c r="P292" s="101"/>
      <c r="Q292" s="101"/>
      <c r="R292" s="102"/>
    </row>
    <row r="293" spans="4:18" s="20" customFormat="1" ht="13.5" x14ac:dyDescent="0.4">
      <c r="D293" s="113">
        <v>13</v>
      </c>
      <c r="E293" s="80" t="s">
        <v>356</v>
      </c>
      <c r="F293" s="80"/>
      <c r="G293" s="80"/>
      <c r="H293" s="1"/>
      <c r="I293" s="1"/>
      <c r="R293" s="85"/>
    </row>
    <row r="294" spans="4:18" s="20" customFormat="1" ht="13.5" x14ac:dyDescent="0.4">
      <c r="D294" s="114"/>
      <c r="E294" s="80"/>
      <c r="F294" s="80"/>
      <c r="G294" s="80"/>
      <c r="H294" s="1"/>
      <c r="I294" s="1"/>
      <c r="R294" s="85"/>
    </row>
    <row r="295" spans="4:18" s="1" customFormat="1" ht="13.5" x14ac:dyDescent="0.4">
      <c r="D295" s="83"/>
      <c r="E295" s="1" t="s">
        <v>248</v>
      </c>
      <c r="H295" s="1" t="str">
        <f>H297&amp;"円のマニュアル単品値引"</f>
        <v>50円のマニュアル単品値引</v>
      </c>
      <c r="I295" s="1" t="str">
        <f>I297&amp;"%の朝割り（自動）"</f>
        <v>10%の朝割り（自動）</v>
      </c>
      <c r="K295" s="20"/>
      <c r="L295" s="20"/>
      <c r="M295" s="20"/>
      <c r="N295" s="20"/>
      <c r="O295" s="20"/>
      <c r="P295" s="20"/>
      <c r="Q295" s="20"/>
      <c r="R295" s="109"/>
    </row>
    <row r="296" spans="4:18" s="20" customFormat="1" ht="13.5" x14ac:dyDescent="0.4">
      <c r="D296" s="83"/>
      <c r="E296" s="89"/>
      <c r="F296" s="89"/>
      <c r="G296" s="80"/>
      <c r="I296" s="1"/>
      <c r="R296" s="85"/>
    </row>
    <row r="297" spans="4:18" s="20" customFormat="1" ht="13.5" x14ac:dyDescent="0.4">
      <c r="D297" s="83"/>
      <c r="E297" s="89" t="s">
        <v>358</v>
      </c>
      <c r="F297" s="89"/>
      <c r="G297" s="1"/>
      <c r="H297" s="1">
        <v>50</v>
      </c>
      <c r="I297" s="1">
        <v>10</v>
      </c>
      <c r="R297" s="85"/>
    </row>
    <row r="298" spans="4:18" s="20" customFormat="1" ht="13.5" x14ac:dyDescent="0.4">
      <c r="D298" s="83"/>
      <c r="E298" s="1"/>
      <c r="F298" s="1"/>
      <c r="G298" s="1"/>
      <c r="H298" s="1"/>
      <c r="I298" s="1"/>
      <c r="R298" s="85"/>
    </row>
    <row r="299" spans="4:18" s="20" customFormat="1" ht="13.5" customHeight="1" x14ac:dyDescent="0.4">
      <c r="D299" s="83"/>
      <c r="E299" s="1"/>
      <c r="F299" s="1"/>
      <c r="G299" s="1"/>
      <c r="H299" s="1"/>
      <c r="I299" s="1"/>
      <c r="R299" s="85"/>
    </row>
    <row r="300" spans="4:18" s="20" customFormat="1" ht="13.5" customHeight="1" x14ac:dyDescent="0.4">
      <c r="D300" s="83"/>
      <c r="E300" s="1"/>
      <c r="F300" s="1"/>
      <c r="G300" s="142" t="s">
        <v>265</v>
      </c>
      <c r="H300" s="82" t="s">
        <v>266</v>
      </c>
      <c r="I300" s="1"/>
      <c r="R300" s="85"/>
    </row>
    <row r="301" spans="4:18" s="20" customFormat="1" ht="13.5" customHeight="1" x14ac:dyDescent="0.4">
      <c r="D301" s="83"/>
      <c r="E301" s="1"/>
      <c r="F301" s="1"/>
      <c r="G301" s="143"/>
      <c r="H301" s="145" t="s">
        <v>351</v>
      </c>
      <c r="I301" s="82" t="s">
        <v>349</v>
      </c>
      <c r="R301" s="85"/>
    </row>
    <row r="302" spans="4:18" s="20" customFormat="1" ht="13.5" customHeight="1" x14ac:dyDescent="0.4">
      <c r="D302" s="83"/>
      <c r="E302" s="1"/>
      <c r="F302" s="1"/>
      <c r="G302" s="143"/>
      <c r="H302" s="175"/>
      <c r="I302" s="147" t="s">
        <v>350</v>
      </c>
      <c r="R302" s="85"/>
    </row>
    <row r="303" spans="4:18" s="20" customFormat="1" ht="13.5" customHeight="1" x14ac:dyDescent="0.4">
      <c r="D303" s="83"/>
      <c r="E303" s="1"/>
      <c r="F303" s="1"/>
      <c r="G303" s="143"/>
      <c r="H303" s="175"/>
      <c r="I303" s="153"/>
      <c r="R303" s="85"/>
    </row>
    <row r="304" spans="4:18" s="20" customFormat="1" ht="13.5" customHeight="1" x14ac:dyDescent="0.4">
      <c r="D304" s="83"/>
      <c r="E304" s="1"/>
      <c r="F304" s="1"/>
      <c r="G304" s="143"/>
      <c r="H304" s="175"/>
      <c r="I304" s="153"/>
      <c r="R304" s="85"/>
    </row>
    <row r="305" spans="4:18" s="20" customFormat="1" ht="13.5" customHeight="1" x14ac:dyDescent="0.4">
      <c r="D305" s="83"/>
      <c r="E305" s="1"/>
      <c r="F305" s="1"/>
      <c r="G305" s="144"/>
      <c r="H305" s="176"/>
      <c r="I305" s="153"/>
      <c r="R305" s="85"/>
    </row>
    <row r="306" spans="4:18" s="20" customFormat="1" ht="13.5" x14ac:dyDescent="0.4">
      <c r="D306" s="83"/>
      <c r="E306" s="84" t="s">
        <v>214</v>
      </c>
      <c r="F306" s="84"/>
      <c r="G306" s="84"/>
      <c r="H306" s="79">
        <v>50</v>
      </c>
      <c r="I306" s="79">
        <v>25</v>
      </c>
      <c r="R306" s="85"/>
    </row>
    <row r="307" spans="4:18" s="20" customFormat="1" x14ac:dyDescent="0.4">
      <c r="D307" s="83"/>
      <c r="E307" s="84" t="s">
        <v>242</v>
      </c>
      <c r="F307" s="84"/>
      <c r="G307" s="84"/>
      <c r="H307" s="141">
        <v>225</v>
      </c>
      <c r="I307" s="165"/>
      <c r="R307" s="85"/>
    </row>
    <row r="308" spans="4:18" s="20" customFormat="1" ht="13.5" x14ac:dyDescent="0.4">
      <c r="D308" s="83"/>
      <c r="E308" s="84"/>
      <c r="F308" s="84"/>
      <c r="G308" s="84"/>
      <c r="H308" s="1"/>
      <c r="I308" s="1"/>
      <c r="R308" s="85"/>
    </row>
    <row r="309" spans="4:18" s="20" customFormat="1" ht="13.5" x14ac:dyDescent="0.4">
      <c r="D309" s="83"/>
      <c r="E309" s="84" t="s">
        <v>243</v>
      </c>
      <c r="F309" s="84"/>
      <c r="G309" s="84"/>
      <c r="H309" s="1"/>
      <c r="I309" s="1"/>
      <c r="R309" s="85"/>
    </row>
    <row r="310" spans="4:18" s="20" customFormat="1" ht="13.5" x14ac:dyDescent="0.4">
      <c r="D310" s="83"/>
      <c r="E310" s="86" t="s">
        <v>244</v>
      </c>
      <c r="F310" s="86"/>
      <c r="G310" s="84"/>
      <c r="H310" s="1">
        <v>91220</v>
      </c>
      <c r="I310" s="1">
        <v>91440</v>
      </c>
      <c r="R310" s="85"/>
    </row>
    <row r="311" spans="4:18" s="20" customFormat="1" ht="13.5" x14ac:dyDescent="0.4">
      <c r="D311" s="83"/>
      <c r="E311" s="86" t="s">
        <v>245</v>
      </c>
      <c r="F311" s="86"/>
      <c r="G311" s="84"/>
      <c r="H311" s="1">
        <v>1</v>
      </c>
      <c r="I311" s="1">
        <v>14</v>
      </c>
      <c r="R311" s="85"/>
    </row>
    <row r="312" spans="4:18" s="20" customFormat="1" ht="13.5" x14ac:dyDescent="0.4">
      <c r="D312" s="83"/>
      <c r="E312" s="86" t="s">
        <v>246</v>
      </c>
      <c r="F312" s="86"/>
      <c r="G312" s="84"/>
      <c r="H312" s="84" t="s">
        <v>237</v>
      </c>
      <c r="I312" s="84" t="s">
        <v>343</v>
      </c>
      <c r="R312" s="85"/>
    </row>
    <row r="313" spans="4:18" s="20" customFormat="1" ht="27" x14ac:dyDescent="0.4">
      <c r="D313" s="83"/>
      <c r="E313" s="84" t="s">
        <v>214</v>
      </c>
      <c r="F313" s="84"/>
      <c r="G313" s="84"/>
      <c r="H313" s="84" t="s">
        <v>247</v>
      </c>
      <c r="I313" s="84" t="s">
        <v>359</v>
      </c>
      <c r="R313" s="85"/>
    </row>
    <row r="314" spans="4:18" s="20" customFormat="1" ht="14.25" thickBot="1" x14ac:dyDescent="0.45">
      <c r="D314" s="104"/>
      <c r="E314" s="105"/>
      <c r="F314" s="105"/>
      <c r="G314" s="105"/>
      <c r="H314" s="105"/>
      <c r="I314" s="105"/>
      <c r="J314" s="107"/>
      <c r="K314" s="107"/>
      <c r="L314" s="107"/>
      <c r="M314" s="107"/>
      <c r="N314" s="107"/>
      <c r="O314" s="107"/>
      <c r="P314" s="107"/>
      <c r="Q314" s="107"/>
      <c r="R314" s="108"/>
    </row>
    <row r="315" spans="4:18" s="20" customFormat="1" ht="13.5" x14ac:dyDescent="0.4">
      <c r="D315" s="90" t="s">
        <v>257</v>
      </c>
      <c r="E315" s="100"/>
      <c r="F315" s="100"/>
      <c r="G315" s="100"/>
      <c r="H315" s="100"/>
      <c r="I315" s="100"/>
      <c r="J315" s="101"/>
      <c r="K315" s="101"/>
      <c r="L315" s="101"/>
      <c r="M315" s="101"/>
      <c r="N315" s="101"/>
      <c r="O315" s="101"/>
      <c r="P315" s="101"/>
      <c r="Q315" s="101"/>
      <c r="R315" s="102"/>
    </row>
    <row r="316" spans="4:18" s="20" customFormat="1" ht="13.5" x14ac:dyDescent="0.4">
      <c r="D316" s="113">
        <v>14</v>
      </c>
      <c r="E316" s="80" t="s">
        <v>360</v>
      </c>
      <c r="F316" s="80"/>
      <c r="G316" s="80"/>
      <c r="H316" s="1"/>
      <c r="I316" s="1"/>
      <c r="R316" s="85"/>
    </row>
    <row r="317" spans="4:18" s="20" customFormat="1" ht="13.5" x14ac:dyDescent="0.4">
      <c r="D317" s="114"/>
      <c r="E317" s="80"/>
      <c r="F317" s="80"/>
      <c r="G317" s="80"/>
      <c r="H317" s="1"/>
      <c r="I317" s="1"/>
      <c r="R317" s="85"/>
    </row>
    <row r="318" spans="4:18" s="1" customFormat="1" ht="13.5" x14ac:dyDescent="0.4">
      <c r="D318" s="83"/>
      <c r="E318" s="1" t="s">
        <v>248</v>
      </c>
      <c r="H318" s="1" t="str">
        <f>H320&amp;"円のマニュアル単品値引"</f>
        <v>50円のマニュアル単品値引</v>
      </c>
      <c r="I318" s="1" t="str">
        <f>I320&amp;"%のメガ割（自動）"</f>
        <v>10%のメガ割（自動）</v>
      </c>
      <c r="K318" s="20"/>
      <c r="L318" s="20"/>
      <c r="M318" s="20"/>
      <c r="N318" s="20"/>
      <c r="O318" s="20"/>
      <c r="P318" s="20"/>
      <c r="Q318" s="20"/>
      <c r="R318" s="109"/>
    </row>
    <row r="319" spans="4:18" s="20" customFormat="1" ht="13.5" x14ac:dyDescent="0.4">
      <c r="D319" s="83"/>
      <c r="E319" s="89"/>
      <c r="F319" s="89"/>
      <c r="G319" s="80"/>
      <c r="I319" s="1"/>
      <c r="R319" s="85"/>
    </row>
    <row r="320" spans="4:18" s="20" customFormat="1" ht="13.5" x14ac:dyDescent="0.4">
      <c r="D320" s="83"/>
      <c r="E320" s="89" t="s">
        <v>364</v>
      </c>
      <c r="F320" s="89"/>
      <c r="G320" s="1"/>
      <c r="H320" s="1">
        <v>50</v>
      </c>
      <c r="I320" s="1">
        <v>10</v>
      </c>
      <c r="R320" s="85"/>
    </row>
    <row r="321" spans="4:18" s="20" customFormat="1" ht="13.5" x14ac:dyDescent="0.4">
      <c r="D321" s="83"/>
      <c r="E321" s="1"/>
      <c r="F321" s="1"/>
      <c r="G321" s="1"/>
      <c r="H321" s="1"/>
      <c r="I321" s="1"/>
      <c r="R321" s="85"/>
    </row>
    <row r="322" spans="4:18" s="20" customFormat="1" ht="13.5" customHeight="1" x14ac:dyDescent="0.4">
      <c r="D322" s="83"/>
      <c r="E322" s="1"/>
      <c r="F322" s="1"/>
      <c r="G322" s="1"/>
      <c r="H322" s="1"/>
      <c r="I322" s="1"/>
      <c r="R322" s="85"/>
    </row>
    <row r="323" spans="4:18" s="20" customFormat="1" ht="13.5" customHeight="1" x14ac:dyDescent="0.4">
      <c r="D323" s="83"/>
      <c r="E323" s="1"/>
      <c r="F323" s="1"/>
      <c r="G323" s="142" t="s">
        <v>265</v>
      </c>
      <c r="H323" s="82" t="s">
        <v>266</v>
      </c>
      <c r="I323" s="1"/>
      <c r="R323" s="85"/>
    </row>
    <row r="324" spans="4:18" s="20" customFormat="1" ht="13.5" customHeight="1" x14ac:dyDescent="0.4">
      <c r="D324" s="83"/>
      <c r="E324" s="1"/>
      <c r="F324" s="1"/>
      <c r="G324" s="143"/>
      <c r="H324" s="145" t="s">
        <v>351</v>
      </c>
      <c r="I324" s="82" t="s">
        <v>349</v>
      </c>
      <c r="R324" s="85"/>
    </row>
    <row r="325" spans="4:18" s="20" customFormat="1" ht="13.5" customHeight="1" x14ac:dyDescent="0.4">
      <c r="D325" s="83"/>
      <c r="E325" s="1"/>
      <c r="F325" s="1"/>
      <c r="G325" s="143"/>
      <c r="H325" s="175"/>
      <c r="I325" s="147" t="s">
        <v>350</v>
      </c>
      <c r="R325" s="85"/>
    </row>
    <row r="326" spans="4:18" s="20" customFormat="1" ht="13.5" customHeight="1" x14ac:dyDescent="0.4">
      <c r="D326" s="83"/>
      <c r="E326" s="1"/>
      <c r="F326" s="1"/>
      <c r="G326" s="143"/>
      <c r="H326" s="175"/>
      <c r="I326" s="153"/>
      <c r="R326" s="85"/>
    </row>
    <row r="327" spans="4:18" s="20" customFormat="1" ht="13.5" customHeight="1" x14ac:dyDescent="0.4">
      <c r="D327" s="83"/>
      <c r="E327" s="1"/>
      <c r="F327" s="1"/>
      <c r="G327" s="143"/>
      <c r="H327" s="175"/>
      <c r="I327" s="153"/>
      <c r="R327" s="85"/>
    </row>
    <row r="328" spans="4:18" s="20" customFormat="1" ht="13.5" customHeight="1" x14ac:dyDescent="0.4">
      <c r="D328" s="83"/>
      <c r="E328" s="1"/>
      <c r="F328" s="1"/>
      <c r="G328" s="144"/>
      <c r="H328" s="176"/>
      <c r="I328" s="153"/>
      <c r="R328" s="85"/>
    </row>
    <row r="329" spans="4:18" s="20" customFormat="1" ht="13.5" x14ac:dyDescent="0.4">
      <c r="D329" s="83"/>
      <c r="E329" s="84" t="s">
        <v>214</v>
      </c>
      <c r="F329" s="84"/>
      <c r="G329" s="84"/>
      <c r="H329" s="79">
        <v>50</v>
      </c>
      <c r="I329" s="79">
        <v>25</v>
      </c>
      <c r="R329" s="85"/>
    </row>
    <row r="330" spans="4:18" s="20" customFormat="1" x14ac:dyDescent="0.4">
      <c r="D330" s="83"/>
      <c r="E330" s="84" t="s">
        <v>242</v>
      </c>
      <c r="F330" s="84"/>
      <c r="G330" s="84"/>
      <c r="H330" s="141">
        <v>225</v>
      </c>
      <c r="I330" s="165"/>
      <c r="R330" s="85"/>
    </row>
    <row r="331" spans="4:18" s="20" customFormat="1" ht="13.5" x14ac:dyDescent="0.4">
      <c r="D331" s="83"/>
      <c r="E331" s="84"/>
      <c r="F331" s="84"/>
      <c r="G331" s="84"/>
      <c r="H331" s="1"/>
      <c r="I331" s="1"/>
      <c r="R331" s="85"/>
    </row>
    <row r="332" spans="4:18" s="20" customFormat="1" ht="13.5" x14ac:dyDescent="0.4">
      <c r="D332" s="83"/>
      <c r="E332" s="84" t="s">
        <v>243</v>
      </c>
      <c r="F332" s="84"/>
      <c r="G332" s="84"/>
      <c r="H332" s="1"/>
      <c r="I332" s="1"/>
      <c r="R332" s="85"/>
    </row>
    <row r="333" spans="4:18" s="20" customFormat="1" ht="13.5" x14ac:dyDescent="0.4">
      <c r="D333" s="83"/>
      <c r="E333" s="86" t="s">
        <v>244</v>
      </c>
      <c r="F333" s="86"/>
      <c r="G333" s="84"/>
      <c r="H333" s="1">
        <v>91220</v>
      </c>
      <c r="I333" s="1">
        <v>91440</v>
      </c>
      <c r="R333" s="85"/>
    </row>
    <row r="334" spans="4:18" s="20" customFormat="1" ht="13.5" x14ac:dyDescent="0.4">
      <c r="D334" s="83"/>
      <c r="E334" s="86" t="s">
        <v>245</v>
      </c>
      <c r="F334" s="86"/>
      <c r="G334" s="84"/>
      <c r="H334" s="1">
        <v>1</v>
      </c>
      <c r="I334" s="1">
        <v>14</v>
      </c>
      <c r="R334" s="85"/>
    </row>
    <row r="335" spans="4:18" s="20" customFormat="1" ht="13.5" x14ac:dyDescent="0.4">
      <c r="D335" s="83"/>
      <c r="E335" s="86" t="s">
        <v>246</v>
      </c>
      <c r="F335" s="86"/>
      <c r="G335" s="84"/>
      <c r="H335" s="84" t="s">
        <v>237</v>
      </c>
      <c r="I335" s="84" t="s">
        <v>343</v>
      </c>
      <c r="R335" s="85"/>
    </row>
    <row r="336" spans="4:18" s="20" customFormat="1" ht="27" x14ac:dyDescent="0.4">
      <c r="D336" s="83"/>
      <c r="E336" s="84" t="s">
        <v>214</v>
      </c>
      <c r="F336" s="84"/>
      <c r="G336" s="84"/>
      <c r="H336" s="84" t="s">
        <v>247</v>
      </c>
      <c r="I336" s="84" t="s">
        <v>365</v>
      </c>
      <c r="R336" s="85"/>
    </row>
    <row r="337" spans="4:18" s="20" customFormat="1" ht="14.25" thickBot="1" x14ac:dyDescent="0.45">
      <c r="D337" s="104"/>
      <c r="E337" s="105"/>
      <c r="F337" s="105"/>
      <c r="G337" s="105"/>
      <c r="H337" s="105"/>
      <c r="I337" s="105"/>
      <c r="J337" s="107"/>
      <c r="K337" s="107"/>
      <c r="L337" s="107"/>
      <c r="M337" s="107"/>
      <c r="N337" s="107"/>
      <c r="O337" s="107"/>
      <c r="P337" s="107"/>
      <c r="Q337" s="107"/>
      <c r="R337" s="108"/>
    </row>
    <row r="338" spans="4:18" s="20" customFormat="1" ht="13.5" x14ac:dyDescent="0.4">
      <c r="D338" s="90" t="s">
        <v>257</v>
      </c>
      <c r="E338" s="100"/>
      <c r="F338" s="100"/>
      <c r="G338" s="100"/>
      <c r="H338" s="100"/>
      <c r="I338" s="100"/>
      <c r="J338" s="101"/>
      <c r="K338" s="101"/>
      <c r="L338" s="101"/>
      <c r="M338" s="101"/>
      <c r="N338" s="101"/>
      <c r="O338" s="101"/>
      <c r="P338" s="101"/>
      <c r="Q338" s="101"/>
      <c r="R338" s="102"/>
    </row>
    <row r="339" spans="4:18" s="20" customFormat="1" ht="13.5" x14ac:dyDescent="0.4">
      <c r="D339" s="113">
        <v>15</v>
      </c>
      <c r="E339" s="80" t="s">
        <v>362</v>
      </c>
      <c r="F339" s="80"/>
      <c r="G339" s="80"/>
      <c r="H339" s="1"/>
      <c r="I339" s="1"/>
      <c r="R339" s="85"/>
    </row>
    <row r="340" spans="4:18" s="20" customFormat="1" ht="13.5" x14ac:dyDescent="0.4">
      <c r="D340" s="114"/>
      <c r="E340" s="80"/>
      <c r="F340" s="80"/>
      <c r="G340" s="80"/>
      <c r="H340" s="1"/>
      <c r="I340" s="1"/>
      <c r="R340" s="85"/>
    </row>
    <row r="341" spans="4:18" s="1" customFormat="1" ht="13.5" x14ac:dyDescent="0.4">
      <c r="D341" s="83"/>
      <c r="E341" s="1" t="s">
        <v>248</v>
      </c>
      <c r="H341" s="1" t="str">
        <f>H343&amp;"円のマニュアル単品値引"</f>
        <v>50円のマニュアル単品値引</v>
      </c>
      <c r="I341" s="1" t="str">
        <f>I343&amp;"%のクレジット割（自動）"</f>
        <v>10%のクレジット割（自動）</v>
      </c>
      <c r="K341" s="20"/>
      <c r="L341" s="20"/>
      <c r="M341" s="20"/>
      <c r="N341" s="20"/>
      <c r="O341" s="20"/>
      <c r="P341" s="20"/>
      <c r="Q341" s="20"/>
      <c r="R341" s="109"/>
    </row>
    <row r="342" spans="4:18" s="20" customFormat="1" ht="13.5" x14ac:dyDescent="0.4">
      <c r="D342" s="83"/>
      <c r="E342" s="89"/>
      <c r="F342" s="89"/>
      <c r="G342" s="80"/>
      <c r="I342" s="1"/>
      <c r="R342" s="85"/>
    </row>
    <row r="343" spans="4:18" s="20" customFormat="1" ht="13.5" x14ac:dyDescent="0.4">
      <c r="D343" s="83"/>
      <c r="E343" s="89" t="s">
        <v>366</v>
      </c>
      <c r="F343" s="89"/>
      <c r="G343" s="1"/>
      <c r="H343" s="1">
        <v>50</v>
      </c>
      <c r="I343" s="1">
        <v>10</v>
      </c>
      <c r="R343" s="85"/>
    </row>
    <row r="344" spans="4:18" s="20" customFormat="1" ht="13.5" x14ac:dyDescent="0.4">
      <c r="D344" s="83"/>
      <c r="E344" s="1"/>
      <c r="F344" s="1"/>
      <c r="G344" s="1"/>
      <c r="H344" s="1"/>
      <c r="I344" s="1"/>
      <c r="R344" s="85"/>
    </row>
    <row r="345" spans="4:18" s="20" customFormat="1" ht="13.5" customHeight="1" x14ac:dyDescent="0.4">
      <c r="D345" s="83"/>
      <c r="E345" s="1"/>
      <c r="F345" s="1"/>
      <c r="G345" s="1"/>
      <c r="H345" s="1"/>
      <c r="I345" s="1"/>
      <c r="R345" s="85"/>
    </row>
    <row r="346" spans="4:18" s="20" customFormat="1" ht="13.5" customHeight="1" x14ac:dyDescent="0.4">
      <c r="D346" s="83"/>
      <c r="E346" s="1"/>
      <c r="F346" s="1"/>
      <c r="G346" s="142" t="s">
        <v>265</v>
      </c>
      <c r="H346" s="82" t="s">
        <v>266</v>
      </c>
      <c r="I346" s="1"/>
      <c r="R346" s="85"/>
    </row>
    <row r="347" spans="4:18" s="20" customFormat="1" ht="13.5" customHeight="1" x14ac:dyDescent="0.4">
      <c r="D347" s="83"/>
      <c r="E347" s="1"/>
      <c r="F347" s="1"/>
      <c r="G347" s="143"/>
      <c r="H347" s="145" t="s">
        <v>351</v>
      </c>
      <c r="I347" s="82" t="s">
        <v>349</v>
      </c>
      <c r="R347" s="85"/>
    </row>
    <row r="348" spans="4:18" s="20" customFormat="1" ht="13.5" customHeight="1" x14ac:dyDescent="0.4">
      <c r="D348" s="83"/>
      <c r="E348" s="1"/>
      <c r="F348" s="1"/>
      <c r="G348" s="143"/>
      <c r="H348" s="175"/>
      <c r="I348" s="147" t="s">
        <v>350</v>
      </c>
      <c r="R348" s="85"/>
    </row>
    <row r="349" spans="4:18" s="20" customFormat="1" ht="13.5" customHeight="1" x14ac:dyDescent="0.4">
      <c r="D349" s="83"/>
      <c r="E349" s="1"/>
      <c r="F349" s="1"/>
      <c r="G349" s="143"/>
      <c r="H349" s="175"/>
      <c r="I349" s="153"/>
      <c r="R349" s="85"/>
    </row>
    <row r="350" spans="4:18" s="20" customFormat="1" ht="13.5" customHeight="1" x14ac:dyDescent="0.4">
      <c r="D350" s="83"/>
      <c r="E350" s="1"/>
      <c r="F350" s="1"/>
      <c r="G350" s="143"/>
      <c r="H350" s="175"/>
      <c r="I350" s="153"/>
      <c r="R350" s="85"/>
    </row>
    <row r="351" spans="4:18" s="20" customFormat="1" ht="13.5" customHeight="1" x14ac:dyDescent="0.4">
      <c r="D351" s="83"/>
      <c r="E351" s="1"/>
      <c r="F351" s="1"/>
      <c r="G351" s="144"/>
      <c r="H351" s="176"/>
      <c r="I351" s="153"/>
      <c r="R351" s="85"/>
    </row>
    <row r="352" spans="4:18" s="20" customFormat="1" ht="13.5" x14ac:dyDescent="0.4">
      <c r="D352" s="83"/>
      <c r="E352" s="84" t="s">
        <v>214</v>
      </c>
      <c r="F352" s="84"/>
      <c r="G352" s="84"/>
      <c r="H352" s="79">
        <v>50</v>
      </c>
      <c r="I352" s="79">
        <v>25</v>
      </c>
      <c r="R352" s="85"/>
    </row>
    <row r="353" spans="4:18" s="20" customFormat="1" x14ac:dyDescent="0.4">
      <c r="D353" s="83"/>
      <c r="E353" s="84" t="s">
        <v>242</v>
      </c>
      <c r="F353" s="84"/>
      <c r="G353" s="84"/>
      <c r="H353" s="141">
        <v>225</v>
      </c>
      <c r="I353" s="165"/>
      <c r="R353" s="85"/>
    </row>
    <row r="354" spans="4:18" s="20" customFormat="1" ht="13.5" x14ac:dyDescent="0.4">
      <c r="D354" s="83"/>
      <c r="E354" s="84"/>
      <c r="F354" s="84"/>
      <c r="G354" s="84"/>
      <c r="H354" s="1"/>
      <c r="I354" s="1"/>
      <c r="R354" s="85"/>
    </row>
    <row r="355" spans="4:18" s="20" customFormat="1" ht="13.5" x14ac:dyDescent="0.4">
      <c r="D355" s="83"/>
      <c r="E355" s="84" t="s">
        <v>243</v>
      </c>
      <c r="F355" s="84"/>
      <c r="G355" s="84"/>
      <c r="H355" s="1"/>
      <c r="I355" s="1"/>
      <c r="R355" s="85"/>
    </row>
    <row r="356" spans="4:18" s="20" customFormat="1" ht="13.5" x14ac:dyDescent="0.4">
      <c r="D356" s="83"/>
      <c r="E356" s="86" t="s">
        <v>244</v>
      </c>
      <c r="F356" s="86"/>
      <c r="G356" s="84"/>
      <c r="H356" s="1">
        <v>91220</v>
      </c>
      <c r="I356" s="1">
        <v>91440</v>
      </c>
      <c r="R356" s="85"/>
    </row>
    <row r="357" spans="4:18" s="20" customFormat="1" ht="13.5" x14ac:dyDescent="0.4">
      <c r="D357" s="83"/>
      <c r="E357" s="86" t="s">
        <v>245</v>
      </c>
      <c r="F357" s="86"/>
      <c r="G357" s="84"/>
      <c r="H357" s="1">
        <v>1</v>
      </c>
      <c r="I357" s="1">
        <v>14</v>
      </c>
      <c r="R357" s="85"/>
    </row>
    <row r="358" spans="4:18" s="20" customFormat="1" ht="13.5" x14ac:dyDescent="0.4">
      <c r="D358" s="83"/>
      <c r="E358" s="86" t="s">
        <v>246</v>
      </c>
      <c r="F358" s="86"/>
      <c r="G358" s="84"/>
      <c r="H358" s="84" t="s">
        <v>237</v>
      </c>
      <c r="I358" s="84" t="s">
        <v>343</v>
      </c>
      <c r="R358" s="85"/>
    </row>
    <row r="359" spans="4:18" s="20" customFormat="1" ht="27" x14ac:dyDescent="0.4">
      <c r="D359" s="83"/>
      <c r="E359" s="84" t="s">
        <v>214</v>
      </c>
      <c r="F359" s="84"/>
      <c r="G359" s="84"/>
      <c r="H359" s="84" t="s">
        <v>247</v>
      </c>
      <c r="I359" s="84" t="s">
        <v>367</v>
      </c>
      <c r="R359" s="85"/>
    </row>
    <row r="360" spans="4:18" s="20" customFormat="1" ht="14.25" thickBot="1" x14ac:dyDescent="0.45">
      <c r="D360" s="104"/>
      <c r="E360" s="105"/>
      <c r="F360" s="105"/>
      <c r="G360" s="105"/>
      <c r="H360" s="105"/>
      <c r="I360" s="105"/>
      <c r="J360" s="107"/>
      <c r="K360" s="107"/>
      <c r="L360" s="107"/>
      <c r="M360" s="107"/>
      <c r="N360" s="107"/>
      <c r="O360" s="107"/>
      <c r="P360" s="107"/>
      <c r="Q360" s="107"/>
      <c r="R360" s="108"/>
    </row>
  </sheetData>
  <mergeCells count="105">
    <mergeCell ref="H330:I330"/>
    <mergeCell ref="G346:G351"/>
    <mergeCell ref="H347:H351"/>
    <mergeCell ref="I348:I351"/>
    <mergeCell ref="H353:I353"/>
    <mergeCell ref="G300:G305"/>
    <mergeCell ref="H301:H305"/>
    <mergeCell ref="I302:I305"/>
    <mergeCell ref="H307:I307"/>
    <mergeCell ref="G323:G328"/>
    <mergeCell ref="H324:H328"/>
    <mergeCell ref="I325:I328"/>
    <mergeCell ref="G277:G282"/>
    <mergeCell ref="H278:H282"/>
    <mergeCell ref="I279:I282"/>
    <mergeCell ref="H284:I284"/>
    <mergeCell ref="H261:I261"/>
    <mergeCell ref="H255:H259"/>
    <mergeCell ref="I256:I259"/>
    <mergeCell ref="G231:G236"/>
    <mergeCell ref="H232:H236"/>
    <mergeCell ref="I233:I236"/>
    <mergeCell ref="H238:I238"/>
    <mergeCell ref="G254:G259"/>
    <mergeCell ref="H215:I215"/>
    <mergeCell ref="H209:H213"/>
    <mergeCell ref="I210:I213"/>
    <mergeCell ref="G208:G213"/>
    <mergeCell ref="H195:I195"/>
    <mergeCell ref="H196:I196"/>
    <mergeCell ref="H197:I197"/>
    <mergeCell ref="H198:I198"/>
    <mergeCell ref="L195:L198"/>
    <mergeCell ref="P195:P198"/>
    <mergeCell ref="Q185:Q190"/>
    <mergeCell ref="M186:M190"/>
    <mergeCell ref="H192:I192"/>
    <mergeCell ref="L192:M192"/>
    <mergeCell ref="P192:Q192"/>
    <mergeCell ref="H186:H190"/>
    <mergeCell ref="I187:I190"/>
    <mergeCell ref="H171:H174"/>
    <mergeCell ref="P184:P190"/>
    <mergeCell ref="G185:G190"/>
    <mergeCell ref="K185:K190"/>
    <mergeCell ref="L185:L190"/>
    <mergeCell ref="O185:O190"/>
    <mergeCell ref="H147:H150"/>
    <mergeCell ref="H137:H142"/>
    <mergeCell ref="G161:G166"/>
    <mergeCell ref="H161:H166"/>
    <mergeCell ref="I162:I166"/>
    <mergeCell ref="H168:I168"/>
    <mergeCell ref="H144:I144"/>
    <mergeCell ref="I138:I142"/>
    <mergeCell ref="G137:G142"/>
    <mergeCell ref="L123:L126"/>
    <mergeCell ref="Q114:Q118"/>
    <mergeCell ref="P112:P118"/>
    <mergeCell ref="P123:P126"/>
    <mergeCell ref="H115:H118"/>
    <mergeCell ref="H120:I120"/>
    <mergeCell ref="L120:M120"/>
    <mergeCell ref="P120:Q120"/>
    <mergeCell ref="H113:H114"/>
    <mergeCell ref="I116:I118"/>
    <mergeCell ref="H95:I95"/>
    <mergeCell ref="G113:G118"/>
    <mergeCell ref="K113:K118"/>
    <mergeCell ref="O113:O118"/>
    <mergeCell ref="G88:G93"/>
    <mergeCell ref="H89:H93"/>
    <mergeCell ref="I90:I93"/>
    <mergeCell ref="Q64:Q68"/>
    <mergeCell ref="I65:I68"/>
    <mergeCell ref="H70:I70"/>
    <mergeCell ref="L70:M70"/>
    <mergeCell ref="P70:Q70"/>
    <mergeCell ref="P73:P76"/>
    <mergeCell ref="G63:G68"/>
    <mergeCell ref="K63:K68"/>
    <mergeCell ref="L63:L68"/>
    <mergeCell ref="O63:O68"/>
    <mergeCell ref="P63:P68"/>
    <mergeCell ref="H64:H68"/>
    <mergeCell ref="M64:M68"/>
    <mergeCell ref="L113:L118"/>
    <mergeCell ref="M114:M118"/>
    <mergeCell ref="I40:I43"/>
    <mergeCell ref="H45:I45"/>
    <mergeCell ref="G38:G43"/>
    <mergeCell ref="H39:H43"/>
    <mergeCell ref="H14:H18"/>
    <mergeCell ref="I15:I18"/>
    <mergeCell ref="L13:L18"/>
    <mergeCell ref="M14:M18"/>
    <mergeCell ref="Q14:Q18"/>
    <mergeCell ref="H20:I20"/>
    <mergeCell ref="L20:M20"/>
    <mergeCell ref="P20:Q20"/>
    <mergeCell ref="P23:P26"/>
    <mergeCell ref="G13:G18"/>
    <mergeCell ref="K13:K18"/>
    <mergeCell ref="O13:O18"/>
    <mergeCell ref="P13:P18"/>
  </mergeCells>
  <phoneticPr fontId="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4"/>
  <sheetViews>
    <sheetView zoomScale="70" zoomScaleNormal="70" workbookViewId="0">
      <pane xSplit="8" ySplit="1" topLeftCell="I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80.375" defaultRowHeight="18.75" outlineLevelCol="2" x14ac:dyDescent="0.4"/>
  <cols>
    <col min="1" max="1" width="40.875" style="19" customWidth="1"/>
    <col min="2" max="2" width="5.25" style="19" bestFit="1" customWidth="1"/>
    <col min="3" max="3" width="10.125" style="19" customWidth="1" outlineLevel="1"/>
    <col min="4" max="4" width="8.5" style="19" hidden="1" customWidth="1" outlineLevel="2"/>
    <col min="5" max="5" width="6.25" style="19" hidden="1" customWidth="1" outlineLevel="2"/>
    <col min="6" max="6" width="24.25" style="19" hidden="1" customWidth="1" outlineLevel="2"/>
    <col min="7" max="7" width="10.875" style="19" hidden="1" customWidth="1" outlineLevel="2"/>
    <col min="8" max="8" width="52.875" style="19" customWidth="1" outlineLevel="1" collapsed="1"/>
    <col min="9" max="9" width="33.75" style="19" customWidth="1" outlineLevel="1"/>
    <col min="10" max="11" width="15" style="19" bestFit="1" customWidth="1"/>
    <col min="12" max="12" width="11.375" style="19" bestFit="1" customWidth="1"/>
    <col min="13" max="13" width="16.25" style="19" bestFit="1" customWidth="1"/>
    <col min="14" max="14" width="13" style="19" bestFit="1" customWidth="1"/>
    <col min="15" max="15" width="19.375" style="19" bestFit="1" customWidth="1"/>
    <col min="16" max="16" width="13.125" style="19" customWidth="1"/>
    <col min="17" max="17" width="9" style="19" bestFit="1" customWidth="1"/>
    <col min="18" max="18" width="11" style="19" hidden="1" customWidth="1" outlineLevel="1"/>
    <col min="19" max="20" width="13" style="19" hidden="1" customWidth="1" outlineLevel="1"/>
    <col min="21" max="21" width="9.875" style="19" hidden="1" customWidth="1" outlineLevel="1"/>
    <col min="22" max="22" width="9.875" style="19" bestFit="1" customWidth="1" collapsed="1"/>
    <col min="23" max="23" width="9" style="19" bestFit="1" customWidth="1"/>
    <col min="24" max="24" width="7.125" style="19" bestFit="1" customWidth="1"/>
    <col min="25" max="25" width="9" style="19" bestFit="1" customWidth="1"/>
    <col min="26" max="26" width="25.625" style="19" bestFit="1" customWidth="1"/>
    <col min="27" max="27" width="26" style="19" bestFit="1" customWidth="1"/>
    <col min="28" max="16384" width="80.375" style="19"/>
  </cols>
  <sheetData>
    <row r="1" spans="1:27" x14ac:dyDescent="0.15">
      <c r="B1" s="18" t="s">
        <v>113</v>
      </c>
      <c r="C1" s="18" t="s">
        <v>114</v>
      </c>
      <c r="D1" s="18" t="s">
        <v>115</v>
      </c>
      <c r="E1" s="18" t="s">
        <v>116</v>
      </c>
      <c r="F1" s="18" t="s">
        <v>117</v>
      </c>
      <c r="G1" s="18" t="s">
        <v>118</v>
      </c>
      <c r="H1" s="18" t="s">
        <v>119</v>
      </c>
      <c r="I1" s="18" t="s">
        <v>120</v>
      </c>
      <c r="J1" s="18" t="s">
        <v>121</v>
      </c>
      <c r="K1" s="18" t="s">
        <v>122</v>
      </c>
      <c r="L1" s="18" t="s">
        <v>123</v>
      </c>
      <c r="M1" s="18" t="s">
        <v>124</v>
      </c>
      <c r="N1" s="18" t="s">
        <v>125</v>
      </c>
      <c r="O1" s="18" t="s">
        <v>126</v>
      </c>
      <c r="P1" s="18" t="s">
        <v>127</v>
      </c>
      <c r="Q1" s="18" t="s">
        <v>128</v>
      </c>
      <c r="R1" s="18" t="s">
        <v>129</v>
      </c>
      <c r="S1" s="18" t="s">
        <v>130</v>
      </c>
      <c r="T1" s="18" t="s">
        <v>131</v>
      </c>
      <c r="U1" s="18" t="s">
        <v>132</v>
      </c>
      <c r="V1" s="18" t="s">
        <v>133</v>
      </c>
      <c r="W1" s="18" t="s">
        <v>134</v>
      </c>
      <c r="X1" s="18" t="s">
        <v>135</v>
      </c>
      <c r="Y1" s="18" t="s">
        <v>136</v>
      </c>
      <c r="Z1" s="18" t="s">
        <v>137</v>
      </c>
      <c r="AA1" s="18" t="s">
        <v>138</v>
      </c>
    </row>
    <row r="2" spans="1:27" x14ac:dyDescent="0.15">
      <c r="A2" s="115" t="s">
        <v>380</v>
      </c>
      <c r="B2" s="16">
        <v>1</v>
      </c>
      <c r="C2" s="17" t="s">
        <v>139</v>
      </c>
      <c r="D2" s="17" t="s">
        <v>10</v>
      </c>
      <c r="E2" s="17" t="s">
        <v>25</v>
      </c>
      <c r="F2" s="17" t="s">
        <v>14</v>
      </c>
      <c r="G2" s="17" t="s">
        <v>140</v>
      </c>
      <c r="H2" s="17" t="s">
        <v>368</v>
      </c>
      <c r="I2" s="17" t="s">
        <v>58</v>
      </c>
      <c r="J2" s="17" t="s">
        <v>59</v>
      </c>
      <c r="K2" s="17" t="s">
        <v>141</v>
      </c>
      <c r="L2" s="17" t="s">
        <v>142</v>
      </c>
      <c r="M2" s="17" t="s">
        <v>140</v>
      </c>
      <c r="N2" s="17" t="s">
        <v>140</v>
      </c>
      <c r="O2" s="17" t="s">
        <v>140</v>
      </c>
      <c r="P2" s="17" t="s">
        <v>140</v>
      </c>
      <c r="Q2" s="17" t="s">
        <v>143</v>
      </c>
      <c r="R2" s="17" t="s">
        <v>144</v>
      </c>
      <c r="S2" s="17" t="s">
        <v>145</v>
      </c>
      <c r="T2" s="17" t="s">
        <v>144</v>
      </c>
      <c r="U2" s="17" t="s">
        <v>140</v>
      </c>
      <c r="V2" s="17" t="s">
        <v>146</v>
      </c>
      <c r="W2" s="17" t="s">
        <v>144</v>
      </c>
      <c r="X2" s="17" t="s">
        <v>145</v>
      </c>
      <c r="Y2" s="17" t="s">
        <v>144</v>
      </c>
      <c r="Z2" s="17" t="s">
        <v>147</v>
      </c>
      <c r="AA2" s="17" t="s">
        <v>148</v>
      </c>
    </row>
    <row r="3" spans="1:27" x14ac:dyDescent="0.15">
      <c r="A3" s="115" t="s">
        <v>380</v>
      </c>
      <c r="B3" s="16">
        <v>1</v>
      </c>
      <c r="C3" s="17" t="s">
        <v>139</v>
      </c>
      <c r="D3" s="17" t="s">
        <v>10</v>
      </c>
      <c r="E3" s="17" t="s">
        <v>25</v>
      </c>
      <c r="F3" s="17" t="s">
        <v>14</v>
      </c>
      <c r="G3" s="17" t="s">
        <v>140</v>
      </c>
      <c r="H3" s="17" t="s">
        <v>368</v>
      </c>
      <c r="I3" s="17" t="s">
        <v>58</v>
      </c>
      <c r="J3" s="17" t="s">
        <v>59</v>
      </c>
      <c r="K3" s="17" t="s">
        <v>141</v>
      </c>
      <c r="L3" s="17" t="s">
        <v>142</v>
      </c>
      <c r="M3" s="17" t="s">
        <v>140</v>
      </c>
      <c r="N3" s="17" t="s">
        <v>140</v>
      </c>
      <c r="O3" s="17" t="s">
        <v>140</v>
      </c>
      <c r="P3" s="17" t="s">
        <v>140</v>
      </c>
      <c r="Q3" s="17" t="s">
        <v>143</v>
      </c>
      <c r="R3" s="17" t="s">
        <v>144</v>
      </c>
      <c r="S3" s="17" t="s">
        <v>145</v>
      </c>
      <c r="T3" s="17" t="s">
        <v>144</v>
      </c>
      <c r="U3" s="17" t="s">
        <v>149</v>
      </c>
      <c r="V3" s="17" t="s">
        <v>150</v>
      </c>
      <c r="W3" s="17" t="s">
        <v>151</v>
      </c>
      <c r="X3" s="17" t="s">
        <v>145</v>
      </c>
      <c r="Y3" s="17" t="s">
        <v>144</v>
      </c>
      <c r="Z3" s="17" t="s">
        <v>196</v>
      </c>
      <c r="AA3" s="17" t="s">
        <v>153</v>
      </c>
    </row>
    <row r="4" spans="1:27" x14ac:dyDescent="0.15">
      <c r="A4" s="115" t="s">
        <v>380</v>
      </c>
      <c r="B4" s="16">
        <v>2</v>
      </c>
      <c r="C4" s="17" t="s">
        <v>139</v>
      </c>
      <c r="D4" s="17" t="s">
        <v>8</v>
      </c>
      <c r="E4" s="17" t="s">
        <v>25</v>
      </c>
      <c r="F4" s="17" t="s">
        <v>14</v>
      </c>
      <c r="G4" s="17" t="s">
        <v>140</v>
      </c>
      <c r="H4" s="17" t="s">
        <v>369</v>
      </c>
      <c r="I4" s="17" t="s">
        <v>60</v>
      </c>
      <c r="J4" s="17" t="s">
        <v>61</v>
      </c>
      <c r="K4" s="17" t="s">
        <v>141</v>
      </c>
      <c r="L4" s="17" t="s">
        <v>141</v>
      </c>
      <c r="M4" s="17" t="s">
        <v>140</v>
      </c>
      <c r="N4" s="17" t="s">
        <v>140</v>
      </c>
      <c r="O4" s="17" t="s">
        <v>140</v>
      </c>
      <c r="P4" s="17" t="s">
        <v>140</v>
      </c>
      <c r="Q4" s="17" t="s">
        <v>142</v>
      </c>
      <c r="R4" s="17" t="s">
        <v>144</v>
      </c>
      <c r="S4" s="17" t="s">
        <v>145</v>
      </c>
      <c r="T4" s="17" t="s">
        <v>144</v>
      </c>
      <c r="U4" s="17" t="s">
        <v>140</v>
      </c>
      <c r="V4" s="17" t="s">
        <v>146</v>
      </c>
      <c r="W4" s="17" t="s">
        <v>144</v>
      </c>
      <c r="X4" s="17" t="s">
        <v>145</v>
      </c>
      <c r="Y4" s="17" t="s">
        <v>144</v>
      </c>
      <c r="Z4" s="17" t="s">
        <v>147</v>
      </c>
      <c r="AA4" s="17" t="s">
        <v>148</v>
      </c>
    </row>
    <row r="5" spans="1:27" x14ac:dyDescent="0.15">
      <c r="A5" s="115" t="s">
        <v>380</v>
      </c>
      <c r="B5" s="16">
        <v>2</v>
      </c>
      <c r="C5" s="17" t="s">
        <v>139</v>
      </c>
      <c r="D5" s="17" t="s">
        <v>8</v>
      </c>
      <c r="E5" s="17" t="s">
        <v>25</v>
      </c>
      <c r="F5" s="17" t="s">
        <v>14</v>
      </c>
      <c r="G5" s="17" t="s">
        <v>140</v>
      </c>
      <c r="H5" s="17" t="s">
        <v>369</v>
      </c>
      <c r="I5" s="17" t="s">
        <v>60</v>
      </c>
      <c r="J5" s="17" t="s">
        <v>61</v>
      </c>
      <c r="K5" s="17" t="s">
        <v>141</v>
      </c>
      <c r="L5" s="17" t="s">
        <v>141</v>
      </c>
      <c r="M5" s="17" t="s">
        <v>140</v>
      </c>
      <c r="N5" s="17" t="s">
        <v>140</v>
      </c>
      <c r="O5" s="17" t="s">
        <v>140</v>
      </c>
      <c r="P5" s="17" t="s">
        <v>140</v>
      </c>
      <c r="Q5" s="17" t="s">
        <v>142</v>
      </c>
      <c r="R5" s="17" t="s">
        <v>144</v>
      </c>
      <c r="S5" s="17" t="s">
        <v>145</v>
      </c>
      <c r="T5" s="17" t="s">
        <v>144</v>
      </c>
      <c r="U5" s="17" t="s">
        <v>149</v>
      </c>
      <c r="V5" s="17" t="s">
        <v>150</v>
      </c>
      <c r="W5" s="17" t="s">
        <v>151</v>
      </c>
      <c r="X5" s="17" t="s">
        <v>151</v>
      </c>
      <c r="Y5" s="17" t="s">
        <v>144</v>
      </c>
      <c r="Z5" s="17" t="s">
        <v>152</v>
      </c>
      <c r="AA5" s="17" t="s">
        <v>153</v>
      </c>
    </row>
    <row r="6" spans="1:27" x14ac:dyDescent="0.15">
      <c r="A6" s="115" t="s">
        <v>380</v>
      </c>
      <c r="B6" s="16">
        <v>3</v>
      </c>
      <c r="C6" s="17" t="s">
        <v>154</v>
      </c>
      <c r="D6" s="17" t="s">
        <v>5</v>
      </c>
      <c r="E6" s="17" t="s">
        <v>25</v>
      </c>
      <c r="F6" s="17" t="s">
        <v>14</v>
      </c>
      <c r="G6" s="17" t="s">
        <v>140</v>
      </c>
      <c r="H6" s="17" t="s">
        <v>376</v>
      </c>
      <c r="I6" s="17" t="s">
        <v>62</v>
      </c>
      <c r="J6" s="17" t="s">
        <v>63</v>
      </c>
      <c r="K6" s="17" t="s">
        <v>141</v>
      </c>
      <c r="L6" s="17" t="s">
        <v>155</v>
      </c>
      <c r="M6" s="17" t="s">
        <v>140</v>
      </c>
      <c r="N6" s="17" t="s">
        <v>140</v>
      </c>
      <c r="O6" s="17" t="s">
        <v>140</v>
      </c>
      <c r="P6" s="17" t="s">
        <v>140</v>
      </c>
      <c r="Q6" s="17" t="s">
        <v>143</v>
      </c>
      <c r="R6" s="17" t="s">
        <v>144</v>
      </c>
      <c r="S6" s="17" t="s">
        <v>156</v>
      </c>
      <c r="T6" s="17" t="s">
        <v>144</v>
      </c>
      <c r="U6" s="17" t="s">
        <v>140</v>
      </c>
      <c r="V6" s="17" t="s">
        <v>146</v>
      </c>
      <c r="W6" s="17" t="s">
        <v>144</v>
      </c>
      <c r="X6" s="17" t="s">
        <v>156</v>
      </c>
      <c r="Y6" s="17" t="s">
        <v>144</v>
      </c>
      <c r="Z6" s="17" t="s">
        <v>147</v>
      </c>
      <c r="AA6" s="17" t="s">
        <v>148</v>
      </c>
    </row>
    <row r="7" spans="1:27" x14ac:dyDescent="0.15">
      <c r="A7" s="115" t="s">
        <v>380</v>
      </c>
      <c r="B7" s="16">
        <v>4</v>
      </c>
      <c r="C7" s="17" t="s">
        <v>139</v>
      </c>
      <c r="D7" s="17" t="s">
        <v>5</v>
      </c>
      <c r="E7" s="17" t="s">
        <v>25</v>
      </c>
      <c r="F7" s="17" t="s">
        <v>14</v>
      </c>
      <c r="G7" s="17" t="s">
        <v>140</v>
      </c>
      <c r="H7" s="17" t="s">
        <v>377</v>
      </c>
      <c r="I7" s="17" t="s">
        <v>64</v>
      </c>
      <c r="J7" s="17" t="s">
        <v>65</v>
      </c>
      <c r="K7" s="17" t="s">
        <v>141</v>
      </c>
      <c r="L7" s="17" t="s">
        <v>155</v>
      </c>
      <c r="M7" s="17" t="s">
        <v>140</v>
      </c>
      <c r="N7" s="17" t="s">
        <v>140</v>
      </c>
      <c r="O7" s="17" t="s">
        <v>140</v>
      </c>
      <c r="P7" s="17" t="s">
        <v>140</v>
      </c>
      <c r="Q7" s="17" t="s">
        <v>142</v>
      </c>
      <c r="R7" s="17" t="s">
        <v>144</v>
      </c>
      <c r="S7" s="17" t="s">
        <v>145</v>
      </c>
      <c r="T7" s="17" t="s">
        <v>144</v>
      </c>
      <c r="U7" s="17" t="s">
        <v>140</v>
      </c>
      <c r="V7" s="17" t="s">
        <v>146</v>
      </c>
      <c r="W7" s="17" t="s">
        <v>144</v>
      </c>
      <c r="X7" s="17" t="s">
        <v>145</v>
      </c>
      <c r="Y7" s="17" t="s">
        <v>144</v>
      </c>
      <c r="Z7" s="17" t="s">
        <v>147</v>
      </c>
      <c r="AA7" s="17" t="s">
        <v>148</v>
      </c>
    </row>
    <row r="8" spans="1:27" x14ac:dyDescent="0.15">
      <c r="A8" s="115" t="s">
        <v>383</v>
      </c>
      <c r="B8" s="16">
        <v>5</v>
      </c>
      <c r="C8" s="17" t="s">
        <v>139</v>
      </c>
      <c r="D8" s="17" t="s">
        <v>10</v>
      </c>
      <c r="E8" s="17" t="s">
        <v>25</v>
      </c>
      <c r="F8" s="17" t="s">
        <v>157</v>
      </c>
      <c r="G8" s="17" t="s">
        <v>140</v>
      </c>
      <c r="H8" s="17" t="s">
        <v>370</v>
      </c>
      <c r="I8" s="17" t="s">
        <v>66</v>
      </c>
      <c r="J8" s="17" t="s">
        <v>67</v>
      </c>
      <c r="K8" s="17" t="s">
        <v>141</v>
      </c>
      <c r="L8" s="17" t="s">
        <v>158</v>
      </c>
      <c r="M8" s="17" t="s">
        <v>140</v>
      </c>
      <c r="N8" s="17" t="s">
        <v>140</v>
      </c>
      <c r="O8" s="17" t="s">
        <v>140</v>
      </c>
      <c r="P8" s="17" t="s">
        <v>140</v>
      </c>
      <c r="Q8" s="17" t="s">
        <v>143</v>
      </c>
      <c r="R8" s="17" t="s">
        <v>144</v>
      </c>
      <c r="S8" s="17" t="s">
        <v>145</v>
      </c>
      <c r="T8" s="17" t="s">
        <v>144</v>
      </c>
      <c r="U8" s="17" t="s">
        <v>140</v>
      </c>
      <c r="V8" s="17" t="s">
        <v>146</v>
      </c>
      <c r="W8" s="17" t="s">
        <v>144</v>
      </c>
      <c r="X8" s="17" t="s">
        <v>145</v>
      </c>
      <c r="Y8" s="17" t="s">
        <v>144</v>
      </c>
      <c r="Z8" s="17" t="s">
        <v>147</v>
      </c>
      <c r="AA8" s="17" t="s">
        <v>148</v>
      </c>
    </row>
    <row r="9" spans="1:27" x14ac:dyDescent="0.15">
      <c r="A9" s="115" t="s">
        <v>383</v>
      </c>
      <c r="B9" s="16">
        <v>5</v>
      </c>
      <c r="C9" s="17" t="s">
        <v>139</v>
      </c>
      <c r="D9" s="17" t="s">
        <v>10</v>
      </c>
      <c r="E9" s="17" t="s">
        <v>25</v>
      </c>
      <c r="F9" s="17" t="s">
        <v>157</v>
      </c>
      <c r="G9" s="17" t="s">
        <v>140</v>
      </c>
      <c r="H9" s="17" t="s">
        <v>370</v>
      </c>
      <c r="I9" s="17" t="s">
        <v>66</v>
      </c>
      <c r="J9" s="17" t="s">
        <v>67</v>
      </c>
      <c r="K9" s="17" t="s">
        <v>141</v>
      </c>
      <c r="L9" s="17" t="s">
        <v>158</v>
      </c>
      <c r="M9" s="17" t="s">
        <v>140</v>
      </c>
      <c r="N9" s="17" t="s">
        <v>140</v>
      </c>
      <c r="O9" s="17" t="s">
        <v>140</v>
      </c>
      <c r="P9" s="17" t="s">
        <v>140</v>
      </c>
      <c r="Q9" s="17" t="s">
        <v>143</v>
      </c>
      <c r="R9" s="17" t="s">
        <v>144</v>
      </c>
      <c r="S9" s="17" t="s">
        <v>145</v>
      </c>
      <c r="T9" s="17" t="s">
        <v>144</v>
      </c>
      <c r="U9" s="17" t="s">
        <v>149</v>
      </c>
      <c r="V9" s="17" t="s">
        <v>150</v>
      </c>
      <c r="W9" s="17" t="s">
        <v>151</v>
      </c>
      <c r="X9" s="17" t="s">
        <v>145</v>
      </c>
      <c r="Y9" s="17" t="s">
        <v>144</v>
      </c>
      <c r="Z9" s="17" t="s">
        <v>152</v>
      </c>
      <c r="AA9" s="17" t="s">
        <v>153</v>
      </c>
    </row>
    <row r="10" spans="1:27" x14ac:dyDescent="0.15">
      <c r="A10" s="116" t="s">
        <v>382</v>
      </c>
      <c r="B10" s="16">
        <v>6</v>
      </c>
      <c r="C10" s="17" t="s">
        <v>139</v>
      </c>
      <c r="D10" s="17" t="s">
        <v>10</v>
      </c>
      <c r="E10" s="17" t="s">
        <v>25</v>
      </c>
      <c r="F10" s="17" t="s">
        <v>159</v>
      </c>
      <c r="G10" s="17" t="s">
        <v>140</v>
      </c>
      <c r="H10" s="17" t="s">
        <v>381</v>
      </c>
      <c r="I10" s="17" t="s">
        <v>68</v>
      </c>
      <c r="J10" s="17" t="s">
        <v>69</v>
      </c>
      <c r="K10" s="17" t="s">
        <v>141</v>
      </c>
      <c r="L10" s="17" t="s">
        <v>145</v>
      </c>
      <c r="M10" s="17" t="s">
        <v>140</v>
      </c>
      <c r="N10" s="17" t="s">
        <v>140</v>
      </c>
      <c r="O10" s="17" t="s">
        <v>140</v>
      </c>
      <c r="P10" s="17" t="s">
        <v>140</v>
      </c>
      <c r="Q10" s="17" t="s">
        <v>143</v>
      </c>
      <c r="R10" s="17" t="s">
        <v>144</v>
      </c>
      <c r="S10" s="17" t="s">
        <v>145</v>
      </c>
      <c r="T10" s="17" t="s">
        <v>144</v>
      </c>
      <c r="U10" s="17" t="s">
        <v>140</v>
      </c>
      <c r="V10" s="17" t="s">
        <v>146</v>
      </c>
      <c r="W10" s="17" t="s">
        <v>144</v>
      </c>
      <c r="X10" s="17" t="s">
        <v>145</v>
      </c>
      <c r="Y10" s="17" t="s">
        <v>144</v>
      </c>
      <c r="Z10" s="17" t="s">
        <v>147</v>
      </c>
      <c r="AA10" s="17" t="s">
        <v>148</v>
      </c>
    </row>
    <row r="11" spans="1:27" x14ac:dyDescent="0.15">
      <c r="A11" s="116" t="s">
        <v>382</v>
      </c>
      <c r="B11" s="16">
        <v>6</v>
      </c>
      <c r="C11" s="17" t="s">
        <v>139</v>
      </c>
      <c r="D11" s="17" t="s">
        <v>10</v>
      </c>
      <c r="E11" s="17" t="s">
        <v>25</v>
      </c>
      <c r="F11" s="17" t="s">
        <v>159</v>
      </c>
      <c r="G11" s="17" t="s">
        <v>140</v>
      </c>
      <c r="H11" s="17" t="s">
        <v>381</v>
      </c>
      <c r="I11" s="17" t="s">
        <v>68</v>
      </c>
      <c r="J11" s="17" t="s">
        <v>69</v>
      </c>
      <c r="K11" s="17" t="s">
        <v>141</v>
      </c>
      <c r="L11" s="17" t="s">
        <v>145</v>
      </c>
      <c r="M11" s="17" t="s">
        <v>140</v>
      </c>
      <c r="N11" s="17" t="s">
        <v>140</v>
      </c>
      <c r="O11" s="17" t="s">
        <v>140</v>
      </c>
      <c r="P11" s="17" t="s">
        <v>140</v>
      </c>
      <c r="Q11" s="17" t="s">
        <v>143</v>
      </c>
      <c r="R11" s="17" t="s">
        <v>144</v>
      </c>
      <c r="S11" s="17" t="s">
        <v>145</v>
      </c>
      <c r="T11" s="17" t="s">
        <v>144</v>
      </c>
      <c r="U11" s="17" t="s">
        <v>149</v>
      </c>
      <c r="V11" s="17" t="s">
        <v>150</v>
      </c>
      <c r="W11" s="17" t="s">
        <v>151</v>
      </c>
      <c r="X11" s="17" t="s">
        <v>145</v>
      </c>
      <c r="Y11" s="17" t="s">
        <v>144</v>
      </c>
      <c r="Z11" s="17" t="s">
        <v>152</v>
      </c>
      <c r="AA11" s="17" t="s">
        <v>153</v>
      </c>
    </row>
    <row r="12" spans="1:27" x14ac:dyDescent="0.15">
      <c r="A12" s="115" t="s">
        <v>384</v>
      </c>
      <c r="B12" s="16">
        <v>7</v>
      </c>
      <c r="C12" s="17" t="s">
        <v>139</v>
      </c>
      <c r="D12" s="17" t="s">
        <v>10</v>
      </c>
      <c r="E12" s="17" t="s">
        <v>25</v>
      </c>
      <c r="F12" s="17" t="s">
        <v>13</v>
      </c>
      <c r="G12" s="17" t="s">
        <v>140</v>
      </c>
      <c r="H12" s="17" t="s">
        <v>371</v>
      </c>
      <c r="I12" s="17" t="s">
        <v>70</v>
      </c>
      <c r="J12" s="17" t="s">
        <v>71</v>
      </c>
      <c r="K12" s="17" t="s">
        <v>141</v>
      </c>
      <c r="L12" s="17" t="s">
        <v>142</v>
      </c>
      <c r="M12" s="17" t="s">
        <v>140</v>
      </c>
      <c r="N12" s="17" t="s">
        <v>140</v>
      </c>
      <c r="O12" s="17" t="s">
        <v>140</v>
      </c>
      <c r="P12" s="17" t="s">
        <v>140</v>
      </c>
      <c r="Q12" s="17" t="s">
        <v>143</v>
      </c>
      <c r="R12" s="17" t="s">
        <v>144</v>
      </c>
      <c r="S12" s="17" t="s">
        <v>145</v>
      </c>
      <c r="T12" s="17" t="s">
        <v>144</v>
      </c>
      <c r="U12" s="17" t="s">
        <v>140</v>
      </c>
      <c r="V12" s="17" t="s">
        <v>146</v>
      </c>
      <c r="W12" s="17" t="s">
        <v>144</v>
      </c>
      <c r="X12" s="17" t="s">
        <v>145</v>
      </c>
      <c r="Y12" s="17" t="s">
        <v>144</v>
      </c>
      <c r="Z12" s="17" t="s">
        <v>147</v>
      </c>
      <c r="AA12" s="17" t="s">
        <v>148</v>
      </c>
    </row>
    <row r="13" spans="1:27" x14ac:dyDescent="0.15">
      <c r="A13" s="115" t="s">
        <v>384</v>
      </c>
      <c r="B13" s="16">
        <v>7</v>
      </c>
      <c r="C13" s="17" t="s">
        <v>139</v>
      </c>
      <c r="D13" s="17" t="s">
        <v>10</v>
      </c>
      <c r="E13" s="17" t="s">
        <v>25</v>
      </c>
      <c r="F13" s="17" t="s">
        <v>13</v>
      </c>
      <c r="G13" s="17" t="s">
        <v>140</v>
      </c>
      <c r="H13" s="17" t="s">
        <v>372</v>
      </c>
      <c r="I13" s="17" t="s">
        <v>70</v>
      </c>
      <c r="J13" s="17" t="s">
        <v>71</v>
      </c>
      <c r="K13" s="17" t="s">
        <v>141</v>
      </c>
      <c r="L13" s="17" t="s">
        <v>142</v>
      </c>
      <c r="M13" s="17" t="s">
        <v>140</v>
      </c>
      <c r="N13" s="17" t="s">
        <v>140</v>
      </c>
      <c r="O13" s="17" t="s">
        <v>140</v>
      </c>
      <c r="P13" s="17" t="s">
        <v>140</v>
      </c>
      <c r="Q13" s="17" t="s">
        <v>143</v>
      </c>
      <c r="R13" s="17" t="s">
        <v>144</v>
      </c>
      <c r="S13" s="17" t="s">
        <v>145</v>
      </c>
      <c r="T13" s="17" t="s">
        <v>144</v>
      </c>
      <c r="U13" s="17" t="s">
        <v>160</v>
      </c>
      <c r="V13" s="17" t="s">
        <v>161</v>
      </c>
      <c r="W13" s="17" t="s">
        <v>151</v>
      </c>
      <c r="X13" s="17" t="s">
        <v>145</v>
      </c>
      <c r="Y13" s="17" t="s">
        <v>144</v>
      </c>
      <c r="Z13" s="17" t="s">
        <v>123</v>
      </c>
      <c r="AA13" s="17" t="s">
        <v>153</v>
      </c>
    </row>
    <row r="14" spans="1:27" x14ac:dyDescent="0.15">
      <c r="A14" s="115" t="s">
        <v>384</v>
      </c>
      <c r="B14" s="16">
        <v>8</v>
      </c>
      <c r="C14" s="17" t="s">
        <v>154</v>
      </c>
      <c r="D14" s="17" t="s">
        <v>8</v>
      </c>
      <c r="E14" s="17" t="s">
        <v>25</v>
      </c>
      <c r="F14" s="17" t="s">
        <v>13</v>
      </c>
      <c r="G14" s="17" t="s">
        <v>140</v>
      </c>
      <c r="H14" s="17" t="s">
        <v>373</v>
      </c>
      <c r="I14" s="17" t="s">
        <v>72</v>
      </c>
      <c r="J14" s="17" t="s">
        <v>73</v>
      </c>
      <c r="K14" s="17" t="s">
        <v>141</v>
      </c>
      <c r="L14" s="17" t="s">
        <v>141</v>
      </c>
      <c r="M14" s="17" t="s">
        <v>140</v>
      </c>
      <c r="N14" s="17" t="s">
        <v>140</v>
      </c>
      <c r="O14" s="17" t="s">
        <v>140</v>
      </c>
      <c r="P14" s="17" t="s">
        <v>140</v>
      </c>
      <c r="Q14" s="17" t="s">
        <v>142</v>
      </c>
      <c r="R14" s="17" t="s">
        <v>144</v>
      </c>
      <c r="S14" s="17" t="s">
        <v>145</v>
      </c>
      <c r="T14" s="17" t="s">
        <v>144</v>
      </c>
      <c r="U14" s="17" t="s">
        <v>140</v>
      </c>
      <c r="V14" s="17" t="s">
        <v>146</v>
      </c>
      <c r="W14" s="17" t="s">
        <v>144</v>
      </c>
      <c r="X14" s="17" t="s">
        <v>145</v>
      </c>
      <c r="Y14" s="17" t="s">
        <v>144</v>
      </c>
      <c r="Z14" s="17" t="s">
        <v>147</v>
      </c>
      <c r="AA14" s="17" t="s">
        <v>148</v>
      </c>
    </row>
    <row r="15" spans="1:27" x14ac:dyDescent="0.15">
      <c r="A15" s="115" t="s">
        <v>384</v>
      </c>
      <c r="B15" s="16">
        <v>8</v>
      </c>
      <c r="C15" s="17" t="s">
        <v>154</v>
      </c>
      <c r="D15" s="17" t="s">
        <v>8</v>
      </c>
      <c r="E15" s="17" t="s">
        <v>25</v>
      </c>
      <c r="F15" s="17" t="s">
        <v>13</v>
      </c>
      <c r="G15" s="17" t="s">
        <v>140</v>
      </c>
      <c r="H15" s="17" t="s">
        <v>374</v>
      </c>
      <c r="I15" s="17" t="s">
        <v>72</v>
      </c>
      <c r="J15" s="17" t="s">
        <v>73</v>
      </c>
      <c r="K15" s="17" t="s">
        <v>141</v>
      </c>
      <c r="L15" s="17" t="s">
        <v>141</v>
      </c>
      <c r="M15" s="17" t="s">
        <v>140</v>
      </c>
      <c r="N15" s="17" t="s">
        <v>140</v>
      </c>
      <c r="O15" s="17" t="s">
        <v>140</v>
      </c>
      <c r="P15" s="17" t="s">
        <v>140</v>
      </c>
      <c r="Q15" s="17" t="s">
        <v>142</v>
      </c>
      <c r="R15" s="17" t="s">
        <v>144</v>
      </c>
      <c r="S15" s="17" t="s">
        <v>145</v>
      </c>
      <c r="T15" s="17" t="s">
        <v>144</v>
      </c>
      <c r="U15" s="17" t="s">
        <v>160</v>
      </c>
      <c r="V15" s="17" t="s">
        <v>161</v>
      </c>
      <c r="W15" s="17" t="s">
        <v>151</v>
      </c>
      <c r="X15" s="17" t="s">
        <v>151</v>
      </c>
      <c r="Y15" s="17" t="s">
        <v>144</v>
      </c>
      <c r="Z15" s="17" t="s">
        <v>123</v>
      </c>
      <c r="AA15" s="17" t="s">
        <v>153</v>
      </c>
    </row>
    <row r="16" spans="1:27" x14ac:dyDescent="0.15">
      <c r="A16" s="115" t="s">
        <v>384</v>
      </c>
      <c r="B16" s="16">
        <v>9</v>
      </c>
      <c r="C16" s="17" t="s">
        <v>139</v>
      </c>
      <c r="D16" s="17" t="s">
        <v>5</v>
      </c>
      <c r="E16" s="17" t="s">
        <v>25</v>
      </c>
      <c r="F16" s="17" t="s">
        <v>13</v>
      </c>
      <c r="G16" s="17" t="s">
        <v>140</v>
      </c>
      <c r="H16" s="17" t="s">
        <v>378</v>
      </c>
      <c r="I16" s="17" t="s">
        <v>74</v>
      </c>
      <c r="J16" s="17" t="s">
        <v>75</v>
      </c>
      <c r="K16" s="17" t="s">
        <v>141</v>
      </c>
      <c r="L16" s="17" t="s">
        <v>155</v>
      </c>
      <c r="M16" s="17" t="s">
        <v>140</v>
      </c>
      <c r="N16" s="17" t="s">
        <v>140</v>
      </c>
      <c r="O16" s="17" t="s">
        <v>140</v>
      </c>
      <c r="P16" s="17" t="s">
        <v>140</v>
      </c>
      <c r="Q16" s="17" t="s">
        <v>143</v>
      </c>
      <c r="R16" s="17" t="s">
        <v>144</v>
      </c>
      <c r="S16" s="17" t="s">
        <v>156</v>
      </c>
      <c r="T16" s="17" t="s">
        <v>144</v>
      </c>
      <c r="U16" s="17" t="s">
        <v>140</v>
      </c>
      <c r="V16" s="17" t="s">
        <v>146</v>
      </c>
      <c r="W16" s="17" t="s">
        <v>144</v>
      </c>
      <c r="X16" s="17" t="s">
        <v>156</v>
      </c>
      <c r="Y16" s="17" t="s">
        <v>144</v>
      </c>
      <c r="Z16" s="17" t="s">
        <v>147</v>
      </c>
      <c r="AA16" s="17" t="s">
        <v>148</v>
      </c>
    </row>
    <row r="17" spans="1:27" x14ac:dyDescent="0.15">
      <c r="A17" s="115" t="s">
        <v>384</v>
      </c>
      <c r="B17" s="16">
        <v>10</v>
      </c>
      <c r="C17" s="17" t="s">
        <v>139</v>
      </c>
      <c r="D17" s="17" t="s">
        <v>5</v>
      </c>
      <c r="E17" s="17" t="s">
        <v>25</v>
      </c>
      <c r="F17" s="17" t="s">
        <v>13</v>
      </c>
      <c r="G17" s="17" t="s">
        <v>140</v>
      </c>
      <c r="H17" s="17" t="s">
        <v>379</v>
      </c>
      <c r="I17" s="17" t="s">
        <v>76</v>
      </c>
      <c r="J17" s="17" t="s">
        <v>77</v>
      </c>
      <c r="K17" s="17" t="s">
        <v>141</v>
      </c>
      <c r="L17" s="17" t="s">
        <v>155</v>
      </c>
      <c r="M17" s="17" t="s">
        <v>140</v>
      </c>
      <c r="N17" s="17" t="s">
        <v>140</v>
      </c>
      <c r="O17" s="17" t="s">
        <v>140</v>
      </c>
      <c r="P17" s="17" t="s">
        <v>140</v>
      </c>
      <c r="Q17" s="17" t="s">
        <v>142</v>
      </c>
      <c r="R17" s="17" t="s">
        <v>144</v>
      </c>
      <c r="S17" s="17" t="s">
        <v>145</v>
      </c>
      <c r="T17" s="17" t="s">
        <v>144</v>
      </c>
      <c r="U17" s="17" t="s">
        <v>140</v>
      </c>
      <c r="V17" s="17" t="s">
        <v>146</v>
      </c>
      <c r="W17" s="17" t="s">
        <v>144</v>
      </c>
      <c r="X17" s="17" t="s">
        <v>145</v>
      </c>
      <c r="Y17" s="17" t="s">
        <v>144</v>
      </c>
      <c r="Z17" s="17" t="s">
        <v>147</v>
      </c>
      <c r="AA17" s="17" t="s">
        <v>148</v>
      </c>
    </row>
    <row r="18" spans="1:27" x14ac:dyDescent="0.15">
      <c r="A18" s="115" t="s">
        <v>385</v>
      </c>
      <c r="B18" s="16">
        <v>11</v>
      </c>
      <c r="C18" s="17" t="s">
        <v>139</v>
      </c>
      <c r="D18" s="17" t="s">
        <v>10</v>
      </c>
      <c r="E18" s="17" t="s">
        <v>25</v>
      </c>
      <c r="F18" s="17" t="s">
        <v>12</v>
      </c>
      <c r="G18" s="17" t="s">
        <v>140</v>
      </c>
      <c r="H18" s="17" t="s">
        <v>371</v>
      </c>
      <c r="I18" s="17" t="s">
        <v>78</v>
      </c>
      <c r="J18" s="17" t="s">
        <v>79</v>
      </c>
      <c r="K18" s="17" t="s">
        <v>141</v>
      </c>
      <c r="L18" s="17" t="s">
        <v>158</v>
      </c>
      <c r="M18" s="17" t="s">
        <v>140</v>
      </c>
      <c r="N18" s="17" t="s">
        <v>140</v>
      </c>
      <c r="O18" s="17" t="s">
        <v>140</v>
      </c>
      <c r="P18" s="17" t="s">
        <v>140</v>
      </c>
      <c r="Q18" s="17" t="s">
        <v>143</v>
      </c>
      <c r="R18" s="17" t="s">
        <v>144</v>
      </c>
      <c r="S18" s="17" t="s">
        <v>145</v>
      </c>
      <c r="T18" s="17" t="s">
        <v>144</v>
      </c>
      <c r="U18" s="17" t="s">
        <v>140</v>
      </c>
      <c r="V18" s="17" t="s">
        <v>146</v>
      </c>
      <c r="W18" s="17" t="s">
        <v>144</v>
      </c>
      <c r="X18" s="17" t="s">
        <v>145</v>
      </c>
      <c r="Y18" s="17" t="s">
        <v>144</v>
      </c>
      <c r="Z18" s="17" t="s">
        <v>147</v>
      </c>
      <c r="AA18" s="17" t="s">
        <v>148</v>
      </c>
    </row>
    <row r="19" spans="1:27" x14ac:dyDescent="0.15">
      <c r="A19" s="115" t="s">
        <v>385</v>
      </c>
      <c r="B19" s="16">
        <v>11</v>
      </c>
      <c r="C19" s="17" t="s">
        <v>139</v>
      </c>
      <c r="D19" s="17" t="s">
        <v>10</v>
      </c>
      <c r="E19" s="17" t="s">
        <v>25</v>
      </c>
      <c r="F19" s="17" t="s">
        <v>12</v>
      </c>
      <c r="G19" s="17" t="s">
        <v>140</v>
      </c>
      <c r="H19" s="17" t="s">
        <v>372</v>
      </c>
      <c r="I19" s="17" t="s">
        <v>78</v>
      </c>
      <c r="J19" s="17" t="s">
        <v>79</v>
      </c>
      <c r="K19" s="17" t="s">
        <v>141</v>
      </c>
      <c r="L19" s="17" t="s">
        <v>158</v>
      </c>
      <c r="M19" s="17" t="s">
        <v>140</v>
      </c>
      <c r="N19" s="17" t="s">
        <v>140</v>
      </c>
      <c r="O19" s="17" t="s">
        <v>140</v>
      </c>
      <c r="P19" s="17" t="s">
        <v>140</v>
      </c>
      <c r="Q19" s="17" t="s">
        <v>143</v>
      </c>
      <c r="R19" s="17" t="s">
        <v>144</v>
      </c>
      <c r="S19" s="17" t="s">
        <v>145</v>
      </c>
      <c r="T19" s="17" t="s">
        <v>144</v>
      </c>
      <c r="U19" s="17" t="s">
        <v>160</v>
      </c>
      <c r="V19" s="17" t="s">
        <v>161</v>
      </c>
      <c r="W19" s="17" t="s">
        <v>151</v>
      </c>
      <c r="X19" s="17" t="s">
        <v>145</v>
      </c>
      <c r="Y19" s="17" t="s">
        <v>144</v>
      </c>
      <c r="Z19" s="17" t="s">
        <v>123</v>
      </c>
      <c r="AA19" s="17" t="s">
        <v>153</v>
      </c>
    </row>
    <row r="20" spans="1:27" x14ac:dyDescent="0.15">
      <c r="A20" s="116" t="s">
        <v>382</v>
      </c>
      <c r="B20" s="16">
        <v>12</v>
      </c>
      <c r="C20" s="17" t="s">
        <v>139</v>
      </c>
      <c r="D20" s="17" t="s">
        <v>10</v>
      </c>
      <c r="E20" s="17" t="s">
        <v>25</v>
      </c>
      <c r="F20" s="17" t="s">
        <v>26</v>
      </c>
      <c r="G20" s="17" t="s">
        <v>140</v>
      </c>
      <c r="H20" s="17" t="s">
        <v>371</v>
      </c>
      <c r="I20" s="17" t="s">
        <v>80</v>
      </c>
      <c r="J20" s="17" t="s">
        <v>81</v>
      </c>
      <c r="K20" s="17" t="s">
        <v>141</v>
      </c>
      <c r="L20" s="17" t="s">
        <v>145</v>
      </c>
      <c r="M20" s="17" t="s">
        <v>140</v>
      </c>
      <c r="N20" s="17" t="s">
        <v>140</v>
      </c>
      <c r="O20" s="17" t="s">
        <v>140</v>
      </c>
      <c r="P20" s="17" t="s">
        <v>140</v>
      </c>
      <c r="Q20" s="17" t="s">
        <v>143</v>
      </c>
      <c r="R20" s="17" t="s">
        <v>144</v>
      </c>
      <c r="S20" s="17" t="s">
        <v>145</v>
      </c>
      <c r="T20" s="17" t="s">
        <v>144</v>
      </c>
      <c r="U20" s="17" t="s">
        <v>140</v>
      </c>
      <c r="V20" s="17" t="s">
        <v>146</v>
      </c>
      <c r="W20" s="17" t="s">
        <v>144</v>
      </c>
      <c r="X20" s="17" t="s">
        <v>145</v>
      </c>
      <c r="Y20" s="17" t="s">
        <v>144</v>
      </c>
      <c r="Z20" s="17" t="s">
        <v>147</v>
      </c>
      <c r="AA20" s="17" t="s">
        <v>148</v>
      </c>
    </row>
    <row r="21" spans="1:27" x14ac:dyDescent="0.15">
      <c r="A21" s="116" t="s">
        <v>382</v>
      </c>
      <c r="B21" s="16">
        <v>12</v>
      </c>
      <c r="C21" s="17" t="s">
        <v>139</v>
      </c>
      <c r="D21" s="17" t="s">
        <v>10</v>
      </c>
      <c r="E21" s="17" t="s">
        <v>25</v>
      </c>
      <c r="F21" s="17" t="s">
        <v>26</v>
      </c>
      <c r="G21" s="17" t="s">
        <v>140</v>
      </c>
      <c r="H21" s="17" t="s">
        <v>375</v>
      </c>
      <c r="I21" s="17" t="s">
        <v>80</v>
      </c>
      <c r="J21" s="17" t="s">
        <v>81</v>
      </c>
      <c r="K21" s="17" t="s">
        <v>141</v>
      </c>
      <c r="L21" s="17" t="s">
        <v>145</v>
      </c>
      <c r="M21" s="17" t="s">
        <v>140</v>
      </c>
      <c r="N21" s="17" t="s">
        <v>140</v>
      </c>
      <c r="O21" s="17" t="s">
        <v>140</v>
      </c>
      <c r="P21" s="17" t="s">
        <v>140</v>
      </c>
      <c r="Q21" s="17" t="s">
        <v>143</v>
      </c>
      <c r="R21" s="17" t="s">
        <v>144</v>
      </c>
      <c r="S21" s="17" t="s">
        <v>145</v>
      </c>
      <c r="T21" s="17" t="s">
        <v>144</v>
      </c>
      <c r="U21" s="17" t="s">
        <v>160</v>
      </c>
      <c r="V21" s="17" t="s">
        <v>161</v>
      </c>
      <c r="W21" s="17" t="s">
        <v>151</v>
      </c>
      <c r="X21" s="17" t="s">
        <v>145</v>
      </c>
      <c r="Y21" s="17" t="s">
        <v>144</v>
      </c>
      <c r="Z21" s="17" t="s">
        <v>123</v>
      </c>
      <c r="AA21" s="17" t="s">
        <v>153</v>
      </c>
    </row>
    <row r="22" spans="1:27" x14ac:dyDescent="0.15">
      <c r="A22" s="115" t="s">
        <v>388</v>
      </c>
      <c r="B22" s="16">
        <v>13</v>
      </c>
      <c r="C22" s="17" t="s">
        <v>139</v>
      </c>
      <c r="D22" s="17" t="s">
        <v>10</v>
      </c>
      <c r="E22" s="17" t="s">
        <v>25</v>
      </c>
      <c r="F22" s="17" t="s">
        <v>6</v>
      </c>
      <c r="G22" s="17" t="s">
        <v>140</v>
      </c>
      <c r="H22" s="17" t="s">
        <v>9</v>
      </c>
      <c r="I22" s="17" t="s">
        <v>82</v>
      </c>
      <c r="J22" s="17" t="s">
        <v>83</v>
      </c>
      <c r="K22" s="17" t="s">
        <v>141</v>
      </c>
      <c r="L22" s="17" t="s">
        <v>140</v>
      </c>
      <c r="M22" s="17" t="s">
        <v>142</v>
      </c>
      <c r="N22" s="17" t="s">
        <v>140</v>
      </c>
      <c r="O22" s="17" t="s">
        <v>140</v>
      </c>
      <c r="P22" s="17" t="s">
        <v>140</v>
      </c>
      <c r="Q22" s="17" t="s">
        <v>162</v>
      </c>
      <c r="R22" s="17" t="s">
        <v>163</v>
      </c>
      <c r="S22" s="17" t="s">
        <v>156</v>
      </c>
      <c r="T22" s="17" t="s">
        <v>163</v>
      </c>
      <c r="U22" s="17" t="s">
        <v>164</v>
      </c>
      <c r="V22" s="17">
        <v>91316</v>
      </c>
      <c r="W22" s="17" t="s">
        <v>151</v>
      </c>
      <c r="X22" s="17" t="s">
        <v>156</v>
      </c>
      <c r="Y22" s="17" t="s">
        <v>163</v>
      </c>
      <c r="Z22" s="17" t="s">
        <v>165</v>
      </c>
      <c r="AA22" s="17" t="s">
        <v>153</v>
      </c>
    </row>
    <row r="23" spans="1:27" x14ac:dyDescent="0.15">
      <c r="A23" s="115" t="s">
        <v>388</v>
      </c>
      <c r="B23" s="16">
        <v>13</v>
      </c>
      <c r="C23" s="17" t="s">
        <v>139</v>
      </c>
      <c r="D23" s="17" t="s">
        <v>10</v>
      </c>
      <c r="E23" s="17" t="s">
        <v>25</v>
      </c>
      <c r="F23" s="17" t="s">
        <v>6</v>
      </c>
      <c r="G23" s="17" t="s">
        <v>140</v>
      </c>
      <c r="H23" s="17" t="s">
        <v>9</v>
      </c>
      <c r="I23" s="17" t="s">
        <v>82</v>
      </c>
      <c r="J23" s="17" t="s">
        <v>83</v>
      </c>
      <c r="K23" s="17" t="s">
        <v>141</v>
      </c>
      <c r="L23" s="17" t="s">
        <v>140</v>
      </c>
      <c r="M23" s="17" t="s">
        <v>142</v>
      </c>
      <c r="N23" s="17" t="s">
        <v>140</v>
      </c>
      <c r="O23" s="17" t="s">
        <v>140</v>
      </c>
      <c r="P23" s="17" t="s">
        <v>140</v>
      </c>
      <c r="Q23" s="17" t="s">
        <v>162</v>
      </c>
      <c r="R23" s="17" t="s">
        <v>163</v>
      </c>
      <c r="S23" s="17" t="s">
        <v>156</v>
      </c>
      <c r="T23" s="17" t="s">
        <v>163</v>
      </c>
      <c r="U23" s="17" t="s">
        <v>140</v>
      </c>
      <c r="V23" s="17" t="s">
        <v>146</v>
      </c>
      <c r="W23" s="17" t="s">
        <v>144</v>
      </c>
      <c r="X23" s="17" t="s">
        <v>156</v>
      </c>
      <c r="Y23" s="17" t="s">
        <v>163</v>
      </c>
      <c r="Z23" s="17" t="s">
        <v>147</v>
      </c>
      <c r="AA23" s="17" t="s">
        <v>148</v>
      </c>
    </row>
    <row r="24" spans="1:27" x14ac:dyDescent="0.15">
      <c r="A24" s="115" t="s">
        <v>388</v>
      </c>
      <c r="B24" s="16">
        <v>14</v>
      </c>
      <c r="C24" s="17" t="s">
        <v>139</v>
      </c>
      <c r="D24" s="17" t="s">
        <v>8</v>
      </c>
      <c r="E24" s="17" t="s">
        <v>25</v>
      </c>
      <c r="F24" s="17" t="s">
        <v>6</v>
      </c>
      <c r="G24" s="17" t="s">
        <v>140</v>
      </c>
      <c r="H24" s="17" t="s">
        <v>7</v>
      </c>
      <c r="I24" s="17" t="s">
        <v>84</v>
      </c>
      <c r="J24" s="17" t="s">
        <v>85</v>
      </c>
      <c r="K24" s="17" t="s">
        <v>141</v>
      </c>
      <c r="L24" s="17" t="s">
        <v>140</v>
      </c>
      <c r="M24" s="17" t="s">
        <v>141</v>
      </c>
      <c r="N24" s="17" t="s">
        <v>140</v>
      </c>
      <c r="O24" s="17" t="s">
        <v>140</v>
      </c>
      <c r="P24" s="17" t="s">
        <v>140</v>
      </c>
      <c r="Q24" s="17" t="s">
        <v>166</v>
      </c>
      <c r="R24" s="17" t="s">
        <v>163</v>
      </c>
      <c r="S24" s="17" t="s">
        <v>156</v>
      </c>
      <c r="T24" s="17" t="s">
        <v>163</v>
      </c>
      <c r="U24" s="17" t="s">
        <v>140</v>
      </c>
      <c r="V24" s="17" t="s">
        <v>146</v>
      </c>
      <c r="W24" s="17" t="s">
        <v>144</v>
      </c>
      <c r="X24" s="17" t="s">
        <v>156</v>
      </c>
      <c r="Y24" s="17" t="s">
        <v>163</v>
      </c>
      <c r="Z24" s="17" t="s">
        <v>147</v>
      </c>
      <c r="AA24" s="17" t="s">
        <v>148</v>
      </c>
    </row>
    <row r="25" spans="1:27" x14ac:dyDescent="0.15">
      <c r="A25" s="115" t="s">
        <v>388</v>
      </c>
      <c r="B25" s="16">
        <v>15</v>
      </c>
      <c r="C25" s="17" t="s">
        <v>139</v>
      </c>
      <c r="D25" s="17" t="s">
        <v>5</v>
      </c>
      <c r="E25" s="17" t="s">
        <v>25</v>
      </c>
      <c r="F25" s="17" t="s">
        <v>6</v>
      </c>
      <c r="G25" s="17" t="s">
        <v>140</v>
      </c>
      <c r="H25" s="17" t="s">
        <v>4</v>
      </c>
      <c r="I25" s="17" t="s">
        <v>86</v>
      </c>
      <c r="J25" s="17" t="s">
        <v>87</v>
      </c>
      <c r="K25" s="17" t="s">
        <v>141</v>
      </c>
      <c r="L25" s="17" t="s">
        <v>140</v>
      </c>
      <c r="M25" s="17" t="s">
        <v>155</v>
      </c>
      <c r="N25" s="17" t="s">
        <v>140</v>
      </c>
      <c r="O25" s="17" t="s">
        <v>140</v>
      </c>
      <c r="P25" s="17" t="s">
        <v>140</v>
      </c>
      <c r="Q25" s="17" t="s">
        <v>166</v>
      </c>
      <c r="R25" s="17" t="s">
        <v>163</v>
      </c>
      <c r="S25" s="17" t="s">
        <v>156</v>
      </c>
      <c r="T25" s="17" t="s">
        <v>163</v>
      </c>
      <c r="U25" s="17" t="s">
        <v>140</v>
      </c>
      <c r="V25" s="17" t="s">
        <v>146</v>
      </c>
      <c r="W25" s="17" t="s">
        <v>144</v>
      </c>
      <c r="X25" s="17" t="s">
        <v>156</v>
      </c>
      <c r="Y25" s="17" t="s">
        <v>163</v>
      </c>
      <c r="Z25" s="17" t="s">
        <v>147</v>
      </c>
      <c r="AA25" s="17" t="s">
        <v>148</v>
      </c>
    </row>
    <row r="26" spans="1:27" ht="27" x14ac:dyDescent="0.15">
      <c r="A26" s="115" t="s">
        <v>389</v>
      </c>
      <c r="B26" s="16">
        <v>16</v>
      </c>
      <c r="C26" s="17" t="s">
        <v>139</v>
      </c>
      <c r="D26" s="17" t="s">
        <v>10</v>
      </c>
      <c r="E26" s="17" t="s">
        <v>25</v>
      </c>
      <c r="F26" s="17" t="s">
        <v>167</v>
      </c>
      <c r="G26" s="17" t="s">
        <v>140</v>
      </c>
      <c r="H26" s="17" t="s">
        <v>198</v>
      </c>
      <c r="I26" s="17" t="s">
        <v>88</v>
      </c>
      <c r="J26" s="17" t="s">
        <v>89</v>
      </c>
      <c r="K26" s="17" t="s">
        <v>141</v>
      </c>
      <c r="L26" s="17" t="s">
        <v>140</v>
      </c>
      <c r="M26" s="17" t="s">
        <v>140</v>
      </c>
      <c r="N26" s="17" t="s">
        <v>145</v>
      </c>
      <c r="O26" s="17" t="s">
        <v>140</v>
      </c>
      <c r="P26" s="17" t="s">
        <v>140</v>
      </c>
      <c r="Q26" s="17" t="s">
        <v>142</v>
      </c>
      <c r="R26" s="17" t="s">
        <v>144</v>
      </c>
      <c r="S26" s="17" t="s">
        <v>145</v>
      </c>
      <c r="T26" s="17" t="s">
        <v>144</v>
      </c>
      <c r="U26" s="17" t="s">
        <v>140</v>
      </c>
      <c r="V26" s="17" t="s">
        <v>146</v>
      </c>
      <c r="W26" s="17" t="s">
        <v>144</v>
      </c>
      <c r="X26" s="17" t="s">
        <v>145</v>
      </c>
      <c r="Y26" s="17" t="s">
        <v>144</v>
      </c>
      <c r="Z26" s="17" t="s">
        <v>147</v>
      </c>
      <c r="AA26" s="17" t="s">
        <v>148</v>
      </c>
    </row>
    <row r="27" spans="1:27" ht="27" x14ac:dyDescent="0.15">
      <c r="A27" s="115" t="s">
        <v>390</v>
      </c>
      <c r="B27" s="16">
        <v>17</v>
      </c>
      <c r="C27" s="17" t="s">
        <v>139</v>
      </c>
      <c r="D27" s="17" t="s">
        <v>10</v>
      </c>
      <c r="E27" s="17" t="s">
        <v>25</v>
      </c>
      <c r="F27" s="17" t="s">
        <v>168</v>
      </c>
      <c r="G27" s="17" t="s">
        <v>140</v>
      </c>
      <c r="H27" s="17" t="s">
        <v>200</v>
      </c>
      <c r="I27" s="17" t="s">
        <v>90</v>
      </c>
      <c r="J27" s="17" t="s">
        <v>91</v>
      </c>
      <c r="K27" s="17" t="s">
        <v>141</v>
      </c>
      <c r="L27" s="17" t="s">
        <v>140</v>
      </c>
      <c r="M27" s="17" t="s">
        <v>140</v>
      </c>
      <c r="N27" s="17" t="s">
        <v>158</v>
      </c>
      <c r="O27" s="17" t="s">
        <v>140</v>
      </c>
      <c r="P27" s="17" t="s">
        <v>140</v>
      </c>
      <c r="Q27" s="17" t="s">
        <v>142</v>
      </c>
      <c r="R27" s="17" t="s">
        <v>144</v>
      </c>
      <c r="S27" s="17" t="s">
        <v>145</v>
      </c>
      <c r="T27" s="17" t="s">
        <v>144</v>
      </c>
      <c r="U27" s="17" t="s">
        <v>140</v>
      </c>
      <c r="V27" s="17" t="s">
        <v>146</v>
      </c>
      <c r="W27" s="17" t="s">
        <v>144</v>
      </c>
      <c r="X27" s="17" t="s">
        <v>145</v>
      </c>
      <c r="Y27" s="17" t="s">
        <v>144</v>
      </c>
      <c r="Z27" s="17" t="s">
        <v>147</v>
      </c>
      <c r="AA27" s="17" t="s">
        <v>148</v>
      </c>
    </row>
    <row r="28" spans="1:27" x14ac:dyDescent="0.15">
      <c r="A28" s="115" t="s">
        <v>391</v>
      </c>
      <c r="B28" s="16">
        <v>18</v>
      </c>
      <c r="C28" s="17" t="s">
        <v>139</v>
      </c>
      <c r="D28" s="17" t="s">
        <v>10</v>
      </c>
      <c r="E28" s="17" t="s">
        <v>25</v>
      </c>
      <c r="F28" s="17" t="s">
        <v>27</v>
      </c>
      <c r="G28" s="17" t="s">
        <v>140</v>
      </c>
      <c r="H28" s="17" t="s">
        <v>18</v>
      </c>
      <c r="I28" s="17" t="s">
        <v>92</v>
      </c>
      <c r="J28" s="17" t="s">
        <v>93</v>
      </c>
      <c r="K28" s="17" t="s">
        <v>141</v>
      </c>
      <c r="L28" s="17" t="s">
        <v>140</v>
      </c>
      <c r="M28" s="17" t="s">
        <v>140</v>
      </c>
      <c r="N28" s="17" t="s">
        <v>142</v>
      </c>
      <c r="O28" s="17" t="s">
        <v>140</v>
      </c>
      <c r="P28" s="17" t="s">
        <v>140</v>
      </c>
      <c r="Q28" s="17" t="s">
        <v>143</v>
      </c>
      <c r="R28" s="17" t="s">
        <v>144</v>
      </c>
      <c r="S28" s="17" t="s">
        <v>156</v>
      </c>
      <c r="T28" s="17" t="s">
        <v>144</v>
      </c>
      <c r="U28" s="17" t="s">
        <v>140</v>
      </c>
      <c r="V28" s="17" t="s">
        <v>146</v>
      </c>
      <c r="W28" s="17" t="s">
        <v>144</v>
      </c>
      <c r="X28" s="17" t="s">
        <v>156</v>
      </c>
      <c r="Y28" s="17" t="s">
        <v>163</v>
      </c>
      <c r="Z28" s="17" t="s">
        <v>147</v>
      </c>
      <c r="AA28" s="17" t="s">
        <v>148</v>
      </c>
    </row>
    <row r="29" spans="1:27" x14ac:dyDescent="0.15">
      <c r="A29" s="115" t="s">
        <v>391</v>
      </c>
      <c r="B29" s="16">
        <v>19</v>
      </c>
      <c r="C29" s="17" t="s">
        <v>139</v>
      </c>
      <c r="D29" s="17" t="s">
        <v>8</v>
      </c>
      <c r="E29" s="17" t="s">
        <v>25</v>
      </c>
      <c r="F29" s="17" t="s">
        <v>27</v>
      </c>
      <c r="G29" s="17" t="s">
        <v>140</v>
      </c>
      <c r="H29" s="17" t="s">
        <v>199</v>
      </c>
      <c r="I29" s="17" t="s">
        <v>94</v>
      </c>
      <c r="J29" s="17" t="s">
        <v>95</v>
      </c>
      <c r="K29" s="17" t="s">
        <v>141</v>
      </c>
      <c r="L29" s="17" t="s">
        <v>140</v>
      </c>
      <c r="M29" s="17" t="s">
        <v>140</v>
      </c>
      <c r="N29" s="17" t="s">
        <v>141</v>
      </c>
      <c r="O29" s="17" t="s">
        <v>140</v>
      </c>
      <c r="P29" s="17" t="s">
        <v>140</v>
      </c>
      <c r="Q29" s="17" t="s">
        <v>142</v>
      </c>
      <c r="R29" s="17" t="s">
        <v>144</v>
      </c>
      <c r="S29" s="17" t="s">
        <v>145</v>
      </c>
      <c r="T29" s="17" t="s">
        <v>144</v>
      </c>
      <c r="U29" s="17" t="s">
        <v>140</v>
      </c>
      <c r="V29" s="17" t="s">
        <v>146</v>
      </c>
      <c r="W29" s="17" t="s">
        <v>144</v>
      </c>
      <c r="X29" s="17" t="s">
        <v>145</v>
      </c>
      <c r="Y29" s="17" t="s">
        <v>144</v>
      </c>
      <c r="Z29" s="17" t="s">
        <v>147</v>
      </c>
      <c r="AA29" s="17" t="s">
        <v>148</v>
      </c>
    </row>
    <row r="30" spans="1:27" x14ac:dyDescent="0.15">
      <c r="A30" s="115" t="s">
        <v>391</v>
      </c>
      <c r="B30" s="16">
        <v>20</v>
      </c>
      <c r="C30" s="17" t="s">
        <v>139</v>
      </c>
      <c r="D30" s="17" t="s">
        <v>5</v>
      </c>
      <c r="E30" s="17" t="s">
        <v>25</v>
      </c>
      <c r="F30" s="17" t="s">
        <v>27</v>
      </c>
      <c r="G30" s="17" t="s">
        <v>140</v>
      </c>
      <c r="H30" s="17" t="s">
        <v>169</v>
      </c>
      <c r="I30" s="17" t="s">
        <v>96</v>
      </c>
      <c r="J30" s="17" t="s">
        <v>97</v>
      </c>
      <c r="K30" s="17" t="s">
        <v>141</v>
      </c>
      <c r="L30" s="17" t="s">
        <v>140</v>
      </c>
      <c r="M30" s="17" t="s">
        <v>140</v>
      </c>
      <c r="N30" s="17" t="s">
        <v>155</v>
      </c>
      <c r="O30" s="17" t="s">
        <v>140</v>
      </c>
      <c r="P30" s="17" t="s">
        <v>140</v>
      </c>
      <c r="Q30" s="17" t="s">
        <v>141</v>
      </c>
      <c r="R30" s="17" t="s">
        <v>144</v>
      </c>
      <c r="S30" s="17" t="s">
        <v>145</v>
      </c>
      <c r="T30" s="17" t="s">
        <v>144</v>
      </c>
      <c r="U30" s="17" t="s">
        <v>140</v>
      </c>
      <c r="V30" s="17" t="s">
        <v>146</v>
      </c>
      <c r="W30" s="17" t="s">
        <v>144</v>
      </c>
      <c r="X30" s="17" t="s">
        <v>145</v>
      </c>
      <c r="Y30" s="17" t="s">
        <v>144</v>
      </c>
      <c r="Z30" s="17" t="s">
        <v>147</v>
      </c>
      <c r="AA30" s="17" t="s">
        <v>148</v>
      </c>
    </row>
    <row r="31" spans="1:27" x14ac:dyDescent="0.15">
      <c r="A31" s="115" t="s">
        <v>392</v>
      </c>
      <c r="B31" s="16">
        <v>21</v>
      </c>
      <c r="C31" s="17" t="s">
        <v>139</v>
      </c>
      <c r="D31" s="17" t="s">
        <v>10</v>
      </c>
      <c r="E31" s="17" t="s">
        <v>25</v>
      </c>
      <c r="F31" s="17" t="s">
        <v>170</v>
      </c>
      <c r="G31" s="17" t="s">
        <v>140</v>
      </c>
      <c r="H31" s="17" t="s">
        <v>21</v>
      </c>
      <c r="I31" s="17" t="s">
        <v>98</v>
      </c>
      <c r="J31" s="17" t="s">
        <v>99</v>
      </c>
      <c r="K31" s="17" t="s">
        <v>141</v>
      </c>
      <c r="L31" s="17" t="s">
        <v>140</v>
      </c>
      <c r="M31" s="17" t="s">
        <v>140</v>
      </c>
      <c r="N31" s="17" t="s">
        <v>140</v>
      </c>
      <c r="O31" s="17" t="s">
        <v>145</v>
      </c>
      <c r="P31" s="17" t="s">
        <v>140</v>
      </c>
      <c r="Q31" s="17" t="s">
        <v>143</v>
      </c>
      <c r="R31" s="17" t="s">
        <v>144</v>
      </c>
      <c r="S31" s="17" t="s">
        <v>156</v>
      </c>
      <c r="T31" s="17" t="s">
        <v>144</v>
      </c>
      <c r="U31" s="17" t="s">
        <v>140</v>
      </c>
      <c r="V31" s="17" t="s">
        <v>146</v>
      </c>
      <c r="W31" s="17" t="s">
        <v>144</v>
      </c>
      <c r="X31" s="17" t="s">
        <v>145</v>
      </c>
      <c r="Y31" s="17" t="s">
        <v>144</v>
      </c>
      <c r="Z31" s="17" t="s">
        <v>147</v>
      </c>
      <c r="AA31" s="17" t="s">
        <v>148</v>
      </c>
    </row>
    <row r="32" spans="1:27" x14ac:dyDescent="0.15">
      <c r="A32" s="115" t="s">
        <v>392</v>
      </c>
      <c r="B32" s="16">
        <v>21</v>
      </c>
      <c r="C32" s="17" t="s">
        <v>139</v>
      </c>
      <c r="D32" s="17" t="s">
        <v>10</v>
      </c>
      <c r="E32" s="17" t="s">
        <v>25</v>
      </c>
      <c r="F32" s="17" t="s">
        <v>170</v>
      </c>
      <c r="G32" s="17" t="s">
        <v>140</v>
      </c>
      <c r="H32" s="17" t="s">
        <v>21</v>
      </c>
      <c r="I32" s="17" t="s">
        <v>98</v>
      </c>
      <c r="J32" s="17" t="s">
        <v>99</v>
      </c>
      <c r="K32" s="17" t="s">
        <v>141</v>
      </c>
      <c r="L32" s="17" t="s">
        <v>140</v>
      </c>
      <c r="M32" s="17" t="s">
        <v>140</v>
      </c>
      <c r="N32" s="17" t="s">
        <v>140</v>
      </c>
      <c r="O32" s="17" t="s">
        <v>145</v>
      </c>
      <c r="P32" s="17" t="s">
        <v>140</v>
      </c>
      <c r="Q32" s="17" t="s">
        <v>143</v>
      </c>
      <c r="R32" s="17" t="s">
        <v>144</v>
      </c>
      <c r="S32" s="17" t="s">
        <v>156</v>
      </c>
      <c r="T32" s="17" t="s">
        <v>144</v>
      </c>
      <c r="U32" s="17" t="s">
        <v>140</v>
      </c>
      <c r="V32" s="17" t="s">
        <v>171</v>
      </c>
      <c r="W32" s="17" t="s">
        <v>151</v>
      </c>
      <c r="X32" s="17" t="s">
        <v>145</v>
      </c>
      <c r="Y32" s="17" t="s">
        <v>144</v>
      </c>
      <c r="Z32" s="17" t="s">
        <v>172</v>
      </c>
      <c r="AA32" s="17" t="s">
        <v>153</v>
      </c>
    </row>
    <row r="33" spans="1:27" x14ac:dyDescent="0.15">
      <c r="A33" s="115" t="s">
        <v>393</v>
      </c>
      <c r="B33" s="16">
        <v>22</v>
      </c>
      <c r="C33" s="17" t="s">
        <v>139</v>
      </c>
      <c r="D33" s="17" t="s">
        <v>10</v>
      </c>
      <c r="E33" s="17" t="s">
        <v>25</v>
      </c>
      <c r="F33" s="17" t="s">
        <v>173</v>
      </c>
      <c r="G33" s="17" t="s">
        <v>140</v>
      </c>
      <c r="H33" s="17" t="s">
        <v>22</v>
      </c>
      <c r="I33" s="17" t="s">
        <v>100</v>
      </c>
      <c r="J33" s="17" t="s">
        <v>101</v>
      </c>
      <c r="K33" s="17" t="s">
        <v>141</v>
      </c>
      <c r="L33" s="17" t="s">
        <v>140</v>
      </c>
      <c r="M33" s="17" t="s">
        <v>140</v>
      </c>
      <c r="N33" s="17" t="s">
        <v>140</v>
      </c>
      <c r="O33" s="17" t="s">
        <v>158</v>
      </c>
      <c r="P33" s="17" t="s">
        <v>140</v>
      </c>
      <c r="Q33" s="17" t="s">
        <v>143</v>
      </c>
      <c r="R33" s="17" t="s">
        <v>144</v>
      </c>
      <c r="S33" s="17" t="s">
        <v>156</v>
      </c>
      <c r="T33" s="17" t="s">
        <v>144</v>
      </c>
      <c r="U33" s="17" t="s">
        <v>140</v>
      </c>
      <c r="V33" s="17" t="s">
        <v>171</v>
      </c>
      <c r="W33" s="17" t="s">
        <v>151</v>
      </c>
      <c r="X33" s="17" t="s">
        <v>145</v>
      </c>
      <c r="Y33" s="17" t="s">
        <v>144</v>
      </c>
      <c r="Z33" s="17" t="s">
        <v>172</v>
      </c>
      <c r="AA33" s="17" t="s">
        <v>153</v>
      </c>
    </row>
    <row r="34" spans="1:27" x14ac:dyDescent="0.15">
      <c r="A34" s="115" t="s">
        <v>393</v>
      </c>
      <c r="B34" s="16">
        <v>22</v>
      </c>
      <c r="C34" s="17" t="s">
        <v>139</v>
      </c>
      <c r="D34" s="17" t="s">
        <v>10</v>
      </c>
      <c r="E34" s="17" t="s">
        <v>25</v>
      </c>
      <c r="F34" s="17" t="s">
        <v>173</v>
      </c>
      <c r="G34" s="17" t="s">
        <v>140</v>
      </c>
      <c r="H34" s="17" t="s">
        <v>22</v>
      </c>
      <c r="I34" s="17" t="s">
        <v>100</v>
      </c>
      <c r="J34" s="17" t="s">
        <v>101</v>
      </c>
      <c r="K34" s="17" t="s">
        <v>141</v>
      </c>
      <c r="L34" s="17" t="s">
        <v>140</v>
      </c>
      <c r="M34" s="17" t="s">
        <v>140</v>
      </c>
      <c r="N34" s="17" t="s">
        <v>140</v>
      </c>
      <c r="O34" s="17" t="s">
        <v>158</v>
      </c>
      <c r="P34" s="17" t="s">
        <v>140</v>
      </c>
      <c r="Q34" s="17" t="s">
        <v>143</v>
      </c>
      <c r="R34" s="17" t="s">
        <v>144</v>
      </c>
      <c r="S34" s="17" t="s">
        <v>156</v>
      </c>
      <c r="T34" s="17" t="s">
        <v>144</v>
      </c>
      <c r="U34" s="17" t="s">
        <v>140</v>
      </c>
      <c r="V34" s="17" t="s">
        <v>146</v>
      </c>
      <c r="W34" s="17" t="s">
        <v>144</v>
      </c>
      <c r="X34" s="17" t="s">
        <v>145</v>
      </c>
      <c r="Y34" s="17" t="s">
        <v>144</v>
      </c>
      <c r="Z34" s="17" t="s">
        <v>147</v>
      </c>
      <c r="AA34" s="17" t="s">
        <v>148</v>
      </c>
    </row>
    <row r="35" spans="1:27" x14ac:dyDescent="0.15">
      <c r="A35" s="115" t="s">
        <v>394</v>
      </c>
      <c r="B35" s="16">
        <v>23</v>
      </c>
      <c r="C35" s="17" t="s">
        <v>139</v>
      </c>
      <c r="D35" s="17" t="s">
        <v>10</v>
      </c>
      <c r="E35" s="17" t="s">
        <v>25</v>
      </c>
      <c r="F35" s="17" t="s">
        <v>174</v>
      </c>
      <c r="G35" s="17" t="s">
        <v>145</v>
      </c>
      <c r="H35" s="17" t="s">
        <v>19</v>
      </c>
      <c r="I35" s="17" t="s">
        <v>102</v>
      </c>
      <c r="J35" s="17" t="s">
        <v>103</v>
      </c>
      <c r="K35" s="17" t="s">
        <v>141</v>
      </c>
      <c r="L35" s="17" t="s">
        <v>140</v>
      </c>
      <c r="M35" s="17" t="s">
        <v>140</v>
      </c>
      <c r="N35" s="17" t="s">
        <v>140</v>
      </c>
      <c r="O35" s="17" t="s">
        <v>140</v>
      </c>
      <c r="P35" s="17" t="s">
        <v>140</v>
      </c>
      <c r="Q35" s="17" t="s">
        <v>143</v>
      </c>
      <c r="R35" s="17" t="s">
        <v>144</v>
      </c>
      <c r="S35" s="17" t="s">
        <v>156</v>
      </c>
      <c r="T35" s="17" t="s">
        <v>144</v>
      </c>
      <c r="U35" s="17" t="s">
        <v>140</v>
      </c>
      <c r="V35" s="17" t="s">
        <v>175</v>
      </c>
      <c r="W35" s="17" t="s">
        <v>176</v>
      </c>
      <c r="X35" s="17" t="s">
        <v>145</v>
      </c>
      <c r="Y35" s="17" t="s">
        <v>151</v>
      </c>
      <c r="Z35" s="17" t="s">
        <v>177</v>
      </c>
      <c r="AA35" s="17" t="s">
        <v>178</v>
      </c>
    </row>
    <row r="36" spans="1:27" x14ac:dyDescent="0.15">
      <c r="A36" s="115" t="s">
        <v>394</v>
      </c>
      <c r="B36" s="16">
        <v>23</v>
      </c>
      <c r="C36" s="17" t="s">
        <v>139</v>
      </c>
      <c r="D36" s="17" t="s">
        <v>10</v>
      </c>
      <c r="E36" s="17" t="s">
        <v>25</v>
      </c>
      <c r="F36" s="17" t="s">
        <v>174</v>
      </c>
      <c r="G36" s="17" t="s">
        <v>145</v>
      </c>
      <c r="H36" s="17" t="s">
        <v>19</v>
      </c>
      <c r="I36" s="17" t="s">
        <v>102</v>
      </c>
      <c r="J36" s="17" t="s">
        <v>103</v>
      </c>
      <c r="K36" s="17" t="s">
        <v>141</v>
      </c>
      <c r="L36" s="17" t="s">
        <v>140</v>
      </c>
      <c r="M36" s="17" t="s">
        <v>140</v>
      </c>
      <c r="N36" s="17" t="s">
        <v>140</v>
      </c>
      <c r="O36" s="17" t="s">
        <v>140</v>
      </c>
      <c r="P36" s="17" t="s">
        <v>140</v>
      </c>
      <c r="Q36" s="17" t="s">
        <v>143</v>
      </c>
      <c r="R36" s="17" t="s">
        <v>144</v>
      </c>
      <c r="S36" s="17" t="s">
        <v>156</v>
      </c>
      <c r="T36" s="17" t="s">
        <v>144</v>
      </c>
      <c r="U36" s="17" t="s">
        <v>140</v>
      </c>
      <c r="V36" s="17" t="s">
        <v>146</v>
      </c>
      <c r="W36" s="17" t="s">
        <v>144</v>
      </c>
      <c r="X36" s="17" t="s">
        <v>145</v>
      </c>
      <c r="Y36" s="17" t="s">
        <v>144</v>
      </c>
      <c r="Z36" s="17" t="s">
        <v>147</v>
      </c>
      <c r="AA36" s="17" t="s">
        <v>148</v>
      </c>
    </row>
    <row r="37" spans="1:27" x14ac:dyDescent="0.15">
      <c r="A37" s="115" t="s">
        <v>395</v>
      </c>
      <c r="B37" s="16">
        <v>24</v>
      </c>
      <c r="C37" s="17" t="s">
        <v>139</v>
      </c>
      <c r="D37" s="17" t="s">
        <v>10</v>
      </c>
      <c r="E37" s="17" t="s">
        <v>25</v>
      </c>
      <c r="F37" s="17" t="s">
        <v>179</v>
      </c>
      <c r="G37" s="17" t="s">
        <v>158</v>
      </c>
      <c r="H37" s="17" t="s">
        <v>20</v>
      </c>
      <c r="I37" s="17" t="s">
        <v>104</v>
      </c>
      <c r="J37" s="17" t="s">
        <v>105</v>
      </c>
      <c r="K37" s="17" t="s">
        <v>141</v>
      </c>
      <c r="L37" s="17" t="s">
        <v>140</v>
      </c>
      <c r="M37" s="17" t="s">
        <v>140</v>
      </c>
      <c r="N37" s="17" t="s">
        <v>140</v>
      </c>
      <c r="O37" s="17" t="s">
        <v>140</v>
      </c>
      <c r="P37" s="17" t="s">
        <v>140</v>
      </c>
      <c r="Q37" s="17" t="s">
        <v>180</v>
      </c>
      <c r="R37" s="17" t="s">
        <v>144</v>
      </c>
      <c r="S37" s="17" t="s">
        <v>181</v>
      </c>
      <c r="T37" s="17" t="s">
        <v>144</v>
      </c>
      <c r="U37" s="17" t="s">
        <v>140</v>
      </c>
      <c r="V37" s="17" t="s">
        <v>175</v>
      </c>
      <c r="W37" s="17" t="s">
        <v>176</v>
      </c>
      <c r="X37" s="17" t="s">
        <v>182</v>
      </c>
      <c r="Y37" s="17" t="s">
        <v>151</v>
      </c>
      <c r="Z37" s="17" t="s">
        <v>177</v>
      </c>
      <c r="AA37" s="17" t="s">
        <v>178</v>
      </c>
    </row>
    <row r="38" spans="1:27" x14ac:dyDescent="0.15">
      <c r="A38" s="115" t="s">
        <v>395</v>
      </c>
      <c r="B38" s="16">
        <v>24</v>
      </c>
      <c r="C38" s="17" t="s">
        <v>139</v>
      </c>
      <c r="D38" s="17" t="s">
        <v>10</v>
      </c>
      <c r="E38" s="17" t="s">
        <v>25</v>
      </c>
      <c r="F38" s="17" t="s">
        <v>179</v>
      </c>
      <c r="G38" s="17" t="s">
        <v>158</v>
      </c>
      <c r="H38" s="17" t="s">
        <v>20</v>
      </c>
      <c r="I38" s="17" t="s">
        <v>104</v>
      </c>
      <c r="J38" s="17" t="s">
        <v>105</v>
      </c>
      <c r="K38" s="17" t="s">
        <v>141</v>
      </c>
      <c r="L38" s="17" t="s">
        <v>140</v>
      </c>
      <c r="M38" s="17" t="s">
        <v>140</v>
      </c>
      <c r="N38" s="17" t="s">
        <v>140</v>
      </c>
      <c r="O38" s="17" t="s">
        <v>140</v>
      </c>
      <c r="P38" s="17" t="s">
        <v>140</v>
      </c>
      <c r="Q38" s="17" t="s">
        <v>180</v>
      </c>
      <c r="R38" s="17" t="s">
        <v>144</v>
      </c>
      <c r="S38" s="17" t="s">
        <v>181</v>
      </c>
      <c r="T38" s="17" t="s">
        <v>144</v>
      </c>
      <c r="U38" s="17" t="s">
        <v>140</v>
      </c>
      <c r="V38" s="17" t="s">
        <v>146</v>
      </c>
      <c r="W38" s="17" t="s">
        <v>144</v>
      </c>
      <c r="X38" s="17" t="s">
        <v>145</v>
      </c>
      <c r="Y38" s="17" t="s">
        <v>144</v>
      </c>
      <c r="Z38" s="17" t="s">
        <v>147</v>
      </c>
      <c r="AA38" s="17" t="s">
        <v>148</v>
      </c>
    </row>
    <row r="39" spans="1:27" x14ac:dyDescent="0.15">
      <c r="A39" s="115" t="s">
        <v>396</v>
      </c>
      <c r="B39" s="16">
        <v>25</v>
      </c>
      <c r="C39" s="17" t="s">
        <v>139</v>
      </c>
      <c r="D39" s="17" t="s">
        <v>10</v>
      </c>
      <c r="E39" s="17" t="s">
        <v>25</v>
      </c>
      <c r="F39" s="17" t="s">
        <v>16</v>
      </c>
      <c r="G39" s="17" t="s">
        <v>140</v>
      </c>
      <c r="H39" s="17" t="s">
        <v>183</v>
      </c>
      <c r="I39" s="17" t="s">
        <v>106</v>
      </c>
      <c r="J39" s="17" t="s">
        <v>107</v>
      </c>
      <c r="K39" s="17" t="s">
        <v>141</v>
      </c>
      <c r="L39" s="17" t="s">
        <v>140</v>
      </c>
      <c r="M39" s="17" t="s">
        <v>140</v>
      </c>
      <c r="N39" s="17" t="s">
        <v>140</v>
      </c>
      <c r="O39" s="17" t="s">
        <v>140</v>
      </c>
      <c r="P39" s="17" t="s">
        <v>158</v>
      </c>
      <c r="Q39" s="17" t="s">
        <v>180</v>
      </c>
      <c r="R39" s="17" t="s">
        <v>144</v>
      </c>
      <c r="S39" s="17" t="s">
        <v>181</v>
      </c>
      <c r="T39" s="17" t="s">
        <v>144</v>
      </c>
      <c r="U39" s="17" t="s">
        <v>140</v>
      </c>
      <c r="V39" s="17" t="s">
        <v>146</v>
      </c>
      <c r="W39" s="17" t="s">
        <v>144</v>
      </c>
      <c r="X39" s="17" t="s">
        <v>145</v>
      </c>
      <c r="Y39" s="17" t="s">
        <v>144</v>
      </c>
      <c r="Z39" s="17" t="s">
        <v>147</v>
      </c>
      <c r="AA39" s="17" t="s">
        <v>148</v>
      </c>
    </row>
    <row r="40" spans="1:27" x14ac:dyDescent="0.15">
      <c r="A40" s="115" t="s">
        <v>396</v>
      </c>
      <c r="B40" s="16">
        <v>25</v>
      </c>
      <c r="C40" s="17" t="s">
        <v>139</v>
      </c>
      <c r="D40" s="17" t="s">
        <v>10</v>
      </c>
      <c r="E40" s="17" t="s">
        <v>25</v>
      </c>
      <c r="F40" s="17" t="s">
        <v>16</v>
      </c>
      <c r="G40" s="17" t="s">
        <v>140</v>
      </c>
      <c r="H40" s="17" t="s">
        <v>183</v>
      </c>
      <c r="I40" s="17" t="s">
        <v>106</v>
      </c>
      <c r="J40" s="17" t="s">
        <v>107</v>
      </c>
      <c r="K40" s="17" t="s">
        <v>141</v>
      </c>
      <c r="L40" s="17" t="s">
        <v>140</v>
      </c>
      <c r="M40" s="17" t="s">
        <v>140</v>
      </c>
      <c r="N40" s="17" t="s">
        <v>140</v>
      </c>
      <c r="O40" s="17" t="s">
        <v>140</v>
      </c>
      <c r="P40" s="17" t="s">
        <v>158</v>
      </c>
      <c r="Q40" s="17" t="s">
        <v>180</v>
      </c>
      <c r="R40" s="17" t="s">
        <v>144</v>
      </c>
      <c r="S40" s="17" t="s">
        <v>181</v>
      </c>
      <c r="T40" s="17" t="s">
        <v>144</v>
      </c>
      <c r="U40" s="17" t="s">
        <v>140</v>
      </c>
      <c r="V40" s="17" t="s">
        <v>175</v>
      </c>
      <c r="W40" s="17" t="s">
        <v>176</v>
      </c>
      <c r="X40" s="17" t="s">
        <v>182</v>
      </c>
      <c r="Y40" s="17" t="s">
        <v>151</v>
      </c>
      <c r="Z40" s="17" t="s">
        <v>177</v>
      </c>
      <c r="AA40" s="17" t="s">
        <v>178</v>
      </c>
    </row>
    <row r="41" spans="1:27" x14ac:dyDescent="0.15">
      <c r="A41" s="115" t="s">
        <v>397</v>
      </c>
      <c r="B41" s="16">
        <v>26</v>
      </c>
      <c r="C41" s="17" t="s">
        <v>139</v>
      </c>
      <c r="D41" s="17" t="s">
        <v>10</v>
      </c>
      <c r="E41" s="17" t="s">
        <v>25</v>
      </c>
      <c r="F41" s="17" t="s">
        <v>184</v>
      </c>
      <c r="G41" s="17" t="s">
        <v>140</v>
      </c>
      <c r="H41" s="17" t="s">
        <v>185</v>
      </c>
      <c r="I41" s="17" t="s">
        <v>108</v>
      </c>
      <c r="J41" s="17" t="s">
        <v>109</v>
      </c>
      <c r="K41" s="17" t="s">
        <v>141</v>
      </c>
      <c r="L41" s="17" t="s">
        <v>140</v>
      </c>
      <c r="M41" s="17" t="s">
        <v>140</v>
      </c>
      <c r="N41" s="17" t="s">
        <v>140</v>
      </c>
      <c r="O41" s="17" t="s">
        <v>140</v>
      </c>
      <c r="P41" s="17" t="s">
        <v>186</v>
      </c>
      <c r="Q41" s="17" t="s">
        <v>180</v>
      </c>
      <c r="R41" s="17" t="s">
        <v>144</v>
      </c>
      <c r="S41" s="17" t="s">
        <v>181</v>
      </c>
      <c r="T41" s="17" t="s">
        <v>144</v>
      </c>
      <c r="U41" s="17" t="s">
        <v>140</v>
      </c>
      <c r="V41" s="17" t="s">
        <v>175</v>
      </c>
      <c r="W41" s="17" t="s">
        <v>176</v>
      </c>
      <c r="X41" s="17" t="s">
        <v>182</v>
      </c>
      <c r="Y41" s="17" t="s">
        <v>151</v>
      </c>
      <c r="Z41" s="17" t="s">
        <v>177</v>
      </c>
      <c r="AA41" s="17" t="s">
        <v>178</v>
      </c>
    </row>
    <row r="42" spans="1:27" x14ac:dyDescent="0.15">
      <c r="A42" s="115" t="s">
        <v>397</v>
      </c>
      <c r="B42" s="16">
        <v>26</v>
      </c>
      <c r="C42" s="17" t="s">
        <v>139</v>
      </c>
      <c r="D42" s="17" t="s">
        <v>10</v>
      </c>
      <c r="E42" s="17" t="s">
        <v>25</v>
      </c>
      <c r="F42" s="17" t="s">
        <v>184</v>
      </c>
      <c r="G42" s="17" t="s">
        <v>140</v>
      </c>
      <c r="H42" s="17" t="s">
        <v>185</v>
      </c>
      <c r="I42" s="17" t="s">
        <v>108</v>
      </c>
      <c r="J42" s="17" t="s">
        <v>109</v>
      </c>
      <c r="K42" s="17" t="s">
        <v>141</v>
      </c>
      <c r="L42" s="17" t="s">
        <v>140</v>
      </c>
      <c r="M42" s="17" t="s">
        <v>140</v>
      </c>
      <c r="N42" s="17" t="s">
        <v>140</v>
      </c>
      <c r="O42" s="17" t="s">
        <v>140</v>
      </c>
      <c r="P42" s="17" t="s">
        <v>186</v>
      </c>
      <c r="Q42" s="17" t="s">
        <v>180</v>
      </c>
      <c r="R42" s="17" t="s">
        <v>144</v>
      </c>
      <c r="S42" s="17" t="s">
        <v>181</v>
      </c>
      <c r="T42" s="17" t="s">
        <v>144</v>
      </c>
      <c r="U42" s="17" t="s">
        <v>140</v>
      </c>
      <c r="V42" s="17" t="s">
        <v>146</v>
      </c>
      <c r="W42" s="17" t="s">
        <v>144</v>
      </c>
      <c r="X42" s="17" t="s">
        <v>145</v>
      </c>
      <c r="Y42" s="17" t="s">
        <v>144</v>
      </c>
      <c r="Z42" s="17" t="s">
        <v>147</v>
      </c>
      <c r="AA42" s="17" t="s">
        <v>148</v>
      </c>
    </row>
    <row r="43" spans="1:27" x14ac:dyDescent="0.15">
      <c r="A43" s="115" t="s">
        <v>398</v>
      </c>
      <c r="B43" s="16">
        <v>27</v>
      </c>
      <c r="C43" s="17" t="s">
        <v>139</v>
      </c>
      <c r="D43" s="17" t="s">
        <v>10</v>
      </c>
      <c r="E43" s="17" t="s">
        <v>25</v>
      </c>
      <c r="F43" s="17" t="s">
        <v>187</v>
      </c>
      <c r="G43" s="17" t="s">
        <v>140</v>
      </c>
      <c r="H43" s="17" t="s">
        <v>188</v>
      </c>
      <c r="I43" s="17" t="s">
        <v>110</v>
      </c>
      <c r="J43" s="17" t="s">
        <v>111</v>
      </c>
      <c r="K43" s="17" t="s">
        <v>141</v>
      </c>
      <c r="L43" s="17" t="s">
        <v>140</v>
      </c>
      <c r="M43" s="17" t="s">
        <v>140</v>
      </c>
      <c r="N43" s="17" t="s">
        <v>140</v>
      </c>
      <c r="O43" s="17" t="s">
        <v>140</v>
      </c>
      <c r="P43" s="17" t="s">
        <v>189</v>
      </c>
      <c r="Q43" s="17" t="s">
        <v>190</v>
      </c>
      <c r="R43" s="17" t="s">
        <v>144</v>
      </c>
      <c r="S43" s="17" t="s">
        <v>191</v>
      </c>
      <c r="T43" s="17" t="s">
        <v>144</v>
      </c>
      <c r="U43" s="17" t="s">
        <v>140</v>
      </c>
      <c r="V43" s="17" t="s">
        <v>146</v>
      </c>
      <c r="W43" s="17" t="s">
        <v>144</v>
      </c>
      <c r="X43" s="17" t="s">
        <v>145</v>
      </c>
      <c r="Y43" s="17" t="s">
        <v>144</v>
      </c>
      <c r="Z43" s="17" t="s">
        <v>147</v>
      </c>
      <c r="AA43" s="17" t="s">
        <v>148</v>
      </c>
    </row>
    <row r="44" spans="1:27" x14ac:dyDescent="0.15">
      <c r="A44" s="115" t="s">
        <v>398</v>
      </c>
      <c r="B44" s="16">
        <v>27</v>
      </c>
      <c r="C44" s="17" t="s">
        <v>139</v>
      </c>
      <c r="D44" s="17" t="s">
        <v>10</v>
      </c>
      <c r="E44" s="17" t="s">
        <v>25</v>
      </c>
      <c r="F44" s="17" t="s">
        <v>187</v>
      </c>
      <c r="G44" s="17" t="s">
        <v>140</v>
      </c>
      <c r="H44" s="17" t="s">
        <v>188</v>
      </c>
      <c r="I44" s="17" t="s">
        <v>110</v>
      </c>
      <c r="J44" s="17" t="s">
        <v>111</v>
      </c>
      <c r="K44" s="17" t="s">
        <v>141</v>
      </c>
      <c r="L44" s="17" t="s">
        <v>140</v>
      </c>
      <c r="M44" s="17" t="s">
        <v>140</v>
      </c>
      <c r="N44" s="17" t="s">
        <v>140</v>
      </c>
      <c r="O44" s="17" t="s">
        <v>140</v>
      </c>
      <c r="P44" s="17" t="s">
        <v>189</v>
      </c>
      <c r="Q44" s="17" t="s">
        <v>190</v>
      </c>
      <c r="R44" s="17" t="s">
        <v>144</v>
      </c>
      <c r="S44" s="17" t="s">
        <v>191</v>
      </c>
      <c r="T44" s="17" t="s">
        <v>144</v>
      </c>
      <c r="U44" s="17" t="s">
        <v>140</v>
      </c>
      <c r="V44" s="17" t="s">
        <v>175</v>
      </c>
      <c r="W44" s="17" t="s">
        <v>176</v>
      </c>
      <c r="X44" s="17" t="s">
        <v>192</v>
      </c>
      <c r="Y44" s="17" t="s">
        <v>151</v>
      </c>
      <c r="Z44" s="17" t="s">
        <v>177</v>
      </c>
      <c r="AA44" s="17" t="s">
        <v>178</v>
      </c>
    </row>
  </sheetData>
  <autoFilter ref="B1:AA44" xr:uid="{00000000-0009-0000-0000-000001000000}"/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"/>
  <sheetViews>
    <sheetView zoomScale="85" zoomScaleNormal="85" workbookViewId="0">
      <pane xSplit="9" ySplit="2" topLeftCell="J3" activePane="bottomRight" state="frozen"/>
      <selection activeCell="N3" sqref="N3:N25"/>
      <selection pane="topRight" activeCell="N3" sqref="N3:N25"/>
      <selection pane="bottomLeft" activeCell="N3" sqref="N3:N25"/>
      <selection pane="bottomRight" activeCell="G14" sqref="G14"/>
    </sheetView>
  </sheetViews>
  <sheetFormatPr defaultColWidth="80.25" defaultRowHeight="18.75" outlineLevelCol="2" x14ac:dyDescent="0.4"/>
  <cols>
    <col min="1" max="1" width="5.5" style="12" bestFit="1" customWidth="1"/>
    <col min="2" max="2" width="9.5" style="1" hidden="1" customWidth="1" outlineLevel="2"/>
    <col min="3" max="3" width="11.625" style="1" hidden="1" customWidth="1" outlineLevel="2"/>
    <col min="4" max="4" width="6.5" style="12" hidden="1" customWidth="1" outlineLevel="1"/>
    <col min="5" max="5" width="24.25" style="12" hidden="1" customWidth="1" outlineLevel="1"/>
    <col min="6" max="6" width="10.5" style="4" hidden="1" customWidth="1" outlineLevel="1"/>
    <col min="7" max="7" width="52.875" style="12" bestFit="1" customWidth="1" collapsed="1"/>
    <col min="8" max="8" width="33.75" style="12" customWidth="1" outlineLevel="1"/>
    <col min="9" max="9" width="15" style="12" customWidth="1" outlineLevel="1"/>
    <col min="10" max="10" width="9.5" style="12" bestFit="1" customWidth="1"/>
    <col min="11" max="11" width="5.5" style="12" bestFit="1" customWidth="1"/>
    <col min="12" max="12" width="9.5" style="12" bestFit="1" customWidth="1"/>
    <col min="13" max="13" width="7.5" style="12" bestFit="1" customWidth="1"/>
    <col min="14" max="14" width="11.625" style="12" bestFit="1" customWidth="1"/>
    <col min="15" max="15" width="13.875" style="12" bestFit="1" customWidth="1"/>
    <col min="16" max="16" width="7.875" style="6" bestFit="1" customWidth="1"/>
    <col min="17" max="16384" width="80.25" style="12"/>
  </cols>
  <sheetData>
    <row r="1" spans="1:16" s="6" customFormat="1" ht="13.5" x14ac:dyDescent="0.4">
      <c r="A1" s="141" t="s">
        <v>0</v>
      </c>
      <c r="B1" s="150" t="s">
        <v>1</v>
      </c>
      <c r="C1" s="150" t="s">
        <v>41</v>
      </c>
      <c r="D1" s="150" t="s">
        <v>32</v>
      </c>
      <c r="E1" s="150" t="s">
        <v>33</v>
      </c>
      <c r="F1" s="150" t="s">
        <v>34</v>
      </c>
      <c r="G1" s="150" t="s">
        <v>23</v>
      </c>
      <c r="H1" s="178" t="s">
        <v>2</v>
      </c>
      <c r="I1" s="179" t="s">
        <v>3</v>
      </c>
      <c r="J1" s="180" t="s">
        <v>17</v>
      </c>
      <c r="K1" s="141" t="s">
        <v>24</v>
      </c>
      <c r="L1" s="141"/>
      <c r="M1" s="150" t="s">
        <v>35</v>
      </c>
      <c r="N1" s="141" t="s">
        <v>36</v>
      </c>
      <c r="O1" s="150" t="s">
        <v>37</v>
      </c>
      <c r="P1" s="141" t="s">
        <v>38</v>
      </c>
    </row>
    <row r="2" spans="1:16" s="1" customFormat="1" ht="27" x14ac:dyDescent="0.4">
      <c r="A2" s="165"/>
      <c r="B2" s="150"/>
      <c r="C2" s="150"/>
      <c r="D2" s="177"/>
      <c r="E2" s="177"/>
      <c r="F2" s="150"/>
      <c r="G2" s="177"/>
      <c r="H2" s="177"/>
      <c r="I2" s="177"/>
      <c r="J2" s="150"/>
      <c r="K2" s="2" t="s">
        <v>39</v>
      </c>
      <c r="L2" s="2" t="s">
        <v>40</v>
      </c>
      <c r="M2" s="165"/>
      <c r="N2" s="165"/>
      <c r="O2" s="165"/>
      <c r="P2" s="141"/>
    </row>
    <row r="3" spans="1:16" x14ac:dyDescent="0.15">
      <c r="A3" s="3">
        <f t="shared" ref="A3:A29" si="0">ROW() -2</f>
        <v>1</v>
      </c>
      <c r="B3" s="7" t="s">
        <v>25</v>
      </c>
      <c r="C3" s="8" t="s">
        <v>57</v>
      </c>
      <c r="D3" s="8" t="s">
        <v>10</v>
      </c>
      <c r="E3" s="8" t="s">
        <v>14</v>
      </c>
      <c r="F3" s="9"/>
      <c r="G3" s="8" t="s">
        <v>11</v>
      </c>
      <c r="H3" s="5" t="s">
        <v>58</v>
      </c>
      <c r="I3" s="5" t="s">
        <v>59</v>
      </c>
      <c r="J3" s="10">
        <v>500</v>
      </c>
      <c r="K3" s="7">
        <v>450</v>
      </c>
      <c r="L3" s="7"/>
      <c r="M3" s="11"/>
      <c r="N3" s="11"/>
      <c r="O3" s="11"/>
      <c r="P3" s="15">
        <v>908001</v>
      </c>
    </row>
    <row r="4" spans="1:16" x14ac:dyDescent="0.15">
      <c r="A4" s="3">
        <f t="shared" si="0"/>
        <v>2</v>
      </c>
      <c r="B4" s="7" t="s">
        <v>25</v>
      </c>
      <c r="C4" s="8" t="s">
        <v>57</v>
      </c>
      <c r="D4" s="8" t="s">
        <v>8</v>
      </c>
      <c r="E4" s="8" t="s">
        <v>14</v>
      </c>
      <c r="F4" s="9"/>
      <c r="G4" s="8" t="s">
        <v>15</v>
      </c>
      <c r="H4" s="5" t="s">
        <v>60</v>
      </c>
      <c r="I4" s="5" t="s">
        <v>61</v>
      </c>
      <c r="J4" s="10">
        <v>500</v>
      </c>
      <c r="K4" s="10">
        <v>500</v>
      </c>
      <c r="L4" s="7"/>
      <c r="M4" s="11"/>
      <c r="N4" s="11"/>
      <c r="O4" s="11"/>
      <c r="P4" s="15">
        <v>908001</v>
      </c>
    </row>
    <row r="5" spans="1:16" x14ac:dyDescent="0.15">
      <c r="A5" s="3">
        <f t="shared" si="0"/>
        <v>3</v>
      </c>
      <c r="B5" s="7" t="s">
        <v>25</v>
      </c>
      <c r="C5" s="8" t="s">
        <v>112</v>
      </c>
      <c r="D5" s="8" t="s">
        <v>5</v>
      </c>
      <c r="E5" s="8" t="s">
        <v>14</v>
      </c>
      <c r="F5" s="9"/>
      <c r="G5" s="8" t="s">
        <v>30</v>
      </c>
      <c r="H5" s="5" t="s">
        <v>62</v>
      </c>
      <c r="I5" s="5" t="s">
        <v>63</v>
      </c>
      <c r="J5" s="10">
        <v>500</v>
      </c>
      <c r="K5" s="7">
        <v>550</v>
      </c>
      <c r="L5" s="7"/>
      <c r="M5" s="11"/>
      <c r="N5" s="11"/>
      <c r="O5" s="11"/>
      <c r="P5" s="15">
        <v>908001</v>
      </c>
    </row>
    <row r="6" spans="1:16" x14ac:dyDescent="0.15">
      <c r="A6" s="3">
        <f t="shared" si="0"/>
        <v>4</v>
      </c>
      <c r="B6" s="7" t="s">
        <v>25</v>
      </c>
      <c r="C6" s="8" t="s">
        <v>57</v>
      </c>
      <c r="D6" s="8" t="s">
        <v>5</v>
      </c>
      <c r="E6" s="8" t="s">
        <v>14</v>
      </c>
      <c r="F6" s="9"/>
      <c r="G6" s="8" t="s">
        <v>31</v>
      </c>
      <c r="H6" s="5" t="s">
        <v>64</v>
      </c>
      <c r="I6" s="5" t="s">
        <v>65</v>
      </c>
      <c r="J6" s="10">
        <v>500</v>
      </c>
      <c r="K6" s="7">
        <v>550</v>
      </c>
      <c r="L6" s="7"/>
      <c r="M6" s="11"/>
      <c r="N6" s="11"/>
      <c r="O6" s="11"/>
      <c r="P6" s="15">
        <v>908001</v>
      </c>
    </row>
    <row r="7" spans="1:16" x14ac:dyDescent="0.15">
      <c r="A7" s="3">
        <f t="shared" si="0"/>
        <v>5</v>
      </c>
      <c r="B7" s="7" t="s">
        <v>25</v>
      </c>
      <c r="C7" s="8" t="s">
        <v>57</v>
      </c>
      <c r="D7" s="8" t="s">
        <v>10</v>
      </c>
      <c r="E7" s="8" t="s">
        <v>45</v>
      </c>
      <c r="F7" s="9"/>
      <c r="G7" s="8" t="s">
        <v>11</v>
      </c>
      <c r="H7" s="5" t="s">
        <v>66</v>
      </c>
      <c r="I7" s="5" t="s">
        <v>67</v>
      </c>
      <c r="J7" s="10">
        <v>500</v>
      </c>
      <c r="K7" s="7">
        <v>10</v>
      </c>
      <c r="L7" s="7"/>
      <c r="M7" s="11"/>
      <c r="N7" s="11"/>
      <c r="O7" s="11"/>
      <c r="P7" s="15">
        <v>908001</v>
      </c>
    </row>
    <row r="8" spans="1:16" x14ac:dyDescent="0.15">
      <c r="A8" s="3">
        <f t="shared" si="0"/>
        <v>6</v>
      </c>
      <c r="B8" s="7" t="s">
        <v>25</v>
      </c>
      <c r="C8" s="8" t="s">
        <v>57</v>
      </c>
      <c r="D8" s="8" t="s">
        <v>10</v>
      </c>
      <c r="E8" s="7" t="s">
        <v>46</v>
      </c>
      <c r="F8" s="9"/>
      <c r="G8" s="8" t="s">
        <v>11</v>
      </c>
      <c r="H8" s="5" t="s">
        <v>68</v>
      </c>
      <c r="I8" s="5" t="s">
        <v>69</v>
      </c>
      <c r="J8" s="10">
        <v>500</v>
      </c>
      <c r="K8" s="7">
        <v>50</v>
      </c>
      <c r="L8" s="7"/>
      <c r="M8" s="11"/>
      <c r="N8" s="11"/>
      <c r="O8" s="11"/>
      <c r="P8" s="15">
        <v>908001</v>
      </c>
    </row>
    <row r="9" spans="1:16" x14ac:dyDescent="0.15">
      <c r="A9" s="3">
        <f t="shared" si="0"/>
        <v>7</v>
      </c>
      <c r="B9" s="7" t="s">
        <v>25</v>
      </c>
      <c r="C9" s="8" t="s">
        <v>57</v>
      </c>
      <c r="D9" s="8" t="s">
        <v>10</v>
      </c>
      <c r="E9" s="8" t="s">
        <v>13</v>
      </c>
      <c r="F9" s="9"/>
      <c r="G9" s="8" t="s">
        <v>11</v>
      </c>
      <c r="H9" s="5" t="s">
        <v>70</v>
      </c>
      <c r="I9" s="5" t="s">
        <v>71</v>
      </c>
      <c r="J9" s="10">
        <v>500</v>
      </c>
      <c r="K9" s="7">
        <v>450</v>
      </c>
      <c r="L9" s="7"/>
      <c r="M9" s="11"/>
      <c r="N9" s="11"/>
      <c r="O9" s="11"/>
      <c r="P9" s="15">
        <v>908002</v>
      </c>
    </row>
    <row r="10" spans="1:16" x14ac:dyDescent="0.15">
      <c r="A10" s="3">
        <f t="shared" si="0"/>
        <v>8</v>
      </c>
      <c r="B10" s="7" t="s">
        <v>25</v>
      </c>
      <c r="C10" s="8" t="s">
        <v>57</v>
      </c>
      <c r="D10" s="8" t="s">
        <v>8</v>
      </c>
      <c r="E10" s="8" t="s">
        <v>13</v>
      </c>
      <c r="F10" s="9"/>
      <c r="G10" s="8" t="s">
        <v>15</v>
      </c>
      <c r="H10" s="5" t="s">
        <v>72</v>
      </c>
      <c r="I10" s="5" t="s">
        <v>73</v>
      </c>
      <c r="J10" s="10">
        <v>500</v>
      </c>
      <c r="K10" s="10">
        <v>500</v>
      </c>
      <c r="L10" s="7"/>
      <c r="M10" s="11"/>
      <c r="N10" s="11"/>
      <c r="O10" s="11"/>
      <c r="P10" s="15">
        <v>908002</v>
      </c>
    </row>
    <row r="11" spans="1:16" x14ac:dyDescent="0.15">
      <c r="A11" s="3">
        <f t="shared" si="0"/>
        <v>9</v>
      </c>
      <c r="B11" s="7" t="s">
        <v>25</v>
      </c>
      <c r="C11" s="8" t="s">
        <v>112</v>
      </c>
      <c r="D11" s="8" t="s">
        <v>5</v>
      </c>
      <c r="E11" s="8" t="s">
        <v>13</v>
      </c>
      <c r="F11" s="9"/>
      <c r="G11" s="8" t="s">
        <v>30</v>
      </c>
      <c r="H11" s="5" t="s">
        <v>74</v>
      </c>
      <c r="I11" s="5" t="s">
        <v>75</v>
      </c>
      <c r="J11" s="10">
        <v>500</v>
      </c>
      <c r="K11" s="7">
        <v>550</v>
      </c>
      <c r="L11" s="7"/>
      <c r="M11" s="11"/>
      <c r="N11" s="11"/>
      <c r="O11" s="11"/>
      <c r="P11" s="15">
        <v>908002</v>
      </c>
    </row>
    <row r="12" spans="1:16" x14ac:dyDescent="0.15">
      <c r="A12" s="3">
        <f t="shared" si="0"/>
        <v>10</v>
      </c>
      <c r="B12" s="7" t="s">
        <v>25</v>
      </c>
      <c r="C12" s="8" t="s">
        <v>57</v>
      </c>
      <c r="D12" s="8" t="s">
        <v>5</v>
      </c>
      <c r="E12" s="8" t="s">
        <v>13</v>
      </c>
      <c r="F12" s="9"/>
      <c r="G12" s="8" t="s">
        <v>31</v>
      </c>
      <c r="H12" s="5" t="s">
        <v>76</v>
      </c>
      <c r="I12" s="5" t="s">
        <v>77</v>
      </c>
      <c r="J12" s="10">
        <v>500</v>
      </c>
      <c r="K12" s="7">
        <v>550</v>
      </c>
      <c r="L12" s="7"/>
      <c r="M12" s="11"/>
      <c r="N12" s="11"/>
      <c r="O12" s="11"/>
      <c r="P12" s="15">
        <v>908002</v>
      </c>
    </row>
    <row r="13" spans="1:16" x14ac:dyDescent="0.15">
      <c r="A13" s="3">
        <f t="shared" si="0"/>
        <v>11</v>
      </c>
      <c r="B13" s="7" t="s">
        <v>25</v>
      </c>
      <c r="C13" s="8" t="s">
        <v>57</v>
      </c>
      <c r="D13" s="8" t="s">
        <v>10</v>
      </c>
      <c r="E13" s="8" t="s">
        <v>12</v>
      </c>
      <c r="F13" s="9"/>
      <c r="G13" s="8" t="s">
        <v>11</v>
      </c>
      <c r="H13" s="5" t="s">
        <v>78</v>
      </c>
      <c r="I13" s="5" t="s">
        <v>79</v>
      </c>
      <c r="J13" s="10">
        <v>500</v>
      </c>
      <c r="K13" s="7">
        <v>10</v>
      </c>
      <c r="L13" s="7"/>
      <c r="M13" s="11"/>
      <c r="N13" s="11"/>
      <c r="O13" s="11"/>
      <c r="P13" s="15">
        <v>908002</v>
      </c>
    </row>
    <row r="14" spans="1:16" x14ac:dyDescent="0.15">
      <c r="A14" s="3">
        <f t="shared" si="0"/>
        <v>12</v>
      </c>
      <c r="B14" s="7" t="s">
        <v>25</v>
      </c>
      <c r="C14" s="8" t="s">
        <v>57</v>
      </c>
      <c r="D14" s="8" t="s">
        <v>10</v>
      </c>
      <c r="E14" s="7" t="s">
        <v>26</v>
      </c>
      <c r="F14" s="9"/>
      <c r="G14" s="8" t="s">
        <v>11</v>
      </c>
      <c r="H14" s="5" t="s">
        <v>80</v>
      </c>
      <c r="I14" s="5" t="s">
        <v>81</v>
      </c>
      <c r="J14" s="10">
        <v>500</v>
      </c>
      <c r="K14" s="7">
        <v>50</v>
      </c>
      <c r="L14" s="7"/>
      <c r="M14" s="11"/>
      <c r="N14" s="11"/>
      <c r="O14" s="11"/>
      <c r="P14" s="15">
        <v>908002</v>
      </c>
    </row>
    <row r="15" spans="1:16" x14ac:dyDescent="0.15">
      <c r="A15" s="3">
        <f t="shared" si="0"/>
        <v>13</v>
      </c>
      <c r="B15" s="7" t="s">
        <v>25</v>
      </c>
      <c r="C15" s="8" t="s">
        <v>57</v>
      </c>
      <c r="D15" s="8" t="s">
        <v>10</v>
      </c>
      <c r="E15" s="8" t="s">
        <v>6</v>
      </c>
      <c r="F15" s="9"/>
      <c r="G15" s="8" t="s">
        <v>9</v>
      </c>
      <c r="H15" s="5" t="s">
        <v>82</v>
      </c>
      <c r="I15" s="5" t="s">
        <v>83</v>
      </c>
      <c r="J15" s="10">
        <v>500</v>
      </c>
      <c r="K15" s="7"/>
      <c r="L15" s="7">
        <v>450</v>
      </c>
      <c r="M15" s="11"/>
      <c r="N15" s="11"/>
      <c r="O15" s="11"/>
      <c r="P15" s="15">
        <v>908101</v>
      </c>
    </row>
    <row r="16" spans="1:16" x14ac:dyDescent="0.15">
      <c r="A16" s="3">
        <f t="shared" si="0"/>
        <v>14</v>
      </c>
      <c r="B16" s="7" t="s">
        <v>25</v>
      </c>
      <c r="C16" s="8" t="s">
        <v>57</v>
      </c>
      <c r="D16" s="8" t="s">
        <v>8</v>
      </c>
      <c r="E16" s="8" t="s">
        <v>6</v>
      </c>
      <c r="F16" s="9"/>
      <c r="G16" s="8" t="s">
        <v>7</v>
      </c>
      <c r="H16" s="5" t="s">
        <v>84</v>
      </c>
      <c r="I16" s="5" t="s">
        <v>85</v>
      </c>
      <c r="J16" s="10">
        <v>500</v>
      </c>
      <c r="K16" s="7"/>
      <c r="L16" s="7">
        <v>500</v>
      </c>
      <c r="M16" s="11"/>
      <c r="N16" s="11"/>
      <c r="O16" s="11"/>
      <c r="P16" s="15">
        <v>908102</v>
      </c>
    </row>
    <row r="17" spans="1:16" x14ac:dyDescent="0.15">
      <c r="A17" s="3">
        <f t="shared" si="0"/>
        <v>15</v>
      </c>
      <c r="B17" s="7" t="s">
        <v>25</v>
      </c>
      <c r="C17" s="8" t="s">
        <v>57</v>
      </c>
      <c r="D17" s="8" t="s">
        <v>5</v>
      </c>
      <c r="E17" s="8" t="s">
        <v>6</v>
      </c>
      <c r="F17" s="9"/>
      <c r="G17" s="8" t="s">
        <v>4</v>
      </c>
      <c r="H17" s="5" t="s">
        <v>86</v>
      </c>
      <c r="I17" s="5" t="s">
        <v>87</v>
      </c>
      <c r="J17" s="10">
        <v>500</v>
      </c>
      <c r="K17" s="7"/>
      <c r="L17" s="7">
        <v>550</v>
      </c>
      <c r="M17" s="11"/>
      <c r="N17" s="11"/>
      <c r="O17" s="11"/>
      <c r="P17" s="15">
        <v>908103</v>
      </c>
    </row>
    <row r="18" spans="1:16" ht="27" x14ac:dyDescent="0.15">
      <c r="A18" s="3">
        <f t="shared" si="0"/>
        <v>16</v>
      </c>
      <c r="B18" s="7" t="s">
        <v>25</v>
      </c>
      <c r="C18" s="8" t="s">
        <v>57</v>
      </c>
      <c r="D18" s="8" t="s">
        <v>10</v>
      </c>
      <c r="E18" s="8" t="s">
        <v>44</v>
      </c>
      <c r="F18" s="9"/>
      <c r="G18" s="8" t="s">
        <v>42</v>
      </c>
      <c r="H18" s="5" t="s">
        <v>88</v>
      </c>
      <c r="I18" s="5" t="s">
        <v>89</v>
      </c>
      <c r="J18" s="10">
        <v>500</v>
      </c>
      <c r="K18" s="7"/>
      <c r="L18" s="7"/>
      <c r="M18" s="11">
        <v>50</v>
      </c>
      <c r="N18" s="11"/>
      <c r="O18" s="11"/>
      <c r="P18" s="15"/>
    </row>
    <row r="19" spans="1:16" ht="27" x14ac:dyDescent="0.15">
      <c r="A19" s="3">
        <f t="shared" si="0"/>
        <v>17</v>
      </c>
      <c r="B19" s="7" t="s">
        <v>25</v>
      </c>
      <c r="C19" s="8" t="s">
        <v>57</v>
      </c>
      <c r="D19" s="8" t="s">
        <v>10</v>
      </c>
      <c r="E19" s="8" t="s">
        <v>56</v>
      </c>
      <c r="F19" s="13"/>
      <c r="G19" s="8" t="s">
        <v>43</v>
      </c>
      <c r="H19" s="5" t="s">
        <v>90</v>
      </c>
      <c r="I19" s="5" t="s">
        <v>91</v>
      </c>
      <c r="J19" s="10">
        <v>500</v>
      </c>
      <c r="K19" s="7"/>
      <c r="L19" s="7"/>
      <c r="M19" s="11">
        <v>10</v>
      </c>
      <c r="N19" s="11"/>
      <c r="O19" s="11"/>
      <c r="P19" s="15"/>
    </row>
    <row r="20" spans="1:16" x14ac:dyDescent="0.15">
      <c r="A20" s="3">
        <f t="shared" si="0"/>
        <v>18</v>
      </c>
      <c r="B20" s="7" t="s">
        <v>25</v>
      </c>
      <c r="C20" s="8" t="s">
        <v>57</v>
      </c>
      <c r="D20" s="7" t="s">
        <v>10</v>
      </c>
      <c r="E20" s="7" t="s">
        <v>27</v>
      </c>
      <c r="F20" s="13"/>
      <c r="G20" s="8" t="s">
        <v>18</v>
      </c>
      <c r="H20" s="5" t="s">
        <v>92</v>
      </c>
      <c r="I20" s="5" t="s">
        <v>93</v>
      </c>
      <c r="J20" s="10">
        <v>500</v>
      </c>
      <c r="K20" s="7"/>
      <c r="L20" s="7"/>
      <c r="M20" s="11">
        <v>450</v>
      </c>
      <c r="N20" s="11"/>
      <c r="O20" s="11"/>
      <c r="P20" s="15"/>
    </row>
    <row r="21" spans="1:16" x14ac:dyDescent="0.15">
      <c r="A21" s="3">
        <f t="shared" si="0"/>
        <v>19</v>
      </c>
      <c r="B21" s="7" t="s">
        <v>25</v>
      </c>
      <c r="C21" s="8" t="s">
        <v>57</v>
      </c>
      <c r="D21" s="7" t="s">
        <v>8</v>
      </c>
      <c r="E21" s="7" t="s">
        <v>27</v>
      </c>
      <c r="F21" s="13"/>
      <c r="G21" s="8" t="s">
        <v>28</v>
      </c>
      <c r="H21" s="5" t="s">
        <v>94</v>
      </c>
      <c r="I21" s="5" t="s">
        <v>95</v>
      </c>
      <c r="J21" s="10">
        <v>500</v>
      </c>
      <c r="K21" s="7"/>
      <c r="L21" s="7"/>
      <c r="M21" s="11">
        <v>500</v>
      </c>
      <c r="N21" s="11"/>
      <c r="O21" s="11"/>
      <c r="P21" s="15"/>
    </row>
    <row r="22" spans="1:16" x14ac:dyDescent="0.15">
      <c r="A22" s="3">
        <f t="shared" si="0"/>
        <v>20</v>
      </c>
      <c r="B22" s="7" t="s">
        <v>25</v>
      </c>
      <c r="C22" s="8" t="s">
        <v>57</v>
      </c>
      <c r="D22" s="7" t="s">
        <v>5</v>
      </c>
      <c r="E22" s="7" t="s">
        <v>27</v>
      </c>
      <c r="F22" s="13"/>
      <c r="G22" s="8" t="s">
        <v>29</v>
      </c>
      <c r="H22" s="5" t="s">
        <v>96</v>
      </c>
      <c r="I22" s="5" t="s">
        <v>97</v>
      </c>
      <c r="J22" s="10">
        <v>500</v>
      </c>
      <c r="K22" s="7"/>
      <c r="L22" s="7"/>
      <c r="M22" s="11">
        <v>550</v>
      </c>
      <c r="N22" s="11"/>
      <c r="O22" s="11"/>
      <c r="P22" s="15"/>
    </row>
    <row r="23" spans="1:16" x14ac:dyDescent="0.15">
      <c r="A23" s="3">
        <f t="shared" si="0"/>
        <v>21</v>
      </c>
      <c r="B23" s="7" t="s">
        <v>25</v>
      </c>
      <c r="C23" s="8" t="s">
        <v>57</v>
      </c>
      <c r="D23" s="8" t="s">
        <v>10</v>
      </c>
      <c r="E23" s="8" t="s">
        <v>47</v>
      </c>
      <c r="F23" s="13"/>
      <c r="G23" s="8" t="s">
        <v>21</v>
      </c>
      <c r="H23" s="5" t="s">
        <v>98</v>
      </c>
      <c r="I23" s="5" t="s">
        <v>99</v>
      </c>
      <c r="J23" s="10">
        <v>500</v>
      </c>
      <c r="K23" s="7"/>
      <c r="L23" s="7"/>
      <c r="M23" s="11"/>
      <c r="N23" s="11">
        <v>50</v>
      </c>
      <c r="O23" s="11"/>
      <c r="P23" s="15"/>
    </row>
    <row r="24" spans="1:16" x14ac:dyDescent="0.15">
      <c r="A24" s="3">
        <f t="shared" si="0"/>
        <v>22</v>
      </c>
      <c r="B24" s="7" t="s">
        <v>25</v>
      </c>
      <c r="C24" s="8" t="s">
        <v>57</v>
      </c>
      <c r="D24" s="8" t="s">
        <v>10</v>
      </c>
      <c r="E24" s="8" t="s">
        <v>48</v>
      </c>
      <c r="F24" s="13"/>
      <c r="G24" s="8" t="s">
        <v>22</v>
      </c>
      <c r="H24" s="5" t="s">
        <v>100</v>
      </c>
      <c r="I24" s="5" t="s">
        <v>101</v>
      </c>
      <c r="J24" s="10">
        <v>500</v>
      </c>
      <c r="K24" s="7"/>
      <c r="L24" s="7"/>
      <c r="M24" s="11"/>
      <c r="N24" s="11">
        <v>10</v>
      </c>
      <c r="O24" s="11"/>
      <c r="P24" s="15"/>
    </row>
    <row r="25" spans="1:16" x14ac:dyDescent="0.15">
      <c r="A25" s="3">
        <f t="shared" si="0"/>
        <v>23</v>
      </c>
      <c r="B25" s="7" t="s">
        <v>25</v>
      </c>
      <c r="C25" s="8" t="s">
        <v>57</v>
      </c>
      <c r="D25" s="8" t="s">
        <v>10</v>
      </c>
      <c r="E25" s="8" t="s">
        <v>54</v>
      </c>
      <c r="F25" s="13">
        <v>50</v>
      </c>
      <c r="G25" s="8" t="s">
        <v>19</v>
      </c>
      <c r="H25" s="5" t="s">
        <v>102</v>
      </c>
      <c r="I25" s="5" t="s">
        <v>103</v>
      </c>
      <c r="J25" s="10">
        <v>500</v>
      </c>
      <c r="K25" s="7"/>
      <c r="L25" s="7"/>
      <c r="M25" s="11"/>
      <c r="N25" s="11"/>
      <c r="O25" s="11"/>
      <c r="P25" s="15"/>
    </row>
    <row r="26" spans="1:16" x14ac:dyDescent="0.15">
      <c r="A26" s="3">
        <f t="shared" si="0"/>
        <v>24</v>
      </c>
      <c r="B26" s="7" t="s">
        <v>25</v>
      </c>
      <c r="C26" s="8" t="s">
        <v>57</v>
      </c>
      <c r="D26" s="8" t="s">
        <v>10</v>
      </c>
      <c r="E26" s="8" t="s">
        <v>55</v>
      </c>
      <c r="F26" s="13">
        <v>10</v>
      </c>
      <c r="G26" s="8" t="s">
        <v>20</v>
      </c>
      <c r="H26" s="5" t="s">
        <v>104</v>
      </c>
      <c r="I26" s="5" t="s">
        <v>105</v>
      </c>
      <c r="J26" s="10">
        <v>500</v>
      </c>
      <c r="K26" s="7"/>
      <c r="L26" s="7"/>
      <c r="M26" s="11"/>
      <c r="N26" s="11"/>
      <c r="O26" s="11"/>
      <c r="P26" s="15"/>
    </row>
    <row r="27" spans="1:16" x14ac:dyDescent="0.15">
      <c r="A27" s="3">
        <f t="shared" si="0"/>
        <v>25</v>
      </c>
      <c r="B27" s="7" t="s">
        <v>25</v>
      </c>
      <c r="C27" s="8" t="s">
        <v>57</v>
      </c>
      <c r="D27" s="8" t="s">
        <v>10</v>
      </c>
      <c r="E27" s="8" t="s">
        <v>16</v>
      </c>
      <c r="F27" s="13"/>
      <c r="G27" s="8" t="s">
        <v>52</v>
      </c>
      <c r="H27" s="5" t="s">
        <v>106</v>
      </c>
      <c r="I27" s="5" t="s">
        <v>107</v>
      </c>
      <c r="J27" s="10">
        <v>500</v>
      </c>
      <c r="K27" s="7"/>
      <c r="L27" s="7"/>
      <c r="M27" s="11"/>
      <c r="N27" s="11"/>
      <c r="O27" s="11">
        <v>10</v>
      </c>
      <c r="P27" s="15"/>
    </row>
    <row r="28" spans="1:16" x14ac:dyDescent="0.15">
      <c r="A28" s="3">
        <f t="shared" si="0"/>
        <v>26</v>
      </c>
      <c r="B28" s="7" t="s">
        <v>25</v>
      </c>
      <c r="C28" s="8" t="s">
        <v>57</v>
      </c>
      <c r="D28" s="8" t="s">
        <v>10</v>
      </c>
      <c r="E28" s="14" t="s">
        <v>49</v>
      </c>
      <c r="F28" s="13"/>
      <c r="G28" s="8" t="s">
        <v>53</v>
      </c>
      <c r="H28" s="5" t="s">
        <v>108</v>
      </c>
      <c r="I28" s="5" t="s">
        <v>109</v>
      </c>
      <c r="J28" s="10">
        <v>500</v>
      </c>
      <c r="K28" s="11"/>
      <c r="L28" s="11"/>
      <c r="M28" s="11"/>
      <c r="N28" s="11"/>
      <c r="O28" s="11">
        <v>20</v>
      </c>
      <c r="P28" s="15"/>
    </row>
    <row r="29" spans="1:16" x14ac:dyDescent="0.15">
      <c r="A29" s="3">
        <f t="shared" si="0"/>
        <v>27</v>
      </c>
      <c r="B29" s="7" t="s">
        <v>25</v>
      </c>
      <c r="C29" s="8" t="s">
        <v>57</v>
      </c>
      <c r="D29" s="8" t="s">
        <v>10</v>
      </c>
      <c r="E29" s="14" t="s">
        <v>50</v>
      </c>
      <c r="F29" s="13"/>
      <c r="G29" s="8" t="s">
        <v>51</v>
      </c>
      <c r="H29" s="5" t="s">
        <v>110</v>
      </c>
      <c r="I29" s="5" t="s">
        <v>111</v>
      </c>
      <c r="J29" s="10">
        <v>500</v>
      </c>
      <c r="K29" s="11"/>
      <c r="L29" s="11"/>
      <c r="M29" s="11"/>
      <c r="N29" s="11"/>
      <c r="O29" s="11">
        <v>5</v>
      </c>
      <c r="P29" s="15"/>
    </row>
  </sheetData>
  <mergeCells count="15">
    <mergeCell ref="P1:P2"/>
    <mergeCell ref="C1:C2"/>
    <mergeCell ref="F1:F2"/>
    <mergeCell ref="K1:L1"/>
    <mergeCell ref="N1:N2"/>
    <mergeCell ref="O1:O2"/>
    <mergeCell ref="I1:I2"/>
    <mergeCell ref="J1:J2"/>
    <mergeCell ref="M1:M2"/>
    <mergeCell ref="A1:A2"/>
    <mergeCell ref="E1:E2"/>
    <mergeCell ref="D1:D2"/>
    <mergeCell ref="G1:G2"/>
    <mergeCell ref="H1:H2"/>
    <mergeCell ref="B1:B2"/>
  </mergeCells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7962-0F24-4E0E-8523-55C5288906E9}">
  <dimension ref="A1:P65"/>
  <sheetViews>
    <sheetView topLeftCell="A4" zoomScale="70" zoomScaleNormal="70" workbookViewId="0">
      <selection activeCell="D3" sqref="D3"/>
    </sheetView>
  </sheetViews>
  <sheetFormatPr defaultRowHeight="18.75" x14ac:dyDescent="0.4"/>
  <cols>
    <col min="1" max="3" width="3.625" style="42" customWidth="1"/>
    <col min="4" max="4" width="19.875" style="42" bestFit="1" customWidth="1"/>
    <col min="5" max="5" width="46.375" style="4" customWidth="1"/>
    <col min="6" max="6" width="9.5" style="4" bestFit="1" customWidth="1"/>
    <col min="7" max="7" width="4.375" style="4" customWidth="1"/>
    <col min="8" max="8" width="40.5" style="4" bestFit="1" customWidth="1"/>
    <col min="9" max="9" width="25.625" style="4" customWidth="1"/>
    <col min="10" max="10" width="4.5" style="42" customWidth="1"/>
    <col min="11" max="11" width="40.5" style="42" bestFit="1" customWidth="1"/>
    <col min="12" max="12" width="25.625" style="42" customWidth="1"/>
    <col min="13" max="13" width="4.5" style="42" customWidth="1"/>
    <col min="14" max="14" width="27.625" style="42" bestFit="1" customWidth="1"/>
    <col min="15" max="15" width="25.625" style="42" customWidth="1"/>
    <col min="16" max="16" width="3" style="42" customWidth="1"/>
    <col min="17" max="16384" width="9" style="42"/>
  </cols>
  <sheetData>
    <row r="1" spans="1:16" x14ac:dyDescent="0.4">
      <c r="A1" s="52" t="s">
        <v>228</v>
      </c>
    </row>
    <row r="2" spans="1:16" x14ac:dyDescent="0.4">
      <c r="A2" s="52"/>
    </row>
    <row r="3" spans="1:16" ht="19.5" thickBot="1" x14ac:dyDescent="0.45"/>
    <row r="4" spans="1:16" x14ac:dyDescent="0.4">
      <c r="D4" s="90" t="s">
        <v>257</v>
      </c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6"/>
    </row>
    <row r="5" spans="1:16" x14ac:dyDescent="0.4">
      <c r="D5" s="57">
        <v>1</v>
      </c>
      <c r="E5" s="58" t="s">
        <v>249</v>
      </c>
      <c r="F5" s="58"/>
      <c r="G5" s="58"/>
      <c r="P5" s="59"/>
    </row>
    <row r="6" spans="1:16" s="43" customFormat="1" x14ac:dyDescent="0.4">
      <c r="D6" s="57"/>
      <c r="E6" s="58"/>
      <c r="F6" s="58"/>
      <c r="G6" s="58"/>
      <c r="H6" s="4"/>
      <c r="I6" s="4"/>
      <c r="P6" s="59"/>
    </row>
    <row r="7" spans="1:16" s="43" customFormat="1" x14ac:dyDescent="0.4">
      <c r="D7" s="57"/>
      <c r="E7" s="89" t="s">
        <v>248</v>
      </c>
      <c r="F7" s="58"/>
      <c r="G7" s="58"/>
      <c r="H7" s="186" t="str">
        <f>H10&amp;"円に特売（タイムサービス売価）設定"</f>
        <v>200円に特売（タイムサービス売価）設定</v>
      </c>
      <c r="I7" s="187"/>
      <c r="K7" s="186" t="str">
        <f>K10&amp;"円に特売（タイムサービス売価）設定"</f>
        <v>300円に特売（タイムサービス売価）設定</v>
      </c>
      <c r="L7" s="187"/>
      <c r="N7" s="186" t="str">
        <f>N10&amp;"円に特売（タイムサービス売価）設定"</f>
        <v>350円に特売（タイムサービス売価）設定</v>
      </c>
      <c r="O7" s="187"/>
      <c r="P7" s="59"/>
    </row>
    <row r="8" spans="1:16" s="43" customFormat="1" x14ac:dyDescent="0.4">
      <c r="D8" s="57"/>
      <c r="E8" s="58"/>
      <c r="F8" s="58"/>
      <c r="G8" s="58"/>
      <c r="H8" s="186" t="str">
        <f>I10&amp;"円のマニュアル単品値引"</f>
        <v>50円のマニュアル単品値引</v>
      </c>
      <c r="I8" s="187"/>
      <c r="K8" s="186" t="str">
        <f>L10&amp;"円のマニュアル単品値引"</f>
        <v>50円のマニュアル単品値引</v>
      </c>
      <c r="L8" s="187"/>
      <c r="N8" s="186" t="str">
        <f>O10&amp;"円のマニュアル単品値引"</f>
        <v>50円のマニュアル単品値引</v>
      </c>
      <c r="O8" s="187"/>
      <c r="P8" s="59"/>
    </row>
    <row r="9" spans="1:16" s="43" customFormat="1" x14ac:dyDescent="0.4">
      <c r="D9" s="57"/>
      <c r="E9" s="58"/>
      <c r="F9" s="58"/>
      <c r="G9" s="58"/>
      <c r="H9" s="1"/>
      <c r="I9" s="1"/>
      <c r="K9" s="1"/>
      <c r="L9" s="1"/>
      <c r="N9" s="1"/>
      <c r="O9" s="1"/>
      <c r="P9" s="59"/>
    </row>
    <row r="10" spans="1:16" s="43" customFormat="1" x14ac:dyDescent="0.4">
      <c r="D10" s="57"/>
      <c r="E10" s="89" t="s">
        <v>250</v>
      </c>
      <c r="F10" s="58"/>
      <c r="G10" s="58"/>
      <c r="H10" s="1">
        <v>200</v>
      </c>
      <c r="I10" s="1">
        <v>50</v>
      </c>
      <c r="K10" s="1">
        <v>300</v>
      </c>
      <c r="L10" s="1">
        <v>50</v>
      </c>
      <c r="N10" s="1">
        <v>350</v>
      </c>
      <c r="O10" s="1">
        <v>50</v>
      </c>
      <c r="P10" s="59"/>
    </row>
    <row r="11" spans="1:16" x14ac:dyDescent="0.4">
      <c r="D11" s="57"/>
      <c r="K11" s="4"/>
      <c r="L11" s="4"/>
      <c r="N11" s="4"/>
      <c r="O11" s="4"/>
      <c r="P11" s="59"/>
    </row>
    <row r="12" spans="1:16" x14ac:dyDescent="0.4">
      <c r="D12" s="57"/>
      <c r="K12" s="4"/>
      <c r="L12" s="4"/>
      <c r="N12" s="188" t="s">
        <v>256</v>
      </c>
      <c r="O12" s="81" t="s">
        <v>238</v>
      </c>
      <c r="P12" s="59"/>
    </row>
    <row r="13" spans="1:16" ht="18.75" customHeight="1" x14ac:dyDescent="0.4">
      <c r="D13" s="57"/>
      <c r="F13" s="142" t="s">
        <v>240</v>
      </c>
      <c r="H13" s="185" t="s">
        <v>241</v>
      </c>
      <c r="K13" s="188" t="s">
        <v>256</v>
      </c>
      <c r="L13" s="81" t="s">
        <v>238</v>
      </c>
      <c r="N13" s="189"/>
      <c r="O13" s="181" t="s">
        <v>239</v>
      </c>
      <c r="P13" s="59"/>
    </row>
    <row r="14" spans="1:16" ht="18.75" customHeight="1" x14ac:dyDescent="0.4">
      <c r="D14" s="57"/>
      <c r="F14" s="183"/>
      <c r="H14" s="165"/>
      <c r="K14" s="189"/>
      <c r="L14" s="181" t="s">
        <v>239</v>
      </c>
      <c r="N14" s="189"/>
      <c r="O14" s="182"/>
      <c r="P14" s="59"/>
    </row>
    <row r="15" spans="1:16" ht="18.75" customHeight="1" x14ac:dyDescent="0.4">
      <c r="D15" s="57"/>
      <c r="F15" s="183"/>
      <c r="H15" s="188" t="s">
        <v>256</v>
      </c>
      <c r="I15" s="81" t="s">
        <v>238</v>
      </c>
      <c r="K15" s="189"/>
      <c r="L15" s="182"/>
      <c r="N15" s="189"/>
      <c r="O15" s="182"/>
      <c r="P15" s="59"/>
    </row>
    <row r="16" spans="1:16" x14ac:dyDescent="0.4">
      <c r="D16" s="57"/>
      <c r="F16" s="183"/>
      <c r="H16" s="194"/>
      <c r="I16" s="181" t="s">
        <v>239</v>
      </c>
      <c r="K16" s="189"/>
      <c r="L16" s="182"/>
      <c r="N16" s="189"/>
      <c r="O16" s="182"/>
      <c r="P16" s="59"/>
    </row>
    <row r="17" spans="4:16" x14ac:dyDescent="0.4">
      <c r="D17" s="57"/>
      <c r="F17" s="183"/>
      <c r="H17" s="194"/>
      <c r="I17" s="195"/>
      <c r="K17" s="189"/>
      <c r="L17" s="182"/>
      <c r="N17" s="189"/>
      <c r="O17" s="182"/>
      <c r="P17" s="59"/>
    </row>
    <row r="18" spans="4:16" x14ac:dyDescent="0.4">
      <c r="D18" s="57"/>
      <c r="F18" s="184"/>
      <c r="H18" s="194"/>
      <c r="I18" s="195"/>
      <c r="K18" s="189"/>
      <c r="L18" s="182"/>
      <c r="N18" s="189"/>
      <c r="O18" s="182"/>
      <c r="P18" s="59"/>
    </row>
    <row r="19" spans="4:16" s="20" customFormat="1" x14ac:dyDescent="0.4">
      <c r="D19" s="83"/>
      <c r="E19" s="84" t="s">
        <v>242</v>
      </c>
      <c r="F19" s="84"/>
      <c r="G19" s="84"/>
      <c r="H19" s="141">
        <v>150</v>
      </c>
      <c r="I19" s="165"/>
      <c r="K19" s="141">
        <v>250</v>
      </c>
      <c r="L19" s="141"/>
      <c r="N19" s="141">
        <v>300</v>
      </c>
      <c r="O19" s="141"/>
      <c r="P19" s="85"/>
    </row>
    <row r="20" spans="4:16" x14ac:dyDescent="0.4">
      <c r="D20" s="57"/>
      <c r="E20" s="61" t="s">
        <v>214</v>
      </c>
      <c r="F20" s="61"/>
      <c r="G20" s="61"/>
      <c r="H20" s="4">
        <v>100</v>
      </c>
      <c r="I20" s="4">
        <v>50</v>
      </c>
      <c r="K20" s="4">
        <v>0</v>
      </c>
      <c r="L20" s="4">
        <v>50</v>
      </c>
      <c r="N20" s="4" t="s">
        <v>215</v>
      </c>
      <c r="O20" s="4">
        <v>50</v>
      </c>
      <c r="P20" s="59"/>
    </row>
    <row r="21" spans="4:16" s="43" customFormat="1" x14ac:dyDescent="0.4">
      <c r="D21" s="57"/>
      <c r="E21" s="61"/>
      <c r="F21" s="61"/>
      <c r="G21" s="61"/>
      <c r="H21" s="4"/>
      <c r="I21" s="4"/>
      <c r="K21" s="4"/>
      <c r="L21" s="4"/>
      <c r="N21" s="4"/>
      <c r="O21" s="4"/>
      <c r="P21" s="59"/>
    </row>
    <row r="22" spans="4:16" s="20" customFormat="1" ht="13.5" x14ac:dyDescent="0.4">
      <c r="D22" s="83"/>
      <c r="E22" s="84" t="s">
        <v>243</v>
      </c>
      <c r="F22" s="84"/>
      <c r="G22" s="84"/>
      <c r="H22" s="1"/>
      <c r="I22" s="1"/>
      <c r="K22" s="1"/>
      <c r="L22" s="1"/>
      <c r="N22" s="1"/>
      <c r="O22" s="1"/>
      <c r="P22" s="85"/>
    </row>
    <row r="23" spans="4:16" s="20" customFormat="1" ht="13.5" x14ac:dyDescent="0.4">
      <c r="D23" s="83"/>
      <c r="E23" s="86" t="s">
        <v>244</v>
      </c>
      <c r="F23" s="84"/>
      <c r="G23" s="84"/>
      <c r="H23" s="1">
        <v>91121</v>
      </c>
      <c r="I23" s="1">
        <v>91220</v>
      </c>
      <c r="K23" s="1">
        <v>91121</v>
      </c>
      <c r="L23" s="1">
        <v>91220</v>
      </c>
      <c r="N23" s="141" t="s">
        <v>255</v>
      </c>
      <c r="O23" s="1">
        <v>91220</v>
      </c>
      <c r="P23" s="85"/>
    </row>
    <row r="24" spans="4:16" s="20" customFormat="1" ht="13.5" x14ac:dyDescent="0.4">
      <c r="D24" s="83"/>
      <c r="E24" s="86" t="s">
        <v>245</v>
      </c>
      <c r="F24" s="84"/>
      <c r="G24" s="84"/>
      <c r="H24" s="1">
        <v>0</v>
      </c>
      <c r="I24" s="1">
        <v>1</v>
      </c>
      <c r="K24" s="1">
        <v>0</v>
      </c>
      <c r="L24" s="1">
        <v>1</v>
      </c>
      <c r="N24" s="141"/>
      <c r="O24" s="1">
        <v>1</v>
      </c>
      <c r="P24" s="85"/>
    </row>
    <row r="25" spans="4:16" s="20" customFormat="1" ht="13.5" x14ac:dyDescent="0.4">
      <c r="D25" s="83"/>
      <c r="E25" s="86" t="s">
        <v>246</v>
      </c>
      <c r="F25" s="84"/>
      <c r="G25" s="84"/>
      <c r="H25" s="84" t="s">
        <v>251</v>
      </c>
      <c r="I25" s="84" t="s">
        <v>237</v>
      </c>
      <c r="K25" s="84" t="s">
        <v>251</v>
      </c>
      <c r="L25" s="84" t="s">
        <v>237</v>
      </c>
      <c r="N25" s="141"/>
      <c r="O25" s="84" t="s">
        <v>237</v>
      </c>
      <c r="P25" s="85"/>
    </row>
    <row r="26" spans="4:16" s="20" customFormat="1" ht="27" x14ac:dyDescent="0.4">
      <c r="D26" s="83"/>
      <c r="E26" s="84" t="s">
        <v>214</v>
      </c>
      <c r="F26" s="84"/>
      <c r="G26" s="84"/>
      <c r="H26" s="84" t="s">
        <v>252</v>
      </c>
      <c r="I26" s="84" t="s">
        <v>247</v>
      </c>
      <c r="K26" s="87" t="s">
        <v>254</v>
      </c>
      <c r="L26" s="84" t="s">
        <v>247</v>
      </c>
      <c r="N26" s="141"/>
      <c r="O26" s="84" t="s">
        <v>247</v>
      </c>
      <c r="P26" s="85"/>
    </row>
    <row r="27" spans="4:16" x14ac:dyDescent="0.4">
      <c r="D27" s="57"/>
      <c r="E27" s="88" t="s">
        <v>253</v>
      </c>
      <c r="F27" s="61"/>
      <c r="G27" s="61"/>
      <c r="K27" s="4"/>
      <c r="L27" s="4"/>
      <c r="N27" s="4"/>
      <c r="O27" s="4"/>
      <c r="P27" s="59"/>
    </row>
    <row r="28" spans="4:16" ht="19.5" thickBot="1" x14ac:dyDescent="0.45">
      <c r="D28" s="64"/>
      <c r="E28" s="65"/>
      <c r="F28" s="65"/>
      <c r="G28" s="65"/>
      <c r="H28" s="65"/>
      <c r="I28" s="65"/>
      <c r="J28" s="66"/>
      <c r="K28" s="66"/>
      <c r="L28" s="66"/>
      <c r="M28" s="66"/>
      <c r="N28" s="66"/>
      <c r="O28" s="66"/>
      <c r="P28" s="67"/>
    </row>
    <row r="29" spans="4:16" x14ac:dyDescent="0.4">
      <c r="D29" s="53"/>
      <c r="E29" s="54"/>
      <c r="F29" s="54"/>
      <c r="G29" s="54"/>
      <c r="H29" s="54"/>
      <c r="I29" s="54"/>
      <c r="J29" s="55"/>
      <c r="K29" s="55"/>
      <c r="L29" s="55"/>
      <c r="M29" s="55"/>
      <c r="N29" s="55"/>
      <c r="O29" s="55"/>
      <c r="P29" s="56"/>
    </row>
    <row r="30" spans="4:16" x14ac:dyDescent="0.4">
      <c r="D30" s="57">
        <v>2</v>
      </c>
      <c r="E30" s="58" t="s">
        <v>217</v>
      </c>
      <c r="F30" s="58"/>
      <c r="G30" s="58"/>
      <c r="P30" s="59"/>
    </row>
    <row r="31" spans="4:16" x14ac:dyDescent="0.4">
      <c r="D31" s="57"/>
      <c r="E31" s="4" t="s">
        <v>229</v>
      </c>
      <c r="H31" s="4">
        <v>200</v>
      </c>
      <c r="I31" s="4">
        <v>50</v>
      </c>
      <c r="K31" s="4">
        <v>300</v>
      </c>
      <c r="L31" s="4">
        <v>50</v>
      </c>
      <c r="N31" s="4">
        <v>350</v>
      </c>
      <c r="O31" s="4">
        <v>50</v>
      </c>
      <c r="P31" s="59"/>
    </row>
    <row r="32" spans="4:16" x14ac:dyDescent="0.4">
      <c r="D32" s="57"/>
      <c r="K32" s="4"/>
      <c r="L32" s="4"/>
      <c r="N32" s="4"/>
      <c r="O32" s="4"/>
      <c r="P32" s="59"/>
    </row>
    <row r="33" spans="4:16" x14ac:dyDescent="0.4">
      <c r="D33" s="57"/>
      <c r="K33" s="4"/>
      <c r="L33" s="4"/>
      <c r="N33" s="188" t="s">
        <v>218</v>
      </c>
      <c r="O33" s="4"/>
      <c r="P33" s="59"/>
    </row>
    <row r="34" spans="4:16" ht="18.75" customHeight="1" x14ac:dyDescent="0.4">
      <c r="D34" s="57"/>
      <c r="K34" s="188" t="s">
        <v>218</v>
      </c>
      <c r="L34" s="4"/>
      <c r="N34" s="189"/>
      <c r="O34" s="4"/>
      <c r="P34" s="59"/>
    </row>
    <row r="35" spans="4:16" ht="18.75" customHeight="1" x14ac:dyDescent="0.4">
      <c r="D35" s="57"/>
      <c r="K35" s="189"/>
      <c r="L35" s="4"/>
      <c r="N35" s="189"/>
      <c r="O35" s="4"/>
      <c r="P35" s="59"/>
    </row>
    <row r="36" spans="4:16" ht="18.75" customHeight="1" x14ac:dyDescent="0.4">
      <c r="D36" s="57"/>
      <c r="H36" s="188" t="s">
        <v>218</v>
      </c>
      <c r="K36" s="189"/>
      <c r="L36" s="4"/>
      <c r="N36" s="189"/>
      <c r="O36" s="4"/>
      <c r="P36" s="59"/>
    </row>
    <row r="37" spans="4:16" x14ac:dyDescent="0.4">
      <c r="D37" s="57"/>
      <c r="H37" s="194"/>
      <c r="K37" s="189"/>
      <c r="L37" s="4"/>
      <c r="N37" s="189"/>
      <c r="O37" s="4"/>
      <c r="P37" s="59"/>
    </row>
    <row r="38" spans="4:16" x14ac:dyDescent="0.4">
      <c r="D38" s="57"/>
      <c r="H38" s="194"/>
      <c r="K38" s="189"/>
      <c r="L38" s="4"/>
      <c r="N38" s="189"/>
      <c r="O38" s="4"/>
      <c r="P38" s="59"/>
    </row>
    <row r="39" spans="4:16" x14ac:dyDescent="0.4">
      <c r="D39" s="57"/>
      <c r="H39" s="194"/>
      <c r="I39" s="60" t="s">
        <v>207</v>
      </c>
      <c r="K39" s="189"/>
      <c r="L39" s="60" t="s">
        <v>207</v>
      </c>
      <c r="N39" s="189"/>
      <c r="O39" s="60" t="s">
        <v>207</v>
      </c>
      <c r="P39" s="59"/>
    </row>
    <row r="40" spans="4:16" x14ac:dyDescent="0.4">
      <c r="D40" s="57"/>
      <c r="E40" s="61" t="s">
        <v>214</v>
      </c>
      <c r="F40" s="61"/>
      <c r="G40" s="61"/>
      <c r="H40" s="4">
        <v>100</v>
      </c>
      <c r="I40" s="4">
        <v>50</v>
      </c>
      <c r="K40" s="4"/>
      <c r="L40" s="4">
        <v>50</v>
      </c>
      <c r="N40" s="4"/>
      <c r="O40" s="4">
        <v>50</v>
      </c>
      <c r="P40" s="59"/>
    </row>
    <row r="41" spans="4:16" x14ac:dyDescent="0.4">
      <c r="D41" s="57"/>
      <c r="E41" s="61" t="s">
        <v>216</v>
      </c>
      <c r="F41" s="61"/>
      <c r="G41" s="61"/>
      <c r="K41" s="4"/>
      <c r="L41" s="4"/>
      <c r="N41" s="4"/>
      <c r="O41" s="4"/>
      <c r="P41" s="59"/>
    </row>
    <row r="42" spans="4:16" x14ac:dyDescent="0.4">
      <c r="D42" s="57"/>
      <c r="E42" s="63" t="s">
        <v>219</v>
      </c>
      <c r="F42" s="62"/>
      <c r="G42" s="62"/>
      <c r="K42" s="4"/>
      <c r="L42" s="4"/>
      <c r="M42" s="63" t="s">
        <v>220</v>
      </c>
      <c r="P42" s="59"/>
    </row>
    <row r="43" spans="4:16" x14ac:dyDescent="0.4">
      <c r="D43" s="57"/>
      <c r="E43" s="42" t="s">
        <v>221</v>
      </c>
      <c r="F43" s="62"/>
      <c r="G43" s="62"/>
      <c r="K43" s="4"/>
      <c r="L43" s="4"/>
      <c r="P43" s="59"/>
    </row>
    <row r="44" spans="4:16" x14ac:dyDescent="0.4">
      <c r="D44" s="57"/>
      <c r="E44" s="63" t="s">
        <v>206</v>
      </c>
      <c r="F44" s="62"/>
      <c r="G44" s="62"/>
      <c r="K44" s="4"/>
      <c r="L44" s="4"/>
      <c r="M44" s="42" t="s">
        <v>226</v>
      </c>
      <c r="P44" s="59"/>
    </row>
    <row r="45" spans="4:16" ht="19.5" thickBot="1" x14ac:dyDescent="0.45">
      <c r="D45" s="64"/>
      <c r="E45" s="65"/>
      <c r="F45" s="65"/>
      <c r="G45" s="65"/>
      <c r="H45" s="65"/>
      <c r="I45" s="65"/>
      <c r="J45" s="66"/>
      <c r="K45" s="66"/>
      <c r="L45" s="66"/>
      <c r="M45" s="66"/>
      <c r="N45" s="66"/>
      <c r="O45" s="66"/>
      <c r="P45" s="67"/>
    </row>
    <row r="46" spans="4:16" x14ac:dyDescent="0.4">
      <c r="D46" s="53"/>
      <c r="E46" s="54"/>
      <c r="F46" s="54"/>
      <c r="G46" s="54"/>
      <c r="H46" s="54"/>
      <c r="I46" s="54"/>
      <c r="J46" s="55"/>
      <c r="K46" s="55"/>
      <c r="L46" s="55"/>
      <c r="M46" s="55"/>
      <c r="N46" s="55"/>
      <c r="O46" s="55"/>
      <c r="P46" s="56"/>
    </row>
    <row r="47" spans="4:16" x14ac:dyDescent="0.4">
      <c r="D47" s="57">
        <v>5</v>
      </c>
      <c r="E47" s="58" t="s">
        <v>222</v>
      </c>
      <c r="F47" s="58"/>
      <c r="G47" s="58"/>
      <c r="P47" s="59"/>
    </row>
    <row r="48" spans="4:16" x14ac:dyDescent="0.4">
      <c r="D48" s="57"/>
      <c r="E48" s="4" t="s">
        <v>229</v>
      </c>
      <c r="H48" s="4">
        <v>250</v>
      </c>
      <c r="I48" s="4">
        <v>50</v>
      </c>
      <c r="K48" s="4">
        <v>300</v>
      </c>
      <c r="L48" s="4">
        <v>50</v>
      </c>
      <c r="N48" s="4">
        <v>350</v>
      </c>
      <c r="O48" s="4">
        <v>50</v>
      </c>
      <c r="P48" s="59"/>
    </row>
    <row r="49" spans="4:16" x14ac:dyDescent="0.4">
      <c r="D49" s="57"/>
      <c r="K49" s="4"/>
      <c r="N49" s="4"/>
      <c r="P49" s="59"/>
    </row>
    <row r="50" spans="4:16" ht="18.75" customHeight="1" x14ac:dyDescent="0.4">
      <c r="D50" s="57"/>
      <c r="N50" s="188" t="s">
        <v>223</v>
      </c>
      <c r="P50" s="59"/>
    </row>
    <row r="51" spans="4:16" ht="18.75" customHeight="1" x14ac:dyDescent="0.4">
      <c r="D51" s="57"/>
      <c r="K51" s="190" t="s">
        <v>223</v>
      </c>
      <c r="L51" s="4"/>
      <c r="N51" s="189"/>
      <c r="O51" s="4"/>
      <c r="P51" s="59"/>
    </row>
    <row r="52" spans="4:16" x14ac:dyDescent="0.4">
      <c r="D52" s="57"/>
      <c r="H52" s="190" t="s">
        <v>223</v>
      </c>
      <c r="K52" s="191"/>
      <c r="L52" s="4"/>
      <c r="N52" s="189"/>
      <c r="O52" s="4"/>
      <c r="P52" s="59"/>
    </row>
    <row r="53" spans="4:16" ht="18.75" customHeight="1" x14ac:dyDescent="0.4">
      <c r="D53" s="57"/>
      <c r="H53" s="193"/>
      <c r="K53" s="191"/>
      <c r="L53" s="4"/>
      <c r="N53" s="189"/>
      <c r="O53" s="4"/>
      <c r="P53" s="59"/>
    </row>
    <row r="54" spans="4:16" ht="18.75" customHeight="1" x14ac:dyDescent="0.4">
      <c r="D54" s="57"/>
      <c r="H54" s="193"/>
      <c r="K54" s="191"/>
      <c r="L54" s="4"/>
      <c r="N54" s="189"/>
      <c r="O54" s="4"/>
      <c r="P54" s="59"/>
    </row>
    <row r="55" spans="4:16" x14ac:dyDescent="0.4">
      <c r="D55" s="57"/>
      <c r="H55" s="193"/>
      <c r="K55" s="191"/>
      <c r="L55" s="4"/>
      <c r="N55" s="189"/>
      <c r="O55" s="4"/>
      <c r="P55" s="59"/>
    </row>
    <row r="56" spans="4:16" x14ac:dyDescent="0.4">
      <c r="D56" s="57"/>
      <c r="H56" s="158"/>
      <c r="I56" s="60" t="s">
        <v>207</v>
      </c>
      <c r="K56" s="192"/>
      <c r="L56" s="60" t="s">
        <v>207</v>
      </c>
      <c r="N56" s="189"/>
      <c r="O56" s="60" t="s">
        <v>207</v>
      </c>
      <c r="P56" s="59"/>
    </row>
    <row r="57" spans="4:16" x14ac:dyDescent="0.4">
      <c r="D57" s="57"/>
      <c r="E57" s="61" t="s">
        <v>214</v>
      </c>
      <c r="F57" s="61"/>
      <c r="G57" s="61"/>
      <c r="H57" s="4">
        <v>50</v>
      </c>
      <c r="I57" s="4">
        <v>50</v>
      </c>
      <c r="K57" s="68">
        <v>0</v>
      </c>
      <c r="L57" s="4">
        <v>50</v>
      </c>
      <c r="N57" s="68">
        <v>-50</v>
      </c>
      <c r="O57" s="4">
        <v>50</v>
      </c>
      <c r="P57" s="59"/>
    </row>
    <row r="58" spans="4:16" x14ac:dyDescent="0.4">
      <c r="D58" s="57"/>
      <c r="E58" s="61" t="s">
        <v>224</v>
      </c>
      <c r="F58" s="61"/>
      <c r="G58" s="61"/>
      <c r="H58" s="4">
        <v>250</v>
      </c>
      <c r="K58" s="69">
        <v>300</v>
      </c>
      <c r="L58" s="4"/>
      <c r="N58" s="69">
        <v>300</v>
      </c>
      <c r="O58" s="4"/>
      <c r="P58" s="59"/>
    </row>
    <row r="59" spans="4:16" x14ac:dyDescent="0.4">
      <c r="D59" s="57"/>
      <c r="E59" s="61" t="s">
        <v>216</v>
      </c>
      <c r="F59" s="61"/>
      <c r="G59" s="61"/>
      <c r="K59" s="4"/>
      <c r="N59" s="4"/>
      <c r="P59" s="59"/>
    </row>
    <row r="60" spans="4:16" x14ac:dyDescent="0.4">
      <c r="D60" s="57"/>
      <c r="E60" s="63" t="s">
        <v>225</v>
      </c>
      <c r="F60" s="62"/>
      <c r="G60" s="62"/>
      <c r="K60" s="4"/>
      <c r="M60" s="63" t="s">
        <v>226</v>
      </c>
      <c r="N60" s="4"/>
      <c r="P60" s="59"/>
    </row>
    <row r="61" spans="4:16" x14ac:dyDescent="0.4">
      <c r="D61" s="57"/>
      <c r="E61" s="70" t="s">
        <v>221</v>
      </c>
      <c r="F61" s="62"/>
      <c r="G61" s="62"/>
      <c r="K61" s="4"/>
      <c r="M61" s="63"/>
      <c r="N61" s="4"/>
      <c r="P61" s="59"/>
    </row>
    <row r="62" spans="4:16" x14ac:dyDescent="0.4">
      <c r="D62" s="57"/>
      <c r="E62" s="73" t="s">
        <v>205</v>
      </c>
      <c r="F62" s="62"/>
      <c r="G62" s="62"/>
      <c r="K62" s="4"/>
      <c r="L62" s="4"/>
      <c r="M62" s="42" t="s">
        <v>226</v>
      </c>
      <c r="P62" s="59"/>
    </row>
    <row r="63" spans="4:16" x14ac:dyDescent="0.4">
      <c r="D63" s="57"/>
      <c r="E63" s="63" t="s">
        <v>230</v>
      </c>
      <c r="F63" s="61"/>
      <c r="G63" s="61"/>
      <c r="K63" s="4"/>
      <c r="N63" s="4"/>
      <c r="P63" s="59"/>
    </row>
    <row r="64" spans="4:16" ht="19.5" thickBot="1" x14ac:dyDescent="0.45">
      <c r="D64" s="64"/>
      <c r="E64" s="65"/>
      <c r="F64" s="65"/>
      <c r="G64" s="65"/>
      <c r="H64" s="65"/>
      <c r="I64" s="65"/>
      <c r="J64" s="66"/>
      <c r="K64" s="66"/>
      <c r="L64" s="66"/>
      <c r="M64" s="66"/>
      <c r="N64" s="66"/>
      <c r="O64" s="66"/>
      <c r="P64" s="67"/>
    </row>
    <row r="65" spans="4:4" x14ac:dyDescent="0.4">
      <c r="D65" s="63" t="s">
        <v>227</v>
      </c>
    </row>
  </sheetData>
  <mergeCells count="24">
    <mergeCell ref="N50:N56"/>
    <mergeCell ref="K51:K56"/>
    <mergeCell ref="H52:H56"/>
    <mergeCell ref="N12:N18"/>
    <mergeCell ref="K13:K18"/>
    <mergeCell ref="H15:H18"/>
    <mergeCell ref="N33:N39"/>
    <mergeCell ref="K34:K39"/>
    <mergeCell ref="H36:H39"/>
    <mergeCell ref="I16:I18"/>
    <mergeCell ref="L14:L18"/>
    <mergeCell ref="N23:N26"/>
    <mergeCell ref="H7:I7"/>
    <mergeCell ref="H8:I8"/>
    <mergeCell ref="K7:L7"/>
    <mergeCell ref="K8:L8"/>
    <mergeCell ref="N7:O7"/>
    <mergeCell ref="N8:O8"/>
    <mergeCell ref="O13:O18"/>
    <mergeCell ref="F13:F18"/>
    <mergeCell ref="H13:H14"/>
    <mergeCell ref="H19:I19"/>
    <mergeCell ref="K19:L19"/>
    <mergeCell ref="N19:O19"/>
  </mergeCells>
  <phoneticPr fontId="1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F1A9F4-6068-406C-A75E-2111DEAD74FC}"/>
</file>

<file path=customXml/itemProps2.xml><?xml version="1.0" encoding="utf-8"?>
<ds:datastoreItem xmlns:ds="http://schemas.openxmlformats.org/officeDocument/2006/customXml" ds:itemID="{B4F2E95E-817A-46AE-9DAC-125F47F41FB6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b4c7ce4d-67a4-4f44-8f88-bfeca3803a63"/>
    <ds:schemaRef ds:uri="8ab8a245-1025-469f-bc0a-26499413059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C55990C-B1D0-44C6-B107-AE03C76647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マニュアル単品値引</vt:lpstr>
      <vt:lpstr>マニュアル単品値引 図</vt:lpstr>
      <vt:lpstr>値引確認</vt:lpstr>
      <vt:lpstr>データ</vt:lpstr>
      <vt:lpstr>旧　仕様　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2020-09-24T05:46:15Z</cp:lastPrinted>
  <dcterms:created xsi:type="dcterms:W3CDTF">2020-05-01T02:17:13Z</dcterms:created>
  <dcterms:modified xsi:type="dcterms:W3CDTF">2020-10-26T08:39:06Z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