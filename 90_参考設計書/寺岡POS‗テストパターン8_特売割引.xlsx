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2261" documentId="13_ncr:4000b_{BE94D42E-B2BE-436D-B016-AF5EBE3E1851}" xr6:coauthVersionLast="44" xr6:coauthVersionMax="44" xr10:uidLastSave="{8C97C41A-541A-4BF9-88EB-FF7CEBB0A464}"/>
  <bookViews>
    <workbookView xWindow="-120" yWindow="-120" windowWidth="20730" windowHeight="11160" tabRatio="832" activeTab="1" xr2:uid="{00000000-000D-0000-FFFF-FFFF00000000}"/>
  </bookViews>
  <sheets>
    <sheet name=" 仕様　特売" sheetId="13" r:id="rId1"/>
    <sheet name=" 仕様　特売　図" sheetId="14" r:id="rId2"/>
    <sheet name="値引確認" sheetId="5" r:id="rId3"/>
    <sheet name="値引確認追加" sheetId="15" r:id="rId4"/>
    <sheet name="データ" sheetId="1" r:id="rId5"/>
  </sheets>
  <definedNames>
    <definedName name="_xlnm._FilterDatabase" localSheetId="0" hidden="1">' 仕様　特売'!$A$3:$I$13</definedName>
    <definedName name="_xlnm._FilterDatabase" localSheetId="4" hidden="1">データ!$A$2:$R$184</definedName>
    <definedName name="_xlnm._FilterDatabase" localSheetId="2" hidden="1">値引確認!$A$1:$AE$270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4" i="14" l="1"/>
  <c r="I293" i="14"/>
  <c r="H293" i="14"/>
  <c r="I269" i="14"/>
  <c r="H269" i="14"/>
  <c r="I245" i="14"/>
  <c r="H245" i="14"/>
  <c r="I221" i="14"/>
  <c r="H221" i="14"/>
  <c r="H197" i="14"/>
  <c r="I197" i="14"/>
  <c r="I173" i="14"/>
  <c r="H173" i="14"/>
  <c r="H149" i="14" l="1"/>
  <c r="I149" i="14"/>
  <c r="L124" i="14"/>
  <c r="H100" i="14"/>
  <c r="M76" i="14"/>
  <c r="L76" i="14"/>
  <c r="H76" i="14"/>
  <c r="H53" i="14"/>
  <c r="H30" i="14"/>
  <c r="P6" i="14"/>
  <c r="P124" i="14" l="1"/>
  <c r="L6" i="14"/>
  <c r="H6" i="14"/>
  <c r="Q124" i="14" l="1"/>
  <c r="M124" i="14"/>
  <c r="I124" i="14"/>
  <c r="I100" i="14" l="1"/>
  <c r="I76" i="14" l="1"/>
  <c r="I53" i="14" l="1"/>
  <c r="I30" i="14"/>
  <c r="Q6" i="14" l="1"/>
  <c r="M6" i="14"/>
  <c r="I6" i="14" l="1"/>
  <c r="A184" i="1" l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64" i="1"/>
  <c r="A163" i="1"/>
  <c r="A162" i="1"/>
  <c r="A161" i="1"/>
  <c r="A160" i="1"/>
  <c r="A159" i="1"/>
  <c r="A158" i="1"/>
  <c r="A157" i="1"/>
  <c r="A156" i="1"/>
  <c r="A15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5" i="1"/>
  <c r="A116" i="1"/>
  <c r="A117" i="1"/>
  <c r="A118" i="1"/>
  <c r="A119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<sst xmlns="http://schemas.openxmlformats.org/spreadsheetml/2006/main" count="9644" uniqueCount="816">
  <si>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</si>
  <si>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</si>
  <si>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</si>
  <si>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</si>
  <si>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値下</t>
    <rPh sb="0" eb="2">
      <t>ネサ</t>
    </rPh>
    <phoneticPr fontId="2"/>
  </si>
  <si>
    <t>同額</t>
    <rPh sb="0" eb="2">
      <t>ドウガク</t>
    </rPh>
    <phoneticPr fontId="2"/>
  </si>
  <si>
    <t>値増</t>
    <rPh sb="0" eb="2">
      <t>アタイゾウ</t>
    </rPh>
    <phoneticPr fontId="2"/>
  </si>
  <si>
    <t>①通常単価＞特売売価変更金額＞ミックスマッチ後金額</t>
    <phoneticPr fontId="1"/>
  </si>
  <si>
    <t>ミックスマッチ</t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</si>
  <si>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</si>
  <si>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</si>
  <si>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</si>
  <si>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</si>
  <si>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当日売価</t>
    <rPh sb="0" eb="2">
      <t>トウジツ</t>
    </rPh>
    <rPh sb="2" eb="4">
      <t>バイカ</t>
    </rPh>
    <phoneticPr fontId="2"/>
  </si>
  <si>
    <t>マスタ設定額</t>
    <rPh sb="3" eb="5">
      <t>セッテイ</t>
    </rPh>
    <rPh sb="5" eb="6">
      <t>ガク</t>
    </rPh>
    <phoneticPr fontId="1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</si>
  <si>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</si>
  <si>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</si>
  <si>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</si>
  <si>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特売</t>
    <rPh sb="0" eb="2">
      <t>トクバイ</t>
    </rPh>
    <phoneticPr fontId="1"/>
  </si>
  <si>
    <t>ミックス
マッチ</t>
    <phoneticPr fontId="1"/>
  </si>
  <si>
    <t>特売</t>
    <rPh sb="0" eb="2">
      <t>トクバイ</t>
    </rPh>
    <phoneticPr fontId="2"/>
  </si>
  <si>
    <t>値下</t>
    <rPh sb="0" eb="2">
      <t>ネサゲ</t>
    </rPh>
    <phoneticPr fontId="1"/>
  </si>
  <si>
    <t>①通常単価＞特売売価変更金額＝ミックスマッチ後金額</t>
    <phoneticPr fontId="1"/>
  </si>
  <si>
    <t>①通常単価＞ミックスマッチ後金額＞特売売価変更金額</t>
    <phoneticPr fontId="1"/>
  </si>
  <si>
    <t>①通常単価＝ミックスマッチ後金額＞特売売価変更金額</t>
    <phoneticPr fontId="1"/>
  </si>
  <si>
    <t>①ミックスマッチ後金額＞通常単価＞特売売価変更金額</t>
    <phoneticPr fontId="1"/>
  </si>
  <si>
    <t>同額</t>
    <rPh sb="0" eb="2">
      <t>ドウガク</t>
    </rPh>
    <phoneticPr fontId="1"/>
  </si>
  <si>
    <t>①通常単価＝特売売価変更金額＞ミックスマッチ後金額</t>
    <phoneticPr fontId="1"/>
  </si>
  <si>
    <t>①通常単価＝特売売価変更金額＝ミックスマッチ後金額</t>
    <phoneticPr fontId="1"/>
  </si>
  <si>
    <t>①ミックスマッチ後金額＞通常単価＝特売売価変更金額</t>
    <phoneticPr fontId="1"/>
  </si>
  <si>
    <t>①特売売価変更金額＞通常単価＝ミックスマッチ後金額</t>
    <phoneticPr fontId="1"/>
  </si>
  <si>
    <t>①特売売価変更金額＞通常単価＞ミックスマッチ後金額</t>
    <phoneticPr fontId="1"/>
  </si>
  <si>
    <t>①特売売価変更金額＞ミックスマッチ後金額＞通常単価</t>
    <phoneticPr fontId="1"/>
  </si>
  <si>
    <t>①特売売価変更金額＝ミックスマッチ後金額＞通常単価</t>
    <phoneticPr fontId="1"/>
  </si>
  <si>
    <t>①ミックスマッチ後金額＞特売売価変更金額＞通常単価</t>
    <phoneticPr fontId="1"/>
  </si>
  <si>
    <t>売上　特売タイムサービス割引</t>
    <rPh sb="0" eb="2">
      <t>ウリアゲ</t>
    </rPh>
    <phoneticPr fontId="1"/>
  </si>
  <si>
    <t>売上　特売タイムサービス値引</t>
    <rPh sb="0" eb="2">
      <t>ウリアゲ</t>
    </rPh>
    <rPh sb="12" eb="14">
      <t>ネビキ</t>
    </rPh>
    <phoneticPr fontId="1"/>
  </si>
  <si>
    <t>売上　特売タイムサービス金額</t>
    <phoneticPr fontId="1"/>
  </si>
  <si>
    <t>売上　特売期間金額</t>
  </si>
  <si>
    <t>売上　特売期間割引</t>
    <phoneticPr fontId="1"/>
  </si>
  <si>
    <t>売上　特売期間値引</t>
    <phoneticPr fontId="1"/>
  </si>
  <si>
    <t>値増</t>
    <rPh sb="0" eb="2">
      <t>ネマ</t>
    </rPh>
    <phoneticPr fontId="1"/>
  </si>
  <si>
    <t>通常単価＞特売売価変更金額＞値引シール【2:割引】値引後金額</t>
    <phoneticPr fontId="1"/>
  </si>
  <si>
    <t>通常単価＝特売売価変更金額＞値引シール【2:割引】値引後金額</t>
    <phoneticPr fontId="1"/>
  </si>
  <si>
    <t>特売売価変更金額＞通常単価＞値引シール【2:割引】値引後金額</t>
    <phoneticPr fontId="1"/>
  </si>
  <si>
    <t>通常単価＞特売売価変更金額＞値引シール【1:値引】値引後金額</t>
    <phoneticPr fontId="1"/>
  </si>
  <si>
    <t>通常単価＝特売売価変更金額＞値引シール【1:値引】値引後金額</t>
    <phoneticPr fontId="1"/>
  </si>
  <si>
    <t>特売売価変更金額＞通常単価＞値引シール【1:値引】値引後金額</t>
    <phoneticPr fontId="1"/>
  </si>
  <si>
    <t>値引シール【1:値引】</t>
    <phoneticPr fontId="1"/>
  </si>
  <si>
    <t>値引シール【2:値引】</t>
    <phoneticPr fontId="1"/>
  </si>
  <si>
    <t>値引シール【3:金額】</t>
    <phoneticPr fontId="1"/>
  </si>
  <si>
    <t>①通常単価＞特売売価変更金額＞値引シール【3:金額】</t>
    <phoneticPr fontId="1"/>
  </si>
  <si>
    <t>①通常単価＞特売売価変更金額＝値引シール【3:金額】</t>
    <phoneticPr fontId="1"/>
  </si>
  <si>
    <t>①通常単価＞値引シール【3:金額】＞特売売価変更金額</t>
    <phoneticPr fontId="1"/>
  </si>
  <si>
    <t>①通常単価＝値引シール【3:金額】＞特売売価変更金額</t>
    <phoneticPr fontId="1"/>
  </si>
  <si>
    <t>①値引シール【3:金額】＞通常単価＞特売売価変更金額</t>
    <phoneticPr fontId="1"/>
  </si>
  <si>
    <t>①通常単価＝特売売価変更金額＞値引シール【3:金額】</t>
    <phoneticPr fontId="1"/>
  </si>
  <si>
    <t>①通常単価＝特売売価変更金額＝値引シール【3:金額】</t>
    <phoneticPr fontId="1"/>
  </si>
  <si>
    <t>①値引シール【3:金額】＞通常単価＝特売売価変更金額</t>
    <phoneticPr fontId="1"/>
  </si>
  <si>
    <t>①特売売価変更金額＞通常単価＝値引シール【3:金額】</t>
    <phoneticPr fontId="1"/>
  </si>
  <si>
    <t>①特売売価変更金額＞通常単価＞値引シール【3:金額】</t>
    <phoneticPr fontId="1"/>
  </si>
  <si>
    <t>①特売売価変更金額＞値引シール【3:金額】＞通常単価</t>
    <phoneticPr fontId="1"/>
  </si>
  <si>
    <t>①特売売価変更金額＝値引シール【3:金額】＞通常単価</t>
    <phoneticPr fontId="1"/>
  </si>
  <si>
    <t>①値引シール【3:金額】＞特売売価変更金額＞通常単価</t>
    <phoneticPr fontId="1"/>
  </si>
  <si>
    <t>通常単価＞特売売価変更金額＞値引シール【3:金額】</t>
    <phoneticPr fontId="1"/>
  </si>
  <si>
    <t>通常単価＞特売売価変更金額＝値引シール【3:金額】</t>
    <phoneticPr fontId="1"/>
  </si>
  <si>
    <t>通常単価＞値引シール【3:金額】＞特売売価変更金額</t>
    <phoneticPr fontId="1"/>
  </si>
  <si>
    <t>通常単価＝値引シール【3:金額】＞特売売価変更金額</t>
    <phoneticPr fontId="1"/>
  </si>
  <si>
    <t>値引シール【3:金額】＞通常単価＞特売売価変更金額</t>
    <phoneticPr fontId="1"/>
  </si>
  <si>
    <t>売上　特売期間値引</t>
    <rPh sb="7" eb="9">
      <t>ネビキ</t>
    </rPh>
    <phoneticPr fontId="1"/>
  </si>
  <si>
    <t>①通常単価＝特売売価変更金額＞カテゴリー値引後金額</t>
  </si>
  <si>
    <t>①特売売価変更金額＞通常単価＞カテゴリー値引後金額</t>
  </si>
  <si>
    <t>①通常単価＞特売売価変更金額＞カテゴリー値引後金額</t>
    <phoneticPr fontId="1"/>
  </si>
  <si>
    <t>カテゴリー値引</t>
    <phoneticPr fontId="1"/>
  </si>
  <si>
    <t>カテゴリー割引</t>
    <rPh sb="5" eb="7">
      <t>ワリビキ</t>
    </rPh>
    <phoneticPr fontId="1"/>
  </si>
  <si>
    <t>①通常単価＞特売売価変更金額＞カテゴリー割引後金額</t>
  </si>
  <si>
    <t>①通常単価＝特売売価変更金額＞カテゴリー割引後金額</t>
  </si>
  <si>
    <t>①特売売価変更金額＞通常単価＞カテゴリー割引後金額</t>
  </si>
  <si>
    <t>朝割</t>
    <rPh sb="0" eb="1">
      <t>アサ</t>
    </rPh>
    <rPh sb="1" eb="2">
      <t>ワリ</t>
    </rPh>
    <phoneticPr fontId="1"/>
  </si>
  <si>
    <t>①通常単価＞特売売価変更金額＞朝割後金額</t>
  </si>
  <si>
    <t>①通常単価＝特売売価変更金額＞朝割後金額</t>
  </si>
  <si>
    <t>①特売売価変更金額＞通常単価＞朝割後金額</t>
  </si>
  <si>
    <t>小計値引</t>
  </si>
  <si>
    <t>①通常単価＞特売売価変更金額＞小計値引後金額</t>
  </si>
  <si>
    <t>①通常単価＝特売売価変更金額＞小計値引後金額</t>
  </si>
  <si>
    <t>①特売売価変更金額＞通常単価＞小計値引後金額</t>
  </si>
  <si>
    <t>小計割引</t>
    <phoneticPr fontId="1"/>
  </si>
  <si>
    <t>①通常単価＞特売売価変更金額＞小計割引後金額</t>
  </si>
  <si>
    <t>①通常単価＝特売売価変更金額＞小計割引後金額</t>
  </si>
  <si>
    <t>①特売売価変更金額＞通常単価＞小計割引後金額</t>
  </si>
  <si>
    <t>メガ割</t>
    <phoneticPr fontId="1"/>
  </si>
  <si>
    <t>①通常単価＞特売売価変更金額＞メガ割後金額</t>
  </si>
  <si>
    <t>①通常単価＝特売売価変更金額＞メガ割後金額</t>
  </si>
  <si>
    <t>①特売売価変更金額＞通常単価＞メガ割後金額</t>
  </si>
  <si>
    <t>クレジット割</t>
  </si>
  <si>
    <t>①通常単価＞特売売価変更金額＞クレジット割後金額</t>
  </si>
  <si>
    <t>①通常単価＝特売売価変更金額＞クレジット割後金額</t>
  </si>
  <si>
    <t>①特売売価変更金額＞通常単価＞クレジット割後金額</t>
  </si>
  <si>
    <t>塩数の子（折子）２６０Ｇ　　　　　　　　</t>
  </si>
  <si>
    <t>4935758055742</t>
  </si>
  <si>
    <t>塩数の子（無漂白）１１０Ｇ　　　　　　　</t>
  </si>
  <si>
    <t>4943622704627</t>
  </si>
  <si>
    <t>塩数の子（折れ子）１３０Ｇ　　　　　　　</t>
  </si>
  <si>
    <t>4935758009561</t>
  </si>
  <si>
    <t>まぐろたたき生食用（袋）１８０ｇＦＯ用　</t>
  </si>
  <si>
    <t>4941237421502</t>
  </si>
  <si>
    <t>（ＦＣ）まぐろ切落し生食用（小）　　　　</t>
  </si>
  <si>
    <t>4931703173608</t>
  </si>
  <si>
    <t>ＴＶグリーンアイＭＳＣ認証さばスモーク　</t>
  </si>
  <si>
    <t>4549741672481</t>
  </si>
  <si>
    <t>サラダツナ（ハーブ）　　　　　　　　　　</t>
  </si>
  <si>
    <t>4901990738330</t>
  </si>
  <si>
    <t>イタリアンスモーク　塩レモン　　　　　　</t>
  </si>
  <si>
    <t>4955456800185</t>
  </si>
  <si>
    <t>３種の野菜とさばのサラダ　　　　　　　　</t>
  </si>
  <si>
    <t>4903250551932</t>
  </si>
  <si>
    <t>アーモンドフィッシュ８０ｇ　　　　　　　</t>
  </si>
  <si>
    <t>4937932020065</t>
  </si>
  <si>
    <t>味付数の子白醤油１４０ｇ　　　　　　　　</t>
  </si>
  <si>
    <t>4906964012263</t>
  </si>
  <si>
    <t>味付数の子２７０Ｇ　　　　　　　　　　　</t>
  </si>
  <si>
    <t>4950861108758</t>
  </si>
  <si>
    <t>味付け数の子９０ｇ　　　　　　　　　　　</t>
  </si>
  <si>
    <t>4906964014861</t>
  </si>
  <si>
    <t>味付数の子２００Ｇ　　　　　　　　　　　</t>
  </si>
  <si>
    <t>4950861108970</t>
  </si>
  <si>
    <t>味付数の子　　　　　　　　　　　　　　　</t>
  </si>
  <si>
    <t>4950861107614</t>
  </si>
  <si>
    <t>塩いくら（北海道産）４５ｇ　　　　　　　</t>
  </si>
  <si>
    <t>4935758011694</t>
  </si>
  <si>
    <t>とびっこ７０ｇ　　　　　　　　　　　　　</t>
  </si>
  <si>
    <t>4902618244592</t>
  </si>
  <si>
    <t>味付いくら５０Ｇ　　　　　　　　　　　　</t>
  </si>
  <si>
    <t>4935758055766</t>
  </si>
  <si>
    <t>味付いくら（北海道産）４５Ｇ　　　　　　</t>
  </si>
  <si>
    <t>4935758057135</t>
  </si>
  <si>
    <t>ＦＯ味付イクラ５５Ｇ　　　　　　　　　　</t>
  </si>
  <si>
    <t>4935758010406</t>
  </si>
  <si>
    <t>味付いくら（鱒卵）７０ｇ　　　　　　　　</t>
  </si>
  <si>
    <t>4935758057197</t>
  </si>
  <si>
    <t>味付いくら（北海道産）８０Ｇ　　　　　　</t>
  </si>
  <si>
    <t>4935758011076</t>
  </si>
  <si>
    <t>（ＦＣ）塩紅鮭甘口３切　　　　　　　　　</t>
  </si>
  <si>
    <t>4935758056244</t>
  </si>
  <si>
    <t>塩紅鮭（減塩）ＦＯ用　　　　　　　　　　</t>
  </si>
  <si>
    <t>4964085315625</t>
  </si>
  <si>
    <t>（ＦＣ）塩紅鮭甘口２切　　　　　　　　　</t>
  </si>
  <si>
    <t>4935758056237</t>
  </si>
  <si>
    <t>（ＦＣ）塩銀鮭甘口（養殖）２切　　　　　</t>
  </si>
  <si>
    <t>4935758056213</t>
  </si>
  <si>
    <t>（ＦＣ）塩銀鮭甘口（養殖）３切　　　　　</t>
  </si>
  <si>
    <t>4935758056220</t>
  </si>
  <si>
    <t>（ＦＣ）塩銀鮭（甘口）１切　　　　　　　</t>
  </si>
  <si>
    <t>4935552328189</t>
  </si>
  <si>
    <t>塩紅鮭（辛口）ＦＯ用　　　　　　　　　　</t>
  </si>
  <si>
    <t>4964085217721</t>
  </si>
  <si>
    <t>塩紅鮭（激辛）ＦＯ用　　　　　　　　　　</t>
  </si>
  <si>
    <t>4964085316424</t>
  </si>
  <si>
    <t>秋鮭切身５０Ｇ　４切　バジル　　　　　　</t>
  </si>
  <si>
    <t>4907946301153</t>
  </si>
  <si>
    <t>藁巻き山漬け塩紅鮭切身（中辛塩）　　　　</t>
  </si>
  <si>
    <t>4964085317513</t>
  </si>
  <si>
    <t>秋鮭切身５０Ｇ　４切　　　　　　　　　　</t>
  </si>
  <si>
    <t>4907946301160</t>
  </si>
  <si>
    <t>藁巻き山漬け塩紅鮭切身（辛塩）　　　　　</t>
  </si>
  <si>
    <t>4964085217714</t>
  </si>
  <si>
    <t>塩紅鮭切身（甘口）４切真空　　　　　　　</t>
  </si>
  <si>
    <t>4907946301382</t>
  </si>
  <si>
    <t>塩紅鮭切身（減塩）真空　　　　　　　　　</t>
  </si>
  <si>
    <t>4964085315618</t>
  </si>
  <si>
    <t>（ＦＣ）銀鮭西京２切　　　　　　　　　　</t>
  </si>
  <si>
    <t>4935758056251</t>
  </si>
  <si>
    <t>サーモンのバジルパン粉焼　　　　　　　　</t>
  </si>
  <si>
    <t>4904131663898</t>
  </si>
  <si>
    <t>チャンチャン焼たれ１５０ｇ　　　　　　　</t>
  </si>
  <si>
    <t>4904131129950</t>
  </si>
  <si>
    <t>（ＦＣ）秋鮭切身１切　　　　　　　　　　</t>
  </si>
  <si>
    <t>4935758056725</t>
  </si>
  <si>
    <t>（ＦＣ）秋鮭切身２切　　　　　　　　　　</t>
  </si>
  <si>
    <t>4935758056619</t>
  </si>
  <si>
    <t>ぶり大根のタレ（３０入）　　　　　　　　</t>
  </si>
  <si>
    <t>4904131492382</t>
  </si>
  <si>
    <t>鯛のあら炊きのタレ　　　　　　　　　　　</t>
  </si>
  <si>
    <t>4904131534143</t>
  </si>
  <si>
    <t>ビストロ　フィッシュムニエル粉　　　　　</t>
  </si>
  <si>
    <t>4902807341460</t>
  </si>
  <si>
    <t>鮮魚亭　揚げずに簡単竜田揚げの素　　　　</t>
  </si>
  <si>
    <t>4904621070571</t>
  </si>
  <si>
    <t>鮮魚亭フライパン黒酢あん炒めの素　　　　</t>
  </si>
  <si>
    <t>4904621070588</t>
  </si>
  <si>
    <t>ぶり大根用つゆ２５０ｇ　　　　　　　　　</t>
  </si>
  <si>
    <t>4902807341286</t>
  </si>
  <si>
    <t>ぶり照り焼のたれ３０ｇ×４　　　　　　　</t>
  </si>
  <si>
    <t>4902807340951</t>
  </si>
  <si>
    <t>海鮮和采　西京焼のたれ　　　　　　　　　</t>
  </si>
  <si>
    <t>4902807341958</t>
  </si>
  <si>
    <t>煮魚用つゆ２５０ｇ　　　　　　　　　　　</t>
  </si>
  <si>
    <t>4902807341293</t>
  </si>
  <si>
    <t>みそ煮用つゆ２５０ｇ　　　　　　　　　　</t>
  </si>
  <si>
    <t>4902807341309</t>
  </si>
  <si>
    <t>煮魚のたれ　４０入　　　　　　　　　　　</t>
  </si>
  <si>
    <t>4904131890980</t>
  </si>
  <si>
    <t>（ＦＣ）塩たら切身２切　　　　　　　　　</t>
  </si>
  <si>
    <t>4935758056602</t>
  </si>
  <si>
    <t>（ＦＣ）さんま１尾　　　　　　　　　　　</t>
  </si>
  <si>
    <t>4935552329063</t>
  </si>
  <si>
    <t>（ＦＣ）さんま２尾　　　　　　　　　　　</t>
  </si>
  <si>
    <t>4935552329056</t>
  </si>
  <si>
    <t>さんま塩焼き　　　　　　　　　　　　　　</t>
  </si>
  <si>
    <t>4934013001326</t>
  </si>
  <si>
    <t>さば串塩焼き　　　　　　　　　　　　　　</t>
  </si>
  <si>
    <t>4934013001319</t>
  </si>
  <si>
    <t>あなご蒲焼（真空）　　　　　　　　　　　</t>
  </si>
  <si>
    <t>4905733081806</t>
  </si>
  <si>
    <t>ひつまぶしセット　　　　　　　　　　　　</t>
  </si>
  <si>
    <t>4935758053601</t>
  </si>
  <si>
    <t>煮あなご　１尾　　　　　　　　　　　　　</t>
  </si>
  <si>
    <t>4934416100435</t>
  </si>
  <si>
    <t>ＴＶ蒲焼のたれ２４０ｇ　　　　　　　　　</t>
  </si>
  <si>
    <t>4549741377539</t>
  </si>
  <si>
    <t>うなぎのたれ２１０Ｇ　　　　　　　　　　</t>
  </si>
  <si>
    <t>4904131230175</t>
  </si>
  <si>
    <t>ＴＶ蒲焼のたれ１００ｍｌ　　　　　　　　</t>
  </si>
  <si>
    <t>4901810020690</t>
  </si>
  <si>
    <t>活あさり大粒２２０ｇ　　　　　　　　　　</t>
  </si>
  <si>
    <t>4953511180142</t>
  </si>
  <si>
    <t>あさり炊き込みごはんの素１５０Ｇ　　　　</t>
  </si>
  <si>
    <t>4909030922626</t>
  </si>
  <si>
    <t>ボイルムキアサリ１４０Ｇ　　　　　　　　</t>
  </si>
  <si>
    <t>4909030918377</t>
  </si>
  <si>
    <t>ボイルムキアサリ　１４０Ｇ　　　　　　　</t>
  </si>
  <si>
    <t>4940785198188</t>
  </si>
  <si>
    <t>ボイルあさりムキ身１１０Ｇ　　　　　　　</t>
  </si>
  <si>
    <t>4958671000002</t>
  </si>
  <si>
    <t>紅鮭粕漬け２切　　　　　　　　　　　　　</t>
  </si>
  <si>
    <t>4942214164122</t>
  </si>
  <si>
    <t>赤魚みりん（大）２枚　　　　　　　　　　</t>
  </si>
  <si>
    <t>4952333055799</t>
  </si>
  <si>
    <t>さんま銚子漬け２切　　　　　　　　　　　</t>
  </si>
  <si>
    <t>4942214111119</t>
  </si>
  <si>
    <t>さんまみりん干し（大）２枚　　　　　　　</t>
  </si>
  <si>
    <t>4956825102275</t>
  </si>
  <si>
    <t>からすかれい味醂漬け　ＦＯ用　　　　　　</t>
  </si>
  <si>
    <t>4582362134914</t>
  </si>
  <si>
    <t>ＭＳＣさばみりん干し２枚　　　　　　　　</t>
  </si>
  <si>
    <t>4963592885010</t>
  </si>
  <si>
    <t>さんまみりん干し２枚　　　　　　　　　　</t>
  </si>
  <si>
    <t>4956825102251</t>
  </si>
  <si>
    <t>骨取さば（さくらぼし）２枚　　　　　　　</t>
  </si>
  <si>
    <t>4956825052112</t>
  </si>
  <si>
    <t>ほっけ本みりん２枚　　　　　　　　　　　</t>
  </si>
  <si>
    <t>4952333052972</t>
  </si>
  <si>
    <t>骨取赤魚みりん漬４切れ　　　　　　　　　</t>
  </si>
  <si>
    <t>4952333053948</t>
  </si>
  <si>
    <t>赤魚銚子漬け２切　　　　　　　　　　　　</t>
  </si>
  <si>
    <t>4942214117128</t>
  </si>
  <si>
    <t>（冷凍）さんまみりん３枚　　　　　　　　</t>
  </si>
  <si>
    <t>4956825103319</t>
  </si>
  <si>
    <t>赤魚みりん漬　　　　　　　　　　　　　　</t>
  </si>
  <si>
    <t>4905791012170</t>
  </si>
  <si>
    <t>（冷凍）かれいみりん漬２切　　　　　　　</t>
  </si>
  <si>
    <t>4952333055058</t>
  </si>
  <si>
    <t>いわしみりん干（３尾）　　　　　　　　　</t>
  </si>
  <si>
    <t>4956825021057</t>
  </si>
  <si>
    <t>赤魚みりん２枚　　　　　　　　　　　　　</t>
  </si>
  <si>
    <t>4952333012020</t>
  </si>
  <si>
    <t>さんまみりん干し３枚　　　　　　　　　　</t>
  </si>
  <si>
    <t>4956825103326</t>
  </si>
  <si>
    <t>（冷凍）赤魚みりん２枚　　　　　　　　　</t>
  </si>
  <si>
    <t>4952333055324</t>
  </si>
  <si>
    <t>いわし銚子漬け２切　　　　　　　　　　　</t>
  </si>
  <si>
    <t>4942214112123</t>
  </si>
  <si>
    <t>ほっけみりん３枚　　　　　　　　　　　　</t>
  </si>
  <si>
    <t>4952333055850</t>
  </si>
  <si>
    <t>さばみりん干し（４枚）　　　　　　　　　</t>
  </si>
  <si>
    <t>4956825100455</t>
  </si>
  <si>
    <t>かじきみそ漬け３切　　　　　　　　　　　</t>
  </si>
  <si>
    <t>4935552335408</t>
  </si>
  <si>
    <t>骨取赤魚西京漬４切れ　　　　　　　　　　</t>
  </si>
  <si>
    <t>4952333052330</t>
  </si>
  <si>
    <t>さば西京風味噌（冷凍）　　　　　　　　　</t>
  </si>
  <si>
    <t>4958131081008</t>
  </si>
  <si>
    <t>するめいかみりん漬　　　　　　　　　　　</t>
  </si>
  <si>
    <t>4935758054493</t>
  </si>
  <si>
    <t>サーモン西京風味噌（冷凍）　　　　　　　</t>
  </si>
  <si>
    <t>4958131480672</t>
  </si>
  <si>
    <t>笹巻ぎんだら西京漬　　　　　　　　　　　</t>
  </si>
  <si>
    <t>4935758054462</t>
  </si>
  <si>
    <t>笹巻からすがれい西京漬　　　　　　　　　</t>
  </si>
  <si>
    <t>4935758054455</t>
  </si>
  <si>
    <t>銀ひらす西京風味噌（冷凍）　　　　　　　</t>
  </si>
  <si>
    <t>4958131081053</t>
  </si>
  <si>
    <t>国産いか西京漬け　１７０ｇ　　　　　　　</t>
  </si>
  <si>
    <t>4582362134921</t>
  </si>
  <si>
    <t>赤魚西京風味噌（冷凍）　　　　　　　　　</t>
  </si>
  <si>
    <t>4958131081015</t>
  </si>
  <si>
    <t>骨取さわら西京漬４切れ　　　　　　　　　</t>
  </si>
  <si>
    <t>4952333052019</t>
  </si>
  <si>
    <t>笹巻とろあじ西京漬　　　　　　　　　　　</t>
  </si>
  <si>
    <t>4935758054448</t>
  </si>
  <si>
    <t>（冷凍）銀鮭西京漬３切　　　　　　　　　</t>
  </si>
  <si>
    <t>4952333055041</t>
  </si>
  <si>
    <t>笹巻金目鯛西京漬　　　　　　　　　　　　</t>
  </si>
  <si>
    <t>4935758054486</t>
  </si>
  <si>
    <t>笹巻赤魚西京漬　　　　　　　　　　　　　</t>
  </si>
  <si>
    <t>4935758054479</t>
  </si>
  <si>
    <t>（ＦＣ）骨取さば西京２枚　　　　　　　　</t>
  </si>
  <si>
    <t>4935552335422</t>
  </si>
  <si>
    <t>するめいかバジル漬　　　　　　　　　　　</t>
  </si>
  <si>
    <t>4935758054509</t>
  </si>
  <si>
    <t>まとう鯛西京風味噌（冷凍）　　　　　　　</t>
  </si>
  <si>
    <t>4958131081046</t>
  </si>
  <si>
    <t>笹巻サバ西京漬　　　　　　　　　　　　　</t>
  </si>
  <si>
    <t>4935758054417</t>
  </si>
  <si>
    <t>メロ西京漬け　２切　　　　　　　　　　　</t>
  </si>
  <si>
    <t>4582362134907</t>
  </si>
  <si>
    <t>骨取り秋鮭オニオンコンソメ　　　　　　　</t>
  </si>
  <si>
    <t>4952333056062</t>
  </si>
  <si>
    <t>国産イカの鉄板焼（キムチ）　　　　　　　</t>
  </si>
  <si>
    <t>4934416100602</t>
  </si>
  <si>
    <t>骨取り秋鮭香草チーズ　　　　　　　　　　</t>
  </si>
  <si>
    <t>4952333056048</t>
  </si>
  <si>
    <t>ねぎ塩さんま２尾　　　　　　　　　　　　</t>
  </si>
  <si>
    <t>4518365030496</t>
  </si>
  <si>
    <t>さんまピリ辛３尾　　　　　　　　　　　　</t>
  </si>
  <si>
    <t>4904620631735</t>
  </si>
  <si>
    <t>（ＦＣ）骨取さば切身３切　　　　　　　　</t>
  </si>
  <si>
    <t>4935552335439</t>
  </si>
  <si>
    <t>国産イカの鉄板焼（塩だれ）　　　　　　　</t>
  </si>
  <si>
    <t>4934416100619</t>
  </si>
  <si>
    <t>さんま開き（みりん味）　　　　　　　　　</t>
  </si>
  <si>
    <t>4954152253011</t>
  </si>
  <si>
    <t>さんま開き（昆布醤油干し）３枚　　　　　</t>
  </si>
  <si>
    <t>4945117500516</t>
  </si>
  <si>
    <t>さんま開き１枚　　　　　　　　　　　　　</t>
  </si>
  <si>
    <t>4935552316513</t>
  </si>
  <si>
    <t>さんま開き３枚（創生水仕込）　　　　　　</t>
  </si>
  <si>
    <t>4947669103337</t>
  </si>
  <si>
    <t>さんま開き（しお味）　　　　　　　　　　</t>
  </si>
  <si>
    <t>4954152253110</t>
  </si>
  <si>
    <t>（ＦＣ）さんま開き１枚　　　　　　　　　</t>
  </si>
  <si>
    <t>4935552335491</t>
  </si>
  <si>
    <t>大吟醸造りあじ開き　　　　　　　　　　　</t>
  </si>
  <si>
    <t>4955301070022</t>
  </si>
  <si>
    <t>（ＦＣ）あじ開き１枚　　　　　　　　　　</t>
  </si>
  <si>
    <t>4935552335453</t>
  </si>
  <si>
    <t>真あじ開２枚（真空）冷凍　　　　　　　　</t>
  </si>
  <si>
    <t>4935552311143</t>
  </si>
  <si>
    <t>（冷凍）アジ開２枚　　　　　　　　　　　</t>
  </si>
  <si>
    <t>4938024702982</t>
  </si>
  <si>
    <t>あじ開き（みりん味）　　　　　　　　　　</t>
  </si>
  <si>
    <t>4954152201012</t>
  </si>
  <si>
    <t>あじ開き（昆布醤油干し）３枚　　　　　　</t>
  </si>
  <si>
    <t>4945117530056</t>
  </si>
  <si>
    <t>あじ開き大２枚　　　　　　　　　　　　　</t>
  </si>
  <si>
    <t>4938024702951</t>
  </si>
  <si>
    <t>あじ開き（バジル味）　　　　　　　　　　</t>
  </si>
  <si>
    <t>4954152201210</t>
  </si>
  <si>
    <t>あじ開き（しお味）　　　　　　　　　　　</t>
  </si>
  <si>
    <t>4954152201111</t>
  </si>
  <si>
    <t>あじ開き（大）２枚　　　　　　　　　　　</t>
  </si>
  <si>
    <t>4955301211104</t>
  </si>
  <si>
    <t>あじ開き３枚（創生水仕込）　　　　　　　</t>
  </si>
  <si>
    <t>4947669103313</t>
  </si>
  <si>
    <t>ＭＳＣさば文化干し２枚　　　　　　　　　</t>
  </si>
  <si>
    <t>4963592885027</t>
  </si>
  <si>
    <t>真さば片身（しお味）　　　　　　　　　　</t>
  </si>
  <si>
    <t>4954152280116</t>
  </si>
  <si>
    <t>さば文化干し２枚（創生水仕込）　　　　　</t>
  </si>
  <si>
    <t>4947669171176</t>
  </si>
  <si>
    <t>塩干さば２枚　　　　　　　　　　　　　　</t>
  </si>
  <si>
    <t>4904325010224</t>
  </si>
  <si>
    <t>塩さば５枚　　　　　　　　　　　　　　　</t>
  </si>
  <si>
    <t>4935552328943</t>
  </si>
  <si>
    <t>塩さばフィーレ　　　　　　　　　　　　　</t>
  </si>
  <si>
    <t>4935552328561</t>
  </si>
  <si>
    <t>さばフィーレ２枚真空　　　　　　　　　　</t>
  </si>
  <si>
    <t>4935552339673</t>
  </si>
  <si>
    <t>昆布とほたて香るさば醤油干し２枚　　　　</t>
  </si>
  <si>
    <t>4945117800104</t>
  </si>
  <si>
    <t>真ほっけ開き（みりん味）　　　　　　　　</t>
  </si>
  <si>
    <t>4954152250010</t>
  </si>
  <si>
    <t>真ほっけ開き（しお味）　　　　　　　　　</t>
  </si>
  <si>
    <t>4954152250119</t>
  </si>
  <si>
    <t>真ほっけ開１枚真空　　　　　　　　　　　</t>
  </si>
  <si>
    <t>4935552339666</t>
  </si>
  <si>
    <t>しまほっけ切身２切　　　　　　　　　　　</t>
  </si>
  <si>
    <t>4900572235076</t>
  </si>
  <si>
    <t>昆布とほたて香る縞ほっけ（真空）２枚（冷</t>
  </si>
  <si>
    <t>4945117063387</t>
  </si>
  <si>
    <t>しまほっけ切身　２切　　　　　　　　　　</t>
  </si>
  <si>
    <t>4945117839029</t>
  </si>
  <si>
    <t>縞ほっけ開き（真空）１枚（冷凍）　　　　</t>
  </si>
  <si>
    <t>4945117715231</t>
  </si>
  <si>
    <t>昆布しょうゆ干し（シマホッケ）２枚　　　</t>
  </si>
  <si>
    <t>4945117500110</t>
  </si>
  <si>
    <t>昆布とほたて香る縞ほっけ　　　　　　　　</t>
  </si>
  <si>
    <t>4945117310887</t>
  </si>
  <si>
    <t>縞ほっけフィーレ（真空）１枚（冷凍）　　</t>
  </si>
  <si>
    <t>4945117101898</t>
  </si>
  <si>
    <t>昆布とほたて香る縞ほっけ（真空）１枚（冷</t>
  </si>
  <si>
    <t>4945117483383</t>
  </si>
  <si>
    <t>真ほっけ開き（ＦＯ用）　　　　　　　　　</t>
  </si>
  <si>
    <t>4955301107445</t>
  </si>
  <si>
    <t>しまほっけ開１枚（真空）冷凍　　　　　　</t>
  </si>
  <si>
    <t>4935552311174</t>
  </si>
  <si>
    <t>しまほっけフィーレ２枚　　　　　　　　　</t>
  </si>
  <si>
    <t>4900572299122</t>
  </si>
  <si>
    <t>縞ほっけフィーレ（昆布醤油干し）２枚　　</t>
  </si>
  <si>
    <t>4945117510003</t>
  </si>
  <si>
    <t>昆布とほたて香るしまほっけ醤油干し２枚　</t>
  </si>
  <si>
    <t>4945117117127</t>
  </si>
  <si>
    <t>真ほっけ開き２枚Ｐ　ＦＯ用　　　　　　　</t>
  </si>
  <si>
    <t>4934368003143</t>
  </si>
  <si>
    <t>赤魚フィーレ（昆布醤油干し）２枚　　　　</t>
  </si>
  <si>
    <t>4945117535006</t>
  </si>
  <si>
    <t>昆布とほたて香る赤魚醤油干し　　　　　　</t>
  </si>
  <si>
    <t>4945117810905</t>
  </si>
  <si>
    <t>昆布しょうゆ干し（赤魚）２枚　　　　　　</t>
  </si>
  <si>
    <t>4945117500073</t>
  </si>
  <si>
    <t>赤魚フィーレ２枚（創生水仕込）　　　　　</t>
  </si>
  <si>
    <t>4947669241022</t>
  </si>
  <si>
    <t>赤魚フィーレ（真空）１枚（冷凍）　　　　</t>
  </si>
  <si>
    <t>4945117304862</t>
  </si>
  <si>
    <t>赤魚フィーレ（真空）２枚（冷凍）　　　　</t>
  </si>
  <si>
    <t>4945117881271</t>
  </si>
  <si>
    <t>片口いわし桜干１０枚　　　　　　　　　　</t>
  </si>
  <si>
    <t>4956825000151</t>
  </si>
  <si>
    <t>片口いわし桜干１枚　　　　　　　　　　　</t>
  </si>
  <si>
    <t>4956825101018</t>
  </si>
  <si>
    <t>いわし開き（みりん味）　　　　　　　　　</t>
  </si>
  <si>
    <t>4954152257026</t>
  </si>
  <si>
    <t>いわし開き（しお味）　　　　　　　　　　</t>
  </si>
  <si>
    <t>4954152257125</t>
  </si>
  <si>
    <t>（冷凍）金目鯛開２枚　　　　　　　　　　</t>
  </si>
  <si>
    <t>4938024702999</t>
  </si>
  <si>
    <t>金目鯛開１枚真空　　　　　　　　　　　　</t>
  </si>
  <si>
    <t>4935552311136</t>
  </si>
  <si>
    <t>北海道産　身欠にしん（真空）３枚　　　　</t>
  </si>
  <si>
    <t>4945623010097</t>
  </si>
  <si>
    <t>しず開き１枚　　　　　　　　　　　　　　</t>
  </si>
  <si>
    <t>4935552316520</t>
  </si>
  <si>
    <t>身欠にしんソフト３枚　　　　　　　　　　</t>
  </si>
  <si>
    <t>4930913080058</t>
  </si>
  <si>
    <t>身欠ニシンハード１．５Ｋ　　　　　　　　</t>
  </si>
  <si>
    <t>4945623013036</t>
  </si>
  <si>
    <t>身欠にしん八分乾　　　　　　　　　　　　</t>
  </si>
  <si>
    <t>4945623012039</t>
  </si>
  <si>
    <t>森寅干物セット　　　　　　　　　　　　　</t>
  </si>
  <si>
    <t>4935758055391</t>
  </si>
  <si>
    <t>（冷凍）身欠ニシンソフト３枚　　　　　　</t>
  </si>
  <si>
    <t>4930913203075</t>
  </si>
  <si>
    <t>丸安干物セット　　　　　　　　　　　　　</t>
  </si>
  <si>
    <t>4935758055414</t>
  </si>
  <si>
    <t>金目鯛開き２枚　　　　　　　　　　　　　</t>
  </si>
  <si>
    <t>4935552335866</t>
  </si>
  <si>
    <t>金目鯛開き（２枚）　　　　　　　　　　　</t>
  </si>
  <si>
    <t>4938024702920</t>
  </si>
  <si>
    <t>山かれい３尾（ＦＯ用）　　　　　　　　　</t>
  </si>
  <si>
    <t>4942839012570</t>
  </si>
  <si>
    <t>干かれい（２尾）　　　　　　　　　　　　</t>
  </si>
  <si>
    <t>4904325010378</t>
  </si>
  <si>
    <t>特売企画</t>
    <rPh sb="0" eb="2">
      <t>トクバイ</t>
    </rPh>
    <rPh sb="2" eb="4">
      <t>キカク</t>
    </rPh>
    <phoneticPr fontId="1"/>
  </si>
  <si>
    <t>ミックス
マッチ企画</t>
    <rPh sb="8" eb="10">
      <t>キカク</t>
    </rPh>
    <phoneticPr fontId="1"/>
  </si>
  <si>
    <t>シール</t>
  </si>
  <si>
    <t>シール</t>
    <phoneticPr fontId="1"/>
  </si>
  <si>
    <t>項番</t>
  </si>
  <si>
    <t>取引内容</t>
  </si>
  <si>
    <t>特売値引値増</t>
  </si>
  <si>
    <t>設定1</t>
  </si>
  <si>
    <t>処理1</t>
  </si>
  <si>
    <t>POS値引等</t>
  </si>
  <si>
    <t>金額</t>
  </si>
  <si>
    <t>商品名</t>
  </si>
  <si>
    <t>JAN</t>
  </si>
  <si>
    <t>当日売価</t>
  </si>
  <si>
    <t>特売</t>
  </si>
  <si>
    <t>ミックマッチ</t>
  </si>
  <si>
    <t>カテゴリー処理</t>
  </si>
  <si>
    <t>小計割</t>
  </si>
  <si>
    <t>特売企画</t>
  </si>
  <si>
    <t>ミックスマッチ企画</t>
  </si>
  <si>
    <t>企画コード</t>
  </si>
  <si>
    <t>値引コード</t>
  </si>
  <si>
    <t>値引種別</t>
  </si>
  <si>
    <t>値引額</t>
  </si>
  <si>
    <t>値引数量</t>
  </si>
  <si>
    <t>純売上額</t>
  </si>
  <si>
    <t>純売上数量</t>
  </si>
  <si>
    <t>値引合計金額</t>
  </si>
  <si>
    <t>値引合計数量</t>
  </si>
  <si>
    <t>値引名称</t>
  </si>
  <si>
    <t>ﾏﾆｭｱﾙ値引</t>
  </si>
  <si>
    <t>売上　特売タイムサービス金額</t>
  </si>
  <si>
    <t>値下</t>
  </si>
  <si>
    <t>ミックスマッチ</t>
  </si>
  <si>
    <t/>
  </si>
  <si>
    <t>①通常単価＞特売売価変更金額＞ミックスマッチ後金額</t>
  </si>
  <si>
    <t>500</t>
  </si>
  <si>
    <t>450</t>
  </si>
  <si>
    <t>400</t>
  </si>
  <si>
    <t>908001</t>
  </si>
  <si>
    <t>908100</t>
  </si>
  <si>
    <t>91316</t>
  </si>
  <si>
    <t>0</t>
  </si>
  <si>
    <t>100</t>
  </si>
  <si>
    <t>2</t>
  </si>
  <si>
    <t>800</t>
  </si>
  <si>
    <t>ミックス</t>
  </si>
  <si>
    <t>－</t>
  </si>
  <si>
    <t>91121</t>
  </si>
  <si>
    <t>ﾀｲﾑｻｰﾋﾞｽ</t>
  </si>
  <si>
    <t>同額</t>
  </si>
  <si>
    <t>①通常単価＞特売売価変更金額＝ミックスマッチ後金額</t>
  </si>
  <si>
    <t>908101</t>
  </si>
  <si>
    <t>900</t>
  </si>
  <si>
    <t>値増</t>
  </si>
  <si>
    <t>①通常単価＞ミックスマッチ後金額＞特売売価変更金額</t>
  </si>
  <si>
    <t>200</t>
  </si>
  <si>
    <t>①通常単価＝ミックスマッチ後金額＞特売売価変更金額</t>
  </si>
  <si>
    <t>908102</t>
  </si>
  <si>
    <t>①ミックスマッチ後金額＞通常単価＞特売売価変更金額</t>
  </si>
  <si>
    <t>550</t>
  </si>
  <si>
    <t>908103</t>
  </si>
  <si>
    <t>①通常単価＝特売売価変更金額＞ミックスマッチ後金額</t>
  </si>
  <si>
    <t>①通常単価＝特売売価変更金額＝ミックスマッチ後金額</t>
  </si>
  <si>
    <t>1000</t>
  </si>
  <si>
    <t>①ミックスマッチ後金額＞通常単価＝特売売価変更金額</t>
  </si>
  <si>
    <t>①特売売価変更金額＞通常単価＞ミックスマッチ後金額</t>
  </si>
  <si>
    <t>①特売売価変更金額＞通常単価＝ミックスマッチ後金額</t>
  </si>
  <si>
    <t>①特売売価変更金額＞ミックスマッチ後金額＞通常単価</t>
  </si>
  <si>
    <t>600</t>
  </si>
  <si>
    <t>①特売売価変更金額＝ミックスマッチ後金額＞通常単価</t>
  </si>
  <si>
    <t>①ミックスマッチ後金額＞特売売価変更金額＞通常単価</t>
  </si>
  <si>
    <t>908104</t>
  </si>
  <si>
    <t>売上　特売タイムサービス割引</t>
  </si>
  <si>
    <t>10</t>
  </si>
  <si>
    <t>908002</t>
  </si>
  <si>
    <t>91141</t>
  </si>
  <si>
    <t>売上　特売期間割引</t>
  </si>
  <si>
    <t>売上　特売期間値引</t>
  </si>
  <si>
    <t>50</t>
  </si>
  <si>
    <t>値引シール【1:値引】</t>
  </si>
  <si>
    <t>通常単価＞特売売価変更金額＞値引シール【1:値引】値引後金額</t>
  </si>
  <si>
    <t>91220</t>
  </si>
  <si>
    <t>1</t>
  </si>
  <si>
    <t>マニュアル額値引</t>
  </si>
  <si>
    <t>額</t>
  </si>
  <si>
    <t>通常単価＝特売売価変更金額＞値引シール【1:値引】値引後金額</t>
  </si>
  <si>
    <t>特売売価変更金額＞通常単価＞値引シール【1:値引】値引後金額</t>
  </si>
  <si>
    <t>値引シール【2:値引】</t>
  </si>
  <si>
    <t>通常単価＞特売売価変更金額＞値引シール【2:割引】値引後金額</t>
  </si>
  <si>
    <t>405</t>
  </si>
  <si>
    <t>45</t>
  </si>
  <si>
    <t>％</t>
  </si>
  <si>
    <t>通常単価＝特売売価変更金額＞値引シール【2:割引】値引後金額</t>
  </si>
  <si>
    <t>特売売価変更金額＞通常単価＞値引シール【2:割引】値引後金額</t>
  </si>
  <si>
    <t>20</t>
  </si>
  <si>
    <t>値引シール【3:金額】</t>
  </si>
  <si>
    <t>①通常単価＞特売売価変更金額＞値引シール【3:金額】</t>
  </si>
  <si>
    <t>①通常単価＞特売売価変更金額＝値引シール【3:金額】</t>
  </si>
  <si>
    <t>①通常単価＞値引シール【3:金額】＞特売売価変更金額</t>
  </si>
  <si>
    <t>①通常単価＝値引シール【3:金額】＞特売売価変更金額</t>
  </si>
  <si>
    <t>①値引シール【3:金額】＞通常単価＞特売売価変更金額</t>
  </si>
  <si>
    <t>-50</t>
  </si>
  <si>
    <t>①通常単価＝特売売価変更金額＞値引シール【3:金額】</t>
  </si>
  <si>
    <t>①通常単価＝特売売価変更金額＝値引シール【3:金額】</t>
  </si>
  <si>
    <t>売上　特売タイムサービス値引</t>
  </si>
  <si>
    <t>①値引シール【3:金額】＞通常単価＝特売売価変更金額</t>
  </si>
  <si>
    <t>①特売売価変更金額＞通常単価＞値引シール【3:金額】</t>
  </si>
  <si>
    <t>①特売売価変更金額＞通常単価＝値引シール【3:金額】</t>
  </si>
  <si>
    <t>①特売売価変更金額＞値引シール【3:金額】＞通常単価</t>
  </si>
  <si>
    <t>①特売売価変更金額＝値引シール【3:金額】＞通常単価</t>
  </si>
  <si>
    <t>①値引シール【3:金額】＞特売売価変更金額＞通常単価</t>
  </si>
  <si>
    <t>通常単価＞特売売価変更金額＞値引シール【3:金額】</t>
  </si>
  <si>
    <t>通常単価＞特売売価変更金額＝値引シール【3:金額】</t>
  </si>
  <si>
    <t>通常単価＞値引シール【3:金額】＞特売売価変更金額</t>
  </si>
  <si>
    <t>通常単価＝値引シール【3:金額】＞特売売価変更金額</t>
  </si>
  <si>
    <t>値引シール【3:金額】＞通常単価＞特売売価変更金額</t>
  </si>
  <si>
    <t>カテゴリー値引</t>
  </si>
  <si>
    <t>①通常単価＞特売売価変更金額＞カテゴリー値引後金額</t>
  </si>
  <si>
    <t>91324</t>
  </si>
  <si>
    <t>部門ﾚﾍﾞﾙ商品階層自動値引</t>
  </si>
  <si>
    <t>カテゴリー割引</t>
  </si>
  <si>
    <t>91400</t>
  </si>
  <si>
    <t>14</t>
  </si>
  <si>
    <t>マニュアル小計値引</t>
  </si>
  <si>
    <t>小計割引</t>
  </si>
  <si>
    <t>朝割</t>
  </si>
  <si>
    <t>メガ割</t>
  </si>
  <si>
    <t>5</t>
  </si>
  <si>
    <t>385</t>
  </si>
  <si>
    <t>65</t>
  </si>
  <si>
    <t>428</t>
  </si>
  <si>
    <t>72</t>
  </si>
  <si>
    <t>76</t>
  </si>
  <si>
    <t>424</t>
  </si>
  <si>
    <t>値引パタ―ン</t>
    <rPh sb="0" eb="2">
      <t>ネビキ</t>
    </rPh>
    <phoneticPr fontId="1"/>
  </si>
  <si>
    <t>計算内容</t>
    <rPh sb="0" eb="2">
      <t>ケイサン</t>
    </rPh>
    <rPh sb="2" eb="4">
      <t>ナイヨウ</t>
    </rPh>
    <phoneticPr fontId="1"/>
  </si>
  <si>
    <t>値引コ―ド</t>
  </si>
  <si>
    <t>備考</t>
    <rPh sb="0" eb="2">
      <t>ビコウ</t>
    </rPh>
    <phoneticPr fontId="1"/>
  </si>
  <si>
    <t>ミックス</t>
    <phoneticPr fontId="1"/>
  </si>
  <si>
    <t>①通常単価＞特売売価変更金額＝値引シール【3:金額】</t>
    <phoneticPr fontId="6"/>
  </si>
  <si>
    <t>値引シール【1:値引】</t>
    <phoneticPr fontId="6"/>
  </si>
  <si>
    <t>値引シール【2:割引】</t>
  </si>
  <si>
    <t>特売・個別</t>
    <rPh sb="0" eb="2">
      <t>トクバイ</t>
    </rPh>
    <rPh sb="3" eb="5">
      <t>コベツ</t>
    </rPh>
    <phoneticPr fontId="6"/>
  </si>
  <si>
    <t>通常単価＞特売売価変更金額＞値引シール【2:割引】値引後金額</t>
    <phoneticPr fontId="6"/>
  </si>
  <si>
    <t>値引シール【2:割引】</t>
    <phoneticPr fontId="6"/>
  </si>
  <si>
    <t>①通常単価＞特売売価変更金額＞値引シール【3:金額】</t>
    <phoneticPr fontId="6"/>
  </si>
  <si>
    <t>値引シール【3:金額】1</t>
    <phoneticPr fontId="6"/>
  </si>
  <si>
    <t>額</t>
    <phoneticPr fontId="6"/>
  </si>
  <si>
    <t>値引シール【3:金額】2</t>
    <phoneticPr fontId="6"/>
  </si>
  <si>
    <t>値引シール【3:金額】3</t>
    <phoneticPr fontId="6"/>
  </si>
  <si>
    <t>値引シール【3:金額】4</t>
    <phoneticPr fontId="6"/>
  </si>
  <si>
    <t>値引シール【3:金額】6</t>
    <phoneticPr fontId="6"/>
  </si>
  <si>
    <t>値引シール【3:金額】5</t>
    <phoneticPr fontId="6"/>
  </si>
  <si>
    <t>値引シール【3:金額】7</t>
    <phoneticPr fontId="6"/>
  </si>
  <si>
    <t>値引シール【3:金額】8</t>
    <phoneticPr fontId="6"/>
  </si>
  <si>
    <t>値引シール【3:金額】9</t>
    <phoneticPr fontId="6"/>
  </si>
  <si>
    <t>①通常単価＞特売売価変更金額＞小計割引後金額</t>
    <phoneticPr fontId="6"/>
  </si>
  <si>
    <t>朝割</t>
    <rPh sb="0" eb="1">
      <t>アサ</t>
    </rPh>
    <rPh sb="1" eb="2">
      <t>ワリ</t>
    </rPh>
    <phoneticPr fontId="6"/>
  </si>
  <si>
    <t>メガ割</t>
    <rPh sb="2" eb="3">
      <t>ワリ</t>
    </rPh>
    <phoneticPr fontId="6"/>
  </si>
  <si>
    <t>クレジット割</t>
    <rPh sb="5" eb="6">
      <t>ワリ</t>
    </rPh>
    <phoneticPr fontId="6"/>
  </si>
  <si>
    <t>値引額</t>
    <rPh sb="0" eb="2">
      <t>ネビキ</t>
    </rPh>
    <rPh sb="2" eb="3">
      <t>ガク</t>
    </rPh>
    <phoneticPr fontId="1"/>
  </si>
  <si>
    <t>値引シール【3:金額】10</t>
    <phoneticPr fontId="6"/>
  </si>
  <si>
    <t>ﾀｲﾑｻｰﾋﾞｽ</t>
    <phoneticPr fontId="6"/>
  </si>
  <si>
    <t>カテゴリ値引</t>
    <phoneticPr fontId="6"/>
  </si>
  <si>
    <t>ミックスマッチ1</t>
    <phoneticPr fontId="6"/>
  </si>
  <si>
    <t>ミックスマッチ2</t>
    <phoneticPr fontId="6"/>
  </si>
  <si>
    <t>ミックスマッチ3</t>
    <phoneticPr fontId="6"/>
  </si>
  <si>
    <t>ミックスマッチ4</t>
    <phoneticPr fontId="6"/>
  </si>
  <si>
    <t>ミックスマッチ5</t>
    <phoneticPr fontId="6"/>
  </si>
  <si>
    <t>ミックスマッチ6</t>
    <phoneticPr fontId="6"/>
  </si>
  <si>
    <t>ミックスマッチ7</t>
    <phoneticPr fontId="6"/>
  </si>
  <si>
    <t>ミックスマッチ8</t>
    <phoneticPr fontId="6"/>
  </si>
  <si>
    <t>値引内容</t>
    <rPh sb="0" eb="2">
      <t>ネビキ</t>
    </rPh>
    <rPh sb="2" eb="4">
      <t>ナイヨウ</t>
    </rPh>
    <phoneticPr fontId="1"/>
  </si>
  <si>
    <t>カテゴリ値引</t>
    <rPh sb="4" eb="6">
      <t>ネビキ</t>
    </rPh>
    <phoneticPr fontId="1"/>
  </si>
  <si>
    <t>カテゴリ割引</t>
    <rPh sb="4" eb="6">
      <t>ワリビキ</t>
    </rPh>
    <phoneticPr fontId="1"/>
  </si>
  <si>
    <t>小計額×朝割り率</t>
    <rPh sb="0" eb="2">
      <t>ショウケイ</t>
    </rPh>
    <rPh sb="4" eb="5">
      <t>チョウ</t>
    </rPh>
    <rPh sb="5" eb="6">
      <t>ワ</t>
    </rPh>
    <rPh sb="7" eb="8">
      <t>リツ</t>
    </rPh>
    <phoneticPr fontId="1"/>
  </si>
  <si>
    <t>小計額×メガ割率</t>
    <rPh sb="0" eb="2">
      <t>ショウケイ</t>
    </rPh>
    <rPh sb="6" eb="7">
      <t>ワリ</t>
    </rPh>
    <rPh sb="7" eb="8">
      <t>リツ</t>
    </rPh>
    <phoneticPr fontId="1"/>
  </si>
  <si>
    <t>小計額×クレジット割率</t>
    <rPh sb="0" eb="2">
      <t>ショウケイ</t>
    </rPh>
    <rPh sb="9" eb="10">
      <t>ワリ</t>
    </rPh>
    <rPh sb="10" eb="11">
      <t>リツ</t>
    </rPh>
    <phoneticPr fontId="1"/>
  </si>
  <si>
    <t>値引パターン</t>
    <rPh sb="0" eb="2">
      <t>ネビキ</t>
    </rPh>
    <phoneticPr fontId="11"/>
  </si>
  <si>
    <t>販売額</t>
    <rPh sb="0" eb="2">
      <t>ハンバイ</t>
    </rPh>
    <rPh sb="2" eb="3">
      <t>ガク</t>
    </rPh>
    <phoneticPr fontId="11"/>
  </si>
  <si>
    <t>＜値引実績作成＞</t>
    <rPh sb="1" eb="3">
      <t>ネビキ</t>
    </rPh>
    <rPh sb="3" eb="5">
      <t>ジッセキ</t>
    </rPh>
    <rPh sb="5" eb="7">
      <t>サクセイ</t>
    </rPh>
    <phoneticPr fontId="11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</si>
  <si>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</si>
  <si>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1"/>
  </si>
  <si>
    <t>値引名称</t>
    <rPh sb="0" eb="2">
      <t>ネビ</t>
    </rPh>
    <rPh sb="2" eb="4">
      <t>メイショウ</t>
    </rPh>
    <phoneticPr fontId="11"/>
  </si>
  <si>
    <t>特売（タイムサービス売価）</t>
    <phoneticPr fontId="11"/>
  </si>
  <si>
    <t>特売値引実績計算_図</t>
    <rPh sb="0" eb="2">
      <t>トクバイ</t>
    </rPh>
    <phoneticPr fontId="11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</si>
  <si>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1"/>
  </si>
  <si>
    <t>値引実績作成なし</t>
    <rPh sb="0" eb="2">
      <t>ネビキ</t>
    </rPh>
    <rPh sb="2" eb="4">
      <t>ジッセキ</t>
    </rPh>
    <rPh sb="4" eb="6">
      <t>サクセイ</t>
    </rPh>
    <phoneticPr fontId="1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</si>
  <si>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</si>
  <si>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ミックスマッチ</t>
    <phoneticPr fontId="1"/>
  </si>
  <si>
    <t>ミックスマッチ対象外</t>
    <phoneticPr fontId="1"/>
  </si>
  <si>
    <t>ミックスマッチ対象外</t>
    <phoneticPr fontId="11"/>
  </si>
  <si>
    <t>ミックスマッチ額
400円（2個販売額）</t>
    <phoneticPr fontId="1"/>
  </si>
  <si>
    <t>特売（タイムサービス）</t>
  </si>
  <si>
    <t>値引シール【1:値引】</t>
    <phoneticPr fontId="11"/>
  </si>
  <si>
    <t>特売（タイムサービス売価）</t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</si>
  <si>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</si>
  <si>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</si>
  <si>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1"/>
  </si>
  <si>
    <t>特売（タイムサービス売価）</t>
    <phoneticPr fontId="1"/>
  </si>
  <si>
    <t>マニュアル単品値引</t>
  </si>
  <si>
    <t>50
マニュアル単品値引</t>
  </si>
  <si>
    <t>値引シール【1:値引】</t>
    <phoneticPr fontId="11"/>
  </si>
  <si>
    <t>マニュアル単品値引</t>
    <phoneticPr fontId="11"/>
  </si>
  <si>
    <t>マニュアル単品値引</t>
    <phoneticPr fontId="1"/>
  </si>
  <si>
    <t>定番売価×値引シール【2:割引】</t>
    <phoneticPr fontId="11"/>
  </si>
  <si>
    <t>マニュアル単品割引</t>
    <rPh sb="7" eb="9">
      <t>ワリビキ</t>
    </rPh>
    <phoneticPr fontId="1"/>
  </si>
  <si>
    <t>値引額　30円</t>
    <rPh sb="0" eb="2">
      <t>ネビキ</t>
    </rPh>
    <rPh sb="2" eb="3">
      <t>ガク</t>
    </rPh>
    <rPh sb="6" eb="7">
      <t>エン</t>
    </rPh>
    <phoneticPr fontId="11"/>
  </si>
  <si>
    <t>定番売価―値引シール【3:金額】</t>
  </si>
  <si>
    <t>値引シール【3:金額】
350円</t>
    <rPh sb="0" eb="2">
      <t>ネビキ</t>
    </rPh>
    <rPh sb="8" eb="10">
      <t>キンガク</t>
    </rPh>
    <rPh sb="15" eb="16">
      <t>エン</t>
    </rPh>
    <phoneticPr fontId="1"/>
  </si>
  <si>
    <r>
      <t>値引額　</t>
    </r>
    <r>
      <rPr>
        <sz val="11"/>
        <color rgb="FFFF0000"/>
        <rFont val="ＭＳ ゴシック"/>
        <family val="3"/>
        <charset val="128"/>
      </rPr>
      <t>-50円</t>
    </r>
    <rPh sb="0" eb="2">
      <t>ネビキ</t>
    </rPh>
    <rPh sb="2" eb="3">
      <t>ガク</t>
    </rPh>
    <rPh sb="7" eb="8">
      <t>エン</t>
    </rPh>
    <phoneticPr fontId="11"/>
  </si>
  <si>
    <t>特売（タイムサービス売価）＞値引シール【3:金額】</t>
    <phoneticPr fontId="11"/>
  </si>
  <si>
    <t>特売（タイムサービス売価）＝値引シール【3:金額】</t>
    <phoneticPr fontId="11"/>
  </si>
  <si>
    <t>値引シール【3:金額】
200円</t>
    <rPh sb="0" eb="2">
      <t>ネビキ</t>
    </rPh>
    <rPh sb="8" eb="10">
      <t>キンガク</t>
    </rPh>
    <rPh sb="15" eb="16">
      <t>エン</t>
    </rPh>
    <phoneticPr fontId="1"/>
  </si>
  <si>
    <t>特売（タイムサービス売価）＜値引シール【3:金額】</t>
    <phoneticPr fontId="11"/>
  </si>
  <si>
    <t>値引シール【3:金額】
280円</t>
    <rPh sb="0" eb="2">
      <t>ネビキ</t>
    </rPh>
    <rPh sb="8" eb="10">
      <t>キンガク</t>
    </rPh>
    <rPh sb="15" eb="16">
      <t>エン</t>
    </rPh>
    <phoneticPr fontId="1"/>
  </si>
  <si>
    <t>値引額　20円</t>
    <rPh sb="0" eb="2">
      <t>ネビキ</t>
    </rPh>
    <rPh sb="2" eb="3">
      <t>ガク</t>
    </rPh>
    <rPh sb="6" eb="7">
      <t>エン</t>
    </rPh>
    <phoneticPr fontId="11"/>
  </si>
  <si>
    <t>定番売価1個300円の商品を</t>
    <phoneticPr fontId="11"/>
  </si>
  <si>
    <t>値引シール【3:金額】
300円</t>
    <rPh sb="0" eb="2">
      <t>ネビキ</t>
    </rPh>
    <rPh sb="8" eb="10">
      <t>キンガク</t>
    </rPh>
    <rPh sb="15" eb="16">
      <t>エン</t>
    </rPh>
    <phoneticPr fontId="1"/>
  </si>
  <si>
    <t>20
定番売価―値引シール【3:金額】</t>
    <phoneticPr fontId="11"/>
  </si>
  <si>
    <t>特売（タイムサービス売価）</t>
    <phoneticPr fontId="11"/>
  </si>
  <si>
    <t>特売（タイムサービス売価）実績計算</t>
    <rPh sb="0" eb="2">
      <t>トクバイ</t>
    </rPh>
    <rPh sb="10" eb="12">
      <t>バイカ</t>
    </rPh>
    <rPh sb="13" eb="15">
      <t>ジッセキ</t>
    </rPh>
    <rPh sb="15" eb="17">
      <t>ケイサン</t>
    </rPh>
    <phoneticPr fontId="1"/>
  </si>
  <si>
    <t>カテゴリ値引</t>
  </si>
  <si>
    <t>カテゴリ値引</t>
    <rPh sb="4" eb="6">
      <t>ネビキ</t>
    </rPh>
    <phoneticPr fontId="11"/>
  </si>
  <si>
    <t>50
カテゴリ値引</t>
    <phoneticPr fontId="11"/>
  </si>
  <si>
    <t>カテゴリ割引</t>
    <rPh sb="4" eb="6">
      <t>ワリビキ</t>
    </rPh>
    <phoneticPr fontId="11"/>
  </si>
  <si>
    <t>小計値引（マニュアル）</t>
  </si>
  <si>
    <t>小計値引（マニュアル）</t>
    <rPh sb="0" eb="2">
      <t>ショウケイ</t>
    </rPh>
    <rPh sb="2" eb="4">
      <t>ネビキ</t>
    </rPh>
    <phoneticPr fontId="1"/>
  </si>
  <si>
    <t>小計割引（マニュアル）</t>
    <rPh sb="0" eb="2">
      <t>ショウケイ</t>
    </rPh>
    <rPh sb="2" eb="4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</si>
  <si>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</si>
  <si>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メガ割（自動）</t>
  </si>
  <si>
    <t>メガ割（自動）</t>
    <phoneticPr fontId="1"/>
  </si>
  <si>
    <t>クレジット割（自動）</t>
  </si>
  <si>
    <t>クレジット割（自動）</t>
    <phoneticPr fontId="1"/>
  </si>
  <si>
    <t>小計値引（マニュアル）</t>
    <phoneticPr fontId="11"/>
  </si>
  <si>
    <t>30
小計値引（マニュアル）</t>
    <phoneticPr fontId="11"/>
  </si>
  <si>
    <t>小計割引（マニュアル）</t>
    <phoneticPr fontId="11"/>
  </si>
  <si>
    <t>小計額×カテゴリ割引</t>
    <rPh sb="0" eb="2">
      <t>ショウケイ</t>
    </rPh>
    <rPh sb="2" eb="3">
      <t>ガク</t>
    </rPh>
    <rPh sb="8" eb="10">
      <t>ワリビキ</t>
    </rPh>
    <phoneticPr fontId="1"/>
  </si>
  <si>
    <t>ミックスマッチ</t>
    <phoneticPr fontId="11"/>
  </si>
  <si>
    <t>値引シール【2:割引】</t>
    <phoneticPr fontId="11"/>
  </si>
  <si>
    <t>値引額 60円</t>
    <rPh sb="0" eb="2">
      <t>ネビキ</t>
    </rPh>
    <rPh sb="2" eb="3">
      <t>ガク</t>
    </rPh>
    <rPh sb="6" eb="7">
      <t>エン</t>
    </rPh>
    <phoneticPr fontId="11"/>
  </si>
  <si>
    <t>値引額 140円</t>
    <rPh sb="0" eb="2">
      <t>ネビキ</t>
    </rPh>
    <rPh sb="2" eb="3">
      <t>ガク</t>
    </rPh>
    <rPh sb="7" eb="8">
      <t>エン</t>
    </rPh>
    <phoneticPr fontId="11"/>
  </si>
  <si>
    <t>60
定番売価―特売（タイムサービス割引）</t>
    <rPh sb="18" eb="20">
      <t>ワリビキ</t>
    </rPh>
    <phoneticPr fontId="11"/>
  </si>
  <si>
    <t>特売（タイムサービス割引）額
270円</t>
    <rPh sb="18" eb="19">
      <t>エン</t>
    </rPh>
    <phoneticPr fontId="1"/>
  </si>
  <si>
    <t>値引額 30円</t>
    <rPh sb="0" eb="2">
      <t>ネビキ</t>
    </rPh>
    <rPh sb="2" eb="3">
      <t>ガク</t>
    </rPh>
    <rPh sb="6" eb="7">
      <t>エン</t>
    </rPh>
    <phoneticPr fontId="11"/>
  </si>
  <si>
    <t>販売額
220円</t>
    <rPh sb="0" eb="2">
      <t>ハンバイ</t>
    </rPh>
    <rPh sb="2" eb="3">
      <t>ガク</t>
    </rPh>
    <rPh sb="7" eb="8">
      <t>エン</t>
    </rPh>
    <phoneticPr fontId="1"/>
  </si>
  <si>
    <t>特売（タイムサービス割引）
540円</t>
    <rPh sb="17" eb="18">
      <t>エン</t>
    </rPh>
    <phoneticPr fontId="1"/>
  </si>
  <si>
    <t>30
定番売価―特売（タイムサービス割引）</t>
    <rPh sb="18" eb="20">
      <t>ワリビキ</t>
    </rPh>
    <phoneticPr fontId="11"/>
  </si>
  <si>
    <t>特売（タイムサービス割引）／値引シール【2:割引】</t>
    <phoneticPr fontId="11"/>
  </si>
  <si>
    <t>特売（タイムサービス割引）／値引シール【1:値引】</t>
    <phoneticPr fontId="11"/>
  </si>
  <si>
    <t>特売（タイムサービス割引）2個当たり／ミックスマッチ2個当たり</t>
    <rPh sb="28" eb="29">
      <t>ア</t>
    </rPh>
    <phoneticPr fontId="11"/>
  </si>
  <si>
    <t>特売（タイムサービス割引）1個当たり／ミックスマッチ1個当たり</t>
    <rPh sb="28" eb="29">
      <t>ア</t>
    </rPh>
    <phoneticPr fontId="11"/>
  </si>
  <si>
    <t>140
特売（タイムサービス割引）ーミックスマッチ</t>
    <phoneticPr fontId="11"/>
  </si>
  <si>
    <t>値引額　27円</t>
    <rPh sb="0" eb="2">
      <t>ネビキ</t>
    </rPh>
    <rPh sb="2" eb="3">
      <t>ガク</t>
    </rPh>
    <rPh sb="6" eb="7">
      <t>エン</t>
    </rPh>
    <phoneticPr fontId="11"/>
  </si>
  <si>
    <t>販売額
243円</t>
    <rPh sb="0" eb="2">
      <t>ハンバイ</t>
    </rPh>
    <rPh sb="2" eb="3">
      <t>ガク</t>
    </rPh>
    <rPh sb="7" eb="8">
      <t>エン</t>
    </rPh>
    <phoneticPr fontId="1"/>
  </si>
  <si>
    <t>27
マニュアル単品値引</t>
    <phoneticPr fontId="11"/>
  </si>
  <si>
    <t>特売（タイムサービス割引）＞値引シール【3:金額】</t>
    <phoneticPr fontId="11"/>
  </si>
  <si>
    <t>値引額　70円</t>
    <rPh sb="0" eb="2">
      <t>ネビキ</t>
    </rPh>
    <rPh sb="2" eb="3">
      <t>ガク</t>
    </rPh>
    <rPh sb="6" eb="7">
      <t>エン</t>
    </rPh>
    <phoneticPr fontId="11"/>
  </si>
  <si>
    <t>値引シール【3:金額】
270円</t>
    <rPh sb="0" eb="2">
      <t>ネビキ</t>
    </rPh>
    <rPh sb="8" eb="10">
      <t>キンガク</t>
    </rPh>
    <rPh sb="15" eb="16">
      <t>エン</t>
    </rPh>
    <phoneticPr fontId="1"/>
  </si>
  <si>
    <t>特売（タイムサービス割引）
270円</t>
    <rPh sb="17" eb="18">
      <t>エン</t>
    </rPh>
    <phoneticPr fontId="1"/>
  </si>
  <si>
    <t>30
定番売価―特売（タイムサービス割引）</t>
    <phoneticPr fontId="11"/>
  </si>
  <si>
    <t>50
定番売価―特売（タイムサービス割引）</t>
    <phoneticPr fontId="11"/>
  </si>
  <si>
    <t>特売（タイムサービス割引）／値引シール【3:金額】金額</t>
    <rPh sb="25" eb="27">
      <t>キンガク</t>
    </rPh>
    <phoneticPr fontId="11"/>
  </si>
  <si>
    <t>※ 値引種別「特売（タイムサービス割引）」で値引実績が作成されているが。マニュアル単品値下で実績作成するべきではないか。</t>
    <rPh sb="22" eb="24">
      <t>ネビキ</t>
    </rPh>
    <rPh sb="24" eb="26">
      <t>ジッセキ</t>
    </rPh>
    <rPh sb="27" eb="29">
      <t>サクセイ</t>
    </rPh>
    <rPh sb="41" eb="43">
      <t>タンピン</t>
    </rPh>
    <rPh sb="43" eb="45">
      <t>ネサゲ</t>
    </rPh>
    <rPh sb="46" eb="48">
      <t>ジッセキ</t>
    </rPh>
    <rPh sb="48" eb="50">
      <t>サクセイ</t>
    </rPh>
    <phoneticPr fontId="11"/>
  </si>
  <si>
    <t>特売（タイムサービス割引）／カテゴリ値引</t>
    <rPh sb="18" eb="20">
      <t>ネビキ</t>
    </rPh>
    <phoneticPr fontId="11"/>
  </si>
  <si>
    <t>特売（タイムサービス割引）／カテゴリ割引</t>
    <rPh sb="18" eb="20">
      <t>ワリビキ</t>
    </rPh>
    <phoneticPr fontId="11"/>
  </si>
  <si>
    <t>特売（タイムサービス割引）／小計割引（マニュアル）</t>
    <rPh sb="16" eb="17">
      <t>ワリ</t>
    </rPh>
    <phoneticPr fontId="11"/>
  </si>
  <si>
    <t>特売（タイムサービス割引）／メガ割（自動）</t>
  </si>
  <si>
    <t>特売（タイムサービス割引）／クレジット割（自動）</t>
  </si>
  <si>
    <t>27
小計額×カテゴリ割引</t>
    <rPh sb="3" eb="5">
      <t>ショウケイ</t>
    </rPh>
    <rPh sb="5" eb="6">
      <t>ガク</t>
    </rPh>
    <rPh sb="11" eb="13">
      <t>ワリビキ</t>
    </rPh>
    <phoneticPr fontId="11"/>
  </si>
  <si>
    <t>特売（タイムサービス割引）／小計値引（マニュアル）</t>
    <phoneticPr fontId="11"/>
  </si>
  <si>
    <t>販売額
240円</t>
    <rPh sb="0" eb="2">
      <t>ハンバイ</t>
    </rPh>
    <rPh sb="2" eb="3">
      <t>ガク</t>
    </rPh>
    <rPh sb="7" eb="8">
      <t>エン</t>
    </rPh>
    <phoneticPr fontId="1"/>
  </si>
  <si>
    <t>27
小計額×小計割引（マニュアル）</t>
    <rPh sb="3" eb="5">
      <t>ショウケイ</t>
    </rPh>
    <rPh sb="5" eb="6">
      <t>ガク</t>
    </rPh>
    <phoneticPr fontId="11"/>
  </si>
  <si>
    <t>朝割り（自動）</t>
  </si>
  <si>
    <t>特売（タイムサービス割引）／朝割り（自動）</t>
    <phoneticPr fontId="11"/>
  </si>
  <si>
    <t>27
小計額×朝割り（自動）</t>
    <rPh sb="3" eb="5">
      <t>ショウケイ</t>
    </rPh>
    <rPh sb="5" eb="6">
      <t>ガク</t>
    </rPh>
    <phoneticPr fontId="11"/>
  </si>
  <si>
    <t>27
小計額×メガ割（自動）</t>
    <rPh sb="3" eb="5">
      <t>ショウケイ</t>
    </rPh>
    <rPh sb="5" eb="6">
      <t>ガク</t>
    </rPh>
    <phoneticPr fontId="11"/>
  </si>
  <si>
    <t>27
小計額×クレジット割（自動）</t>
    <rPh sb="3" eb="5">
      <t>ショウケイ</t>
    </rPh>
    <rPh sb="5" eb="6">
      <t>ガク</t>
    </rPh>
    <phoneticPr fontId="11"/>
  </si>
  <si>
    <t>定番売価―特売（タイムサービス割引）</t>
  </si>
  <si>
    <t>特売（タイムサービス割引）―ミックスマッチ額</t>
  </si>
  <si>
    <t>特売（タイムサービス割引）―値引シール【3:金額】</t>
  </si>
  <si>
    <t>定番売価―特売（タイムサービス割引）</t>
    <phoneticPr fontId="11"/>
  </si>
  <si>
    <t>定番売価―特売（タイムサービス割引）</t>
    <rPh sb="5" eb="7">
      <t>トクバイ</t>
    </rPh>
    <rPh sb="15" eb="17">
      <t>ワリビキ</t>
    </rPh>
    <phoneticPr fontId="1"/>
  </si>
  <si>
    <t>定番売価額－特売（タイムサービス割引）</t>
    <rPh sb="6" eb="8">
      <t>トクバイ</t>
    </rPh>
    <rPh sb="16" eb="18">
      <t>ワリビキ</t>
    </rPh>
    <phoneticPr fontId="1"/>
  </si>
  <si>
    <t>特売（タイムサービス割引）―ミックスマッチ額の計算結果が０、マイナスは実績出力しない。</t>
  </si>
  <si>
    <t>定番売価ー特売（タイムサービス割引） 計算結果がマイナスは実績出力しない。</t>
  </si>
  <si>
    <t>※定番売価ー特売（タイムサービス割引） 計算結果がマイナスは実績出力しない。</t>
  </si>
  <si>
    <t>50
特売（タイムサービス割引）―値引シール【3:金額】</t>
    <phoneticPr fontId="11"/>
  </si>
  <si>
    <t>30
特売（タイムサービス割引）―値引シール【3:金額】</t>
    <phoneticPr fontId="11"/>
  </si>
  <si>
    <t>50
定番売価ー特売（タイムサービス割引）</t>
    <phoneticPr fontId="11"/>
  </si>
  <si>
    <t>特売（タイムサービス割引）＝値引シール【3:金額】</t>
    <phoneticPr fontId="11"/>
  </si>
  <si>
    <t>特売（タイムサービス割引）＝値引シール【3:金額】</t>
    <phoneticPr fontId="1"/>
  </si>
  <si>
    <t>特売（タイムサービス割引）＜値引シール【3:金額】</t>
    <phoneticPr fontId="11"/>
  </si>
  <si>
    <t>特売（タイムサービス割引）＜値引シール【3:金額】</t>
    <phoneticPr fontId="11"/>
  </si>
  <si>
    <t>備考</t>
  </si>
  <si>
    <t>シール区分</t>
  </si>
  <si>
    <t>250</t>
  </si>
  <si>
    <t>塩たら（甘口）フィーレ</t>
  </si>
  <si>
    <t>4536538504131</t>
  </si>
  <si>
    <t>9711</t>
  </si>
  <si>
    <t>300</t>
  </si>
  <si>
    <t>真アジ開き２枚</t>
  </si>
  <si>
    <t>4540263120085</t>
  </si>
  <si>
    <t>350</t>
  </si>
  <si>
    <t>天日干し白魚６０Ｇ</t>
  </si>
  <si>
    <t>4539550500532</t>
  </si>
  <si>
    <t>釜揚げえび８０Ｇ</t>
  </si>
  <si>
    <t>4539550401631</t>
  </si>
  <si>
    <t>60</t>
  </si>
  <si>
    <t>マニュアル単品割引</t>
  </si>
  <si>
    <t>440</t>
  </si>
  <si>
    <t>いわし明太　香味漬</t>
  </si>
  <si>
    <t>4539306000859</t>
  </si>
  <si>
    <t>540</t>
  </si>
  <si>
    <t>さんま塩焼き２尾</t>
  </si>
  <si>
    <t>4538099100036</t>
  </si>
  <si>
    <t>北海道産しめさば大</t>
  </si>
  <si>
    <t>4537985110227</t>
  </si>
  <si>
    <t>3</t>
  </si>
  <si>
    <t>サーモンハラスと野菜ソテー（香味バター）</t>
  </si>
  <si>
    <t>4525372000930</t>
  </si>
  <si>
    <t>活〆真鯛刺身用（養殖）</t>
  </si>
  <si>
    <t>4524208080078</t>
  </si>
  <si>
    <t>天然焼鯛１尾</t>
  </si>
  <si>
    <t>4536403000157</t>
  </si>
  <si>
    <t>かつお生利</t>
  </si>
  <si>
    <t>4532155000827</t>
  </si>
  <si>
    <t>まぐろとろろ</t>
  </si>
  <si>
    <t>4532155000773</t>
  </si>
  <si>
    <t>いわし胡麻漬１５０Ｇ</t>
  </si>
  <si>
    <t>4532057400589</t>
  </si>
  <si>
    <t>9712</t>
  </si>
  <si>
    <t>わかちゃんのぽんずたれ</t>
  </si>
  <si>
    <t>4531690801005</t>
  </si>
  <si>
    <t>さば文化干し　２枚</t>
  </si>
  <si>
    <t>4526785116027</t>
  </si>
  <si>
    <t>700</t>
  </si>
  <si>
    <t>さば文化干し１枚</t>
  </si>
  <si>
    <t>4526785116010</t>
  </si>
  <si>
    <t>天然祝鯛（焼鯛）</t>
  </si>
  <si>
    <t>4536857003131</t>
  </si>
  <si>
    <t>特売270円</t>
  </si>
  <si>
    <t>真あじ開き（３枚袋）</t>
  </si>
  <si>
    <t>4540263122232</t>
  </si>
  <si>
    <t>280</t>
  </si>
  <si>
    <t>9701</t>
  </si>
  <si>
    <t>特売（期間売価）</t>
  </si>
  <si>
    <t>えび入り小籠包　６個　</t>
  </si>
  <si>
    <t>4523511005303</t>
  </si>
  <si>
    <t>いかしゅうまい　６個</t>
  </si>
  <si>
    <t>4523511005235</t>
  </si>
  <si>
    <t>0
定番売価―値引シール【3:金額】</t>
    <phoneticPr fontId="11"/>
  </si>
  <si>
    <t>-30
定番売価―値引シール【3:金額】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</si>
</sst>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#,##0_ ;[Red]\-#,##0\ "/>
    <numFmt numFmtId="178" formatCode="0_ "/>
  </numFmts>
  <fonts count="1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0"/>
      </patternFill>
    </fill>
  </fills>
  <borders count="3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85">
    <xf numFmtId="0" fontId="0" fillId="0" borderId="0" xfId="0">
      <alignment vertical="center"/>
    </xf>
    <xf numFmtId="177" fontId="3" fillId="0" borderId="2" xfId="0" applyNumberFormat="1" applyFont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left" vertical="center"/>
    </xf>
    <xf numFmtId="0" fontId="5" fillId="0" borderId="2" xfId="4" applyFont="1" applyFill="1" applyBorder="1" applyAlignment="1">
      <alignment horizontal="right" wrapText="1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77" fontId="3" fillId="0" borderId="2" xfId="0" applyNumberFormat="1" applyFont="1" applyBorder="1" applyAlignment="1">
      <alignment horizontal="right" vertical="center" wrapText="1"/>
    </xf>
    <xf numFmtId="0" fontId="8" fillId="0" borderId="2" xfId="0" applyFont="1" applyFill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0" fontId="4" fillId="0" borderId="2" xfId="6" applyBorder="1" applyAlignment="1">
      <alignment wrapText="1"/>
    </xf>
    <xf numFmtId="0" fontId="4" fillId="0" borderId="2" xfId="7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2" xfId="2" applyFont="1" applyFill="1" applyBorder="1" applyAlignment="1">
      <alignment wrapText="1"/>
    </xf>
    <xf numFmtId="0" fontId="5" fillId="0" borderId="2" xfId="2" applyFont="1" applyFill="1" applyBorder="1" applyAlignment="1">
      <alignment wrapText="1"/>
    </xf>
    <xf numFmtId="0" fontId="4" fillId="0" borderId="1" xfId="5" applyFont="1" applyFill="1" applyBorder="1" applyAlignment="1">
      <alignment horizontal="right" wrapText="1"/>
    </xf>
    <xf numFmtId="0" fontId="4" fillId="0" borderId="1" xfId="5" applyFont="1" applyFill="1" applyBorder="1" applyAlignment="1">
      <alignment wrapText="1"/>
    </xf>
    <xf numFmtId="0" fontId="4" fillId="0" borderId="3" xfId="5" applyFont="1" applyFill="1" applyBorder="1" applyAlignment="1">
      <alignment horizont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Fill="1" applyBorder="1">
      <alignment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5" fillId="0" borderId="11" xfId="3" applyFont="1" applyFill="1" applyBorder="1" applyAlignment="1">
      <alignment vertical="center" wrapText="1"/>
    </xf>
    <xf numFmtId="0" fontId="5" fillId="0" borderId="11" xfId="3" applyFont="1" applyFill="1" applyBorder="1" applyAlignment="1">
      <alignment horizontal="right" vertical="center" wrapText="1"/>
    </xf>
    <xf numFmtId="0" fontId="8" fillId="0" borderId="12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5" fillId="0" borderId="7" xfId="3" applyFont="1" applyFill="1" applyBorder="1" applyAlignment="1">
      <alignment vertical="center" wrapText="1"/>
    </xf>
    <xf numFmtId="0" fontId="5" fillId="0" borderId="7" xfId="3" applyFont="1" applyFill="1" applyBorder="1" applyAlignment="1">
      <alignment horizontal="right" vertical="center" wrapText="1"/>
    </xf>
    <xf numFmtId="0" fontId="8" fillId="0" borderId="11" xfId="0" applyFont="1" applyFill="1" applyBorder="1" applyAlignment="1">
      <alignment vertical="center"/>
    </xf>
    <xf numFmtId="0" fontId="5" fillId="0" borderId="4" xfId="3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5" fillId="0" borderId="7" xfId="3" applyFont="1" applyBorder="1" applyAlignment="1">
      <alignment wrapText="1"/>
    </xf>
    <xf numFmtId="0" fontId="5" fillId="0" borderId="11" xfId="3" applyFont="1" applyBorder="1" applyAlignment="1">
      <alignment wrapText="1"/>
    </xf>
    <xf numFmtId="0" fontId="0" fillId="3" borderId="0" xfId="0" applyFill="1">
      <alignment vertical="center"/>
    </xf>
    <xf numFmtId="0" fontId="8" fillId="0" borderId="11" xfId="0" applyFont="1" applyFill="1" applyBorder="1">
      <alignment vertical="center"/>
    </xf>
    <xf numFmtId="0" fontId="4" fillId="0" borderId="16" xfId="5" applyFont="1" applyFill="1" applyBorder="1" applyAlignment="1">
      <alignment wrapText="1"/>
    </xf>
    <xf numFmtId="0" fontId="8" fillId="0" borderId="0" xfId="0" applyFont="1" applyAlignment="1">
      <alignment horizontal="left" vertical="center"/>
    </xf>
    <xf numFmtId="0" fontId="5" fillId="0" borderId="7" xfId="3" applyFont="1" applyFill="1" applyBorder="1" applyAlignment="1">
      <alignment wrapText="1"/>
    </xf>
    <xf numFmtId="0" fontId="5" fillId="0" borderId="7" xfId="3" applyFont="1" applyFill="1" applyBorder="1" applyAlignment="1">
      <alignment horizontal="right" wrapText="1"/>
    </xf>
    <xf numFmtId="0" fontId="8" fillId="0" borderId="0" xfId="0" applyFont="1" applyFill="1">
      <alignment vertical="center"/>
    </xf>
    <xf numFmtId="0" fontId="8" fillId="0" borderId="0" xfId="0" applyFont="1" applyFill="1" applyAlignment="1">
      <alignment horizontal="left" vertical="center"/>
    </xf>
    <xf numFmtId="0" fontId="8" fillId="0" borderId="30" xfId="0" applyFont="1" applyBorder="1">
      <alignment vertical="center"/>
    </xf>
    <xf numFmtId="0" fontId="5" fillId="0" borderId="14" xfId="3" applyFont="1" applyBorder="1" applyAlignment="1">
      <alignment wrapText="1"/>
    </xf>
    <xf numFmtId="0" fontId="8" fillId="0" borderId="12" xfId="0" applyFont="1" applyBorder="1">
      <alignment vertical="center"/>
    </xf>
    <xf numFmtId="0" fontId="0" fillId="0" borderId="0" xfId="0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8" fillId="0" borderId="19" xfId="0" applyFont="1" applyBorder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4" xfId="0" applyFont="1" applyBorder="1">
      <alignment vertical="center"/>
    </xf>
    <xf numFmtId="0" fontId="8" fillId="0" borderId="25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4" xfId="0" applyFont="1" applyFill="1" applyBorder="1" applyAlignment="1">
      <alignment horizontal="left" vertical="center"/>
    </xf>
    <xf numFmtId="0" fontId="5" fillId="0" borderId="14" xfId="3" applyFont="1" applyFill="1" applyBorder="1" applyAlignment="1">
      <alignment vertical="center" wrapText="1"/>
    </xf>
    <xf numFmtId="0" fontId="5" fillId="0" borderId="14" xfId="3" applyFont="1" applyFill="1" applyBorder="1" applyAlignment="1">
      <alignment horizontal="right" vertical="center" wrapText="1"/>
    </xf>
    <xf numFmtId="0" fontId="8" fillId="0" borderId="14" xfId="0" applyFont="1" applyFill="1" applyBorder="1" applyAlignment="1">
      <alignment vertical="center"/>
    </xf>
    <xf numFmtId="0" fontId="8" fillId="0" borderId="30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8" xfId="0" applyFont="1" applyFill="1" applyBorder="1">
      <alignment vertical="center"/>
    </xf>
    <xf numFmtId="0" fontId="8" fillId="0" borderId="19" xfId="0" applyFont="1" applyFill="1" applyBorder="1">
      <alignment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21" xfId="0" applyFont="1" applyFill="1" applyBorder="1">
      <alignment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right" vertical="center"/>
    </xf>
    <xf numFmtId="0" fontId="8" fillId="0" borderId="0" xfId="0" applyFont="1" applyFill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left" vertical="center"/>
    </xf>
    <xf numFmtId="0" fontId="8" fillId="0" borderId="24" xfId="0" applyFont="1" applyFill="1" applyBorder="1">
      <alignment vertical="center"/>
    </xf>
    <xf numFmtId="0" fontId="8" fillId="0" borderId="25" xfId="0" applyFont="1" applyFill="1" applyBorder="1">
      <alignment vertical="center"/>
    </xf>
    <xf numFmtId="0" fontId="12" fillId="0" borderId="0" xfId="0" quotePrefix="1" applyFont="1" applyFill="1" applyAlignment="1">
      <alignment horizontal="center" vertical="center" wrapText="1"/>
    </xf>
    <xf numFmtId="0" fontId="8" fillId="0" borderId="0" xfId="0" quotePrefix="1" applyFont="1" applyFill="1" applyAlignment="1">
      <alignment horizontal="center" vertical="center" wrapText="1"/>
    </xf>
    <xf numFmtId="0" fontId="5" fillId="0" borderId="11" xfId="3" applyFont="1" applyFill="1" applyBorder="1" applyAlignment="1">
      <alignment wrapText="1"/>
    </xf>
    <xf numFmtId="0" fontId="5" fillId="0" borderId="11" xfId="3" applyFont="1" applyFill="1" applyBorder="1" applyAlignment="1">
      <alignment horizontal="right" wrapText="1"/>
    </xf>
    <xf numFmtId="0" fontId="8" fillId="0" borderId="31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left" vertical="center" wrapText="1"/>
    </xf>
    <xf numFmtId="0" fontId="5" fillId="0" borderId="15" xfId="3" applyFont="1" applyFill="1" applyBorder="1" applyAlignment="1">
      <alignment wrapText="1"/>
    </xf>
    <xf numFmtId="0" fontId="5" fillId="0" borderId="15" xfId="3" applyFont="1" applyFill="1" applyBorder="1" applyAlignment="1">
      <alignment horizontal="right" wrapText="1"/>
    </xf>
    <xf numFmtId="0" fontId="8" fillId="0" borderId="15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4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8" fillId="0" borderId="10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178" fontId="4" fillId="0" borderId="1" xfId="5" applyNumberFormat="1" applyFont="1" applyFill="1" applyBorder="1" applyAlignment="1">
      <alignment wrapText="1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29" xfId="0" applyFont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8" fillId="0" borderId="7" xfId="0" applyFont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>
      <alignment vertical="center"/>
    </xf>
    <xf numFmtId="0" fontId="8" fillId="0" borderId="4" xfId="0" applyFont="1" applyFill="1" applyBorder="1" applyAlignment="1">
      <alignment horizontal="left" vertical="center" wrapText="1"/>
    </xf>
    <xf numFmtId="0" fontId="0" fillId="0" borderId="22" xfId="0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2" xfId="0" applyBorder="1">
      <alignment vertical="center"/>
    </xf>
    <xf numFmtId="0" fontId="0" fillId="0" borderId="15" xfId="0" applyBorder="1">
      <alignment vertical="center"/>
    </xf>
    <xf numFmtId="0" fontId="8" fillId="5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/>
    </xf>
    <xf numFmtId="0" fontId="4" fillId="8" borderId="3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3" fillId="0" borderId="0" xfId="0" applyFont="1" applyFill="1" applyAlignment="1">
      <alignment horizontal="center" vertical="center"/>
    </xf>
    <xf numFmtId="0" fontId="3" fillId="0" borderId="0" xfId="0" quotePrefix="1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</cellXfs>
  <cellStyles count="8">
    <cellStyle name="40% - アクセント 3" xfId="1" builtinId="39"/>
    <cellStyle name="標準" xfId="0" builtinId="0"/>
    <cellStyle name="標準_Sheet1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値引確認" xfId="5" xr:uid="{00000000-0005-0000-0000-000005000000}"/>
    <cellStyle name="標準_売上値引実績確認" xfId="6" xr:uid="{00000000-0005-0000-0000-000006000000}"/>
    <cellStyle name="標準_売上値引実績確認 (2)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D629-579F-43C3-8F01-326990922843}">
  <sheetPr>
    <tabColor rgb="FF00B0F0"/>
  </sheetPr>
  <dimension ref="A1:I27"/>
  <sheetViews>
    <sheetView zoomScale="70" zoomScaleNormal="70" workbookViewId="0">
      <pane xSplit="2" ySplit="3" topLeftCell="D10" activePane="bottomRight" state="frozen"/>
      <selection pane="topRight" activeCell="C1" sqref="C1"/>
      <selection pane="bottomLeft" activeCell="A4" sqref="A4"/>
      <selection pane="bottomRight" activeCell="B16" sqref="B16:B17"/>
    </sheetView>
  </sheetViews>
  <sheetFormatPr defaultRowHeight="32.25" customHeight="1" x14ac:dyDescent="0.4"/>
  <cols>
    <col min="1" max="1" width="13.875" style="29" bestFit="1" customWidth="1"/>
    <col min="2" max="2" width="49.75" style="26" customWidth="1"/>
    <col min="3" max="3" width="49.375" style="26" bestFit="1" customWidth="1"/>
    <col min="4" max="4" width="53.875" style="25" bestFit="1" customWidth="1"/>
    <col min="5" max="5" width="11.625" style="25" bestFit="1" customWidth="1"/>
    <col min="6" max="6" width="9.5" style="25" bestFit="1" customWidth="1"/>
    <col min="7" max="7" width="27.25" style="25" bestFit="1" customWidth="1"/>
    <col min="8" max="8" width="76" style="25" bestFit="1" customWidth="1"/>
    <col min="9" max="16384" width="9" style="25"/>
  </cols>
  <sheetData>
    <row r="1" spans="1:9" ht="32.25" customHeight="1" x14ac:dyDescent="0.4">
      <c r="A1" s="137" t="s">
        <v>684</v>
      </c>
      <c r="B1" s="137"/>
      <c r="C1" s="137"/>
      <c r="D1" s="138"/>
      <c r="E1" s="138"/>
      <c r="F1" s="138"/>
      <c r="G1" s="138"/>
      <c r="H1" s="138"/>
      <c r="I1" s="139"/>
    </row>
    <row r="2" spans="1:9" ht="32.25" customHeight="1" thickBot="1" x14ac:dyDescent="0.45"/>
    <row r="3" spans="1:9" s="29" customFormat="1" ht="32.25" customHeight="1" thickBot="1" x14ac:dyDescent="0.45">
      <c r="A3" s="37" t="s">
        <v>597</v>
      </c>
      <c r="B3" s="84" t="s">
        <v>635</v>
      </c>
      <c r="C3" s="85"/>
      <c r="D3" s="28" t="s">
        <v>598</v>
      </c>
      <c r="E3" s="42" t="s">
        <v>599</v>
      </c>
      <c r="F3" s="42" t="s">
        <v>484</v>
      </c>
      <c r="G3" s="28" t="s">
        <v>491</v>
      </c>
      <c r="H3" s="43" t="s">
        <v>600</v>
      </c>
    </row>
    <row r="4" spans="1:9" s="38" customFormat="1" ht="32.25" customHeight="1" x14ac:dyDescent="0.4">
      <c r="A4" s="131">
        <v>1</v>
      </c>
      <c r="B4" s="140" t="s">
        <v>701</v>
      </c>
      <c r="C4" s="140"/>
      <c r="D4" s="30" t="s">
        <v>744</v>
      </c>
      <c r="E4" s="39">
        <v>91121</v>
      </c>
      <c r="F4" s="40">
        <v>0</v>
      </c>
      <c r="G4" s="31" t="s">
        <v>656</v>
      </c>
      <c r="H4" s="32"/>
    </row>
    <row r="5" spans="1:9" s="38" customFormat="1" ht="32.25" customHeight="1" thickBot="1" x14ac:dyDescent="0.45">
      <c r="A5" s="132"/>
      <c r="B5" s="141"/>
      <c r="C5" s="141"/>
      <c r="D5" s="76" t="s">
        <v>742</v>
      </c>
      <c r="E5" s="77">
        <v>91316</v>
      </c>
      <c r="F5" s="78">
        <v>0</v>
      </c>
      <c r="G5" s="79" t="s">
        <v>601</v>
      </c>
      <c r="H5" s="80" t="s">
        <v>747</v>
      </c>
    </row>
    <row r="6" spans="1:9" s="38" customFormat="1" ht="32.25" customHeight="1" x14ac:dyDescent="0.4">
      <c r="A6" s="131">
        <v>2</v>
      </c>
      <c r="B6" s="134" t="s">
        <v>657</v>
      </c>
      <c r="C6" s="134"/>
      <c r="D6" s="81" t="s">
        <v>745</v>
      </c>
      <c r="E6" s="39">
        <v>91121</v>
      </c>
      <c r="F6" s="40">
        <v>0</v>
      </c>
      <c r="G6" s="31" t="s">
        <v>683</v>
      </c>
      <c r="H6" s="32" t="s">
        <v>748</v>
      </c>
    </row>
    <row r="7" spans="1:9" s="38" customFormat="1" ht="32.25" customHeight="1" thickBot="1" x14ac:dyDescent="0.45">
      <c r="A7" s="133"/>
      <c r="B7" s="136"/>
      <c r="C7" s="136"/>
      <c r="D7" s="33" t="s">
        <v>657</v>
      </c>
      <c r="E7" s="34">
        <v>91220</v>
      </c>
      <c r="F7" s="35">
        <v>1</v>
      </c>
      <c r="G7" s="41" t="s">
        <v>667</v>
      </c>
      <c r="H7" s="36"/>
    </row>
    <row r="8" spans="1:9" s="38" customFormat="1" ht="32.25" customHeight="1" x14ac:dyDescent="0.4">
      <c r="A8" s="131">
        <v>3</v>
      </c>
      <c r="B8" s="134" t="s">
        <v>702</v>
      </c>
      <c r="C8" s="134"/>
      <c r="D8" s="81" t="s">
        <v>745</v>
      </c>
      <c r="E8" s="39">
        <v>91121</v>
      </c>
      <c r="F8" s="40">
        <v>0</v>
      </c>
      <c r="G8" s="31" t="s">
        <v>683</v>
      </c>
      <c r="H8" s="32" t="s">
        <v>748</v>
      </c>
    </row>
    <row r="9" spans="1:9" s="38" customFormat="1" ht="32.25" customHeight="1" thickBot="1" x14ac:dyDescent="0.45">
      <c r="A9" s="133"/>
      <c r="B9" s="136"/>
      <c r="C9" s="136"/>
      <c r="D9" s="33" t="s">
        <v>668</v>
      </c>
      <c r="E9" s="34">
        <v>91220</v>
      </c>
      <c r="F9" s="35">
        <v>2</v>
      </c>
      <c r="G9" s="41" t="s">
        <v>669</v>
      </c>
      <c r="H9" s="36"/>
    </row>
    <row r="10" spans="1:9" s="52" customFormat="1" ht="32.25" customHeight="1" x14ac:dyDescent="0.15">
      <c r="A10" s="131">
        <v>4</v>
      </c>
      <c r="B10" s="134" t="s">
        <v>719</v>
      </c>
      <c r="C10" s="134" t="s">
        <v>674</v>
      </c>
      <c r="D10" s="82" t="s">
        <v>741</v>
      </c>
      <c r="E10" s="50">
        <v>91121</v>
      </c>
      <c r="F10" s="51">
        <v>0</v>
      </c>
      <c r="G10" s="31" t="s">
        <v>658</v>
      </c>
      <c r="H10" s="32" t="s">
        <v>749</v>
      </c>
    </row>
    <row r="11" spans="1:9" s="52" customFormat="1" ht="32.25" customHeight="1" thickBot="1" x14ac:dyDescent="0.2">
      <c r="A11" s="133"/>
      <c r="B11" s="135"/>
      <c r="C11" s="135"/>
      <c r="D11" s="33" t="s">
        <v>743</v>
      </c>
      <c r="E11" s="104">
        <v>91220</v>
      </c>
      <c r="F11" s="105">
        <v>1</v>
      </c>
      <c r="G11" s="47" t="s">
        <v>666</v>
      </c>
      <c r="H11" s="36"/>
    </row>
    <row r="12" spans="1:9" s="52" customFormat="1" ht="32.25" customHeight="1" thickBot="1" x14ac:dyDescent="0.2">
      <c r="A12" s="106">
        <v>5</v>
      </c>
      <c r="B12" s="119" t="s">
        <v>754</v>
      </c>
      <c r="C12" s="107" t="s">
        <v>675</v>
      </c>
      <c r="D12" s="107" t="s">
        <v>671</v>
      </c>
      <c r="E12" s="108">
        <v>91121</v>
      </c>
      <c r="F12" s="109">
        <v>0</v>
      </c>
      <c r="G12" s="110" t="s">
        <v>658</v>
      </c>
      <c r="H12" s="111"/>
    </row>
    <row r="13" spans="1:9" s="52" customFormat="1" ht="32.25" customHeight="1" thickBot="1" x14ac:dyDescent="0.2">
      <c r="A13" s="106">
        <v>6</v>
      </c>
      <c r="B13" s="119" t="s">
        <v>756</v>
      </c>
      <c r="C13" s="107" t="s">
        <v>677</v>
      </c>
      <c r="D13" s="107" t="s">
        <v>671</v>
      </c>
      <c r="E13" s="108">
        <v>91121</v>
      </c>
      <c r="F13" s="109">
        <v>0</v>
      </c>
      <c r="G13" s="110" t="s">
        <v>658</v>
      </c>
      <c r="H13" s="111"/>
    </row>
    <row r="14" spans="1:9" ht="29.25" customHeight="1" x14ac:dyDescent="0.15">
      <c r="A14" s="131">
        <v>7</v>
      </c>
      <c r="B14" s="130" t="s">
        <v>636</v>
      </c>
      <c r="C14" s="112"/>
      <c r="D14" s="114" t="s">
        <v>746</v>
      </c>
      <c r="E14" s="44">
        <v>91121</v>
      </c>
      <c r="F14" s="44">
        <v>0</v>
      </c>
      <c r="G14" s="114" t="s">
        <v>647</v>
      </c>
      <c r="H14" s="32" t="s">
        <v>748</v>
      </c>
    </row>
    <row r="15" spans="1:9" ht="29.25" customHeight="1" thickBot="1" x14ac:dyDescent="0.2">
      <c r="A15" s="132"/>
      <c r="B15" s="129"/>
      <c r="C15" s="113"/>
      <c r="D15" s="113" t="s">
        <v>636</v>
      </c>
      <c r="E15" s="55">
        <v>91324</v>
      </c>
      <c r="F15" s="55">
        <v>0</v>
      </c>
      <c r="G15" s="113" t="s">
        <v>685</v>
      </c>
      <c r="H15" s="54"/>
    </row>
    <row r="16" spans="1:9" ht="29.25" customHeight="1" x14ac:dyDescent="0.15">
      <c r="A16" s="131">
        <v>8</v>
      </c>
      <c r="B16" s="130" t="s">
        <v>637</v>
      </c>
      <c r="C16" s="112"/>
      <c r="D16" s="114" t="s">
        <v>746</v>
      </c>
      <c r="E16" s="44">
        <v>91121</v>
      </c>
      <c r="F16" s="44">
        <v>0</v>
      </c>
      <c r="G16" s="114" t="s">
        <v>647</v>
      </c>
      <c r="H16" s="32" t="s">
        <v>748</v>
      </c>
    </row>
    <row r="17" spans="1:8" ht="29.25" customHeight="1" thickBot="1" x14ac:dyDescent="0.2">
      <c r="A17" s="132"/>
      <c r="B17" s="129"/>
      <c r="C17" s="113"/>
      <c r="D17" s="116" t="s">
        <v>700</v>
      </c>
      <c r="E17" s="55">
        <v>91324</v>
      </c>
      <c r="F17" s="55">
        <v>0</v>
      </c>
      <c r="G17" s="113" t="s">
        <v>685</v>
      </c>
      <c r="H17" s="54"/>
    </row>
    <row r="18" spans="1:8" ht="29.25" customHeight="1" x14ac:dyDescent="0.15">
      <c r="A18" s="131">
        <v>9</v>
      </c>
      <c r="B18" s="130" t="s">
        <v>690</v>
      </c>
      <c r="C18" s="112"/>
      <c r="D18" s="114" t="s">
        <v>746</v>
      </c>
      <c r="E18" s="44">
        <v>91121</v>
      </c>
      <c r="F18" s="44">
        <v>0</v>
      </c>
      <c r="G18" s="114" t="s">
        <v>647</v>
      </c>
      <c r="H18" s="32" t="s">
        <v>748</v>
      </c>
    </row>
    <row r="19" spans="1:8" ht="29.25" customHeight="1" thickBot="1" x14ac:dyDescent="0.2">
      <c r="A19" s="132"/>
      <c r="B19" s="129"/>
      <c r="C19" s="113"/>
      <c r="D19" s="113" t="s">
        <v>690</v>
      </c>
      <c r="E19" s="55">
        <v>91400</v>
      </c>
      <c r="F19" s="55">
        <v>14</v>
      </c>
      <c r="G19" s="113" t="s">
        <v>697</v>
      </c>
      <c r="H19" s="54"/>
    </row>
    <row r="20" spans="1:8" ht="29.25" customHeight="1" x14ac:dyDescent="0.15">
      <c r="A20" s="124">
        <v>10</v>
      </c>
      <c r="B20" s="130" t="s">
        <v>691</v>
      </c>
      <c r="C20" s="112"/>
      <c r="D20" s="121" t="s">
        <v>746</v>
      </c>
      <c r="E20" s="44">
        <v>91121</v>
      </c>
      <c r="F20" s="44">
        <v>0</v>
      </c>
      <c r="G20" s="114" t="s">
        <v>647</v>
      </c>
      <c r="H20" s="32" t="s">
        <v>748</v>
      </c>
    </row>
    <row r="21" spans="1:8" ht="29.25" customHeight="1" thickBot="1" x14ac:dyDescent="0.2">
      <c r="A21" s="128"/>
      <c r="B21" s="129"/>
      <c r="C21" s="113"/>
      <c r="D21" s="116" t="s">
        <v>691</v>
      </c>
      <c r="E21" s="55">
        <v>91400</v>
      </c>
      <c r="F21" s="55">
        <v>14</v>
      </c>
      <c r="G21" s="113" t="s">
        <v>689</v>
      </c>
      <c r="H21" s="54"/>
    </row>
    <row r="22" spans="1:8" ht="29.25" customHeight="1" x14ac:dyDescent="0.15">
      <c r="A22" s="124">
        <v>11</v>
      </c>
      <c r="B22" s="126" t="s">
        <v>692</v>
      </c>
      <c r="C22" s="114"/>
      <c r="D22" s="121" t="s">
        <v>746</v>
      </c>
      <c r="E22" s="44">
        <v>91121</v>
      </c>
      <c r="F22" s="44">
        <v>0</v>
      </c>
      <c r="G22" s="114" t="s">
        <v>647</v>
      </c>
      <c r="H22" s="32" t="s">
        <v>748</v>
      </c>
    </row>
    <row r="23" spans="1:8" ht="29.25" customHeight="1" thickBot="1" x14ac:dyDescent="0.2">
      <c r="A23" s="128"/>
      <c r="B23" s="129"/>
      <c r="C23" s="113"/>
      <c r="D23" s="113" t="s">
        <v>638</v>
      </c>
      <c r="E23" s="55">
        <v>91400</v>
      </c>
      <c r="F23" s="55">
        <v>14</v>
      </c>
      <c r="G23" s="113" t="s">
        <v>689</v>
      </c>
      <c r="H23" s="54"/>
    </row>
    <row r="24" spans="1:8" ht="29.25" customHeight="1" x14ac:dyDescent="0.15">
      <c r="A24" s="124">
        <v>12</v>
      </c>
      <c r="B24" s="126" t="s">
        <v>694</v>
      </c>
      <c r="C24" s="114"/>
      <c r="D24" s="121" t="s">
        <v>746</v>
      </c>
      <c r="E24" s="44">
        <v>91121</v>
      </c>
      <c r="F24" s="44">
        <v>0</v>
      </c>
      <c r="G24" s="114" t="s">
        <v>647</v>
      </c>
      <c r="H24" s="32" t="s">
        <v>748</v>
      </c>
    </row>
    <row r="25" spans="1:8" ht="29.25" customHeight="1" thickBot="1" x14ac:dyDescent="0.2">
      <c r="A25" s="128"/>
      <c r="B25" s="129"/>
      <c r="C25" s="113"/>
      <c r="D25" s="113" t="s">
        <v>639</v>
      </c>
      <c r="E25" s="55">
        <v>91400</v>
      </c>
      <c r="F25" s="55">
        <v>14</v>
      </c>
      <c r="G25" s="113" t="s">
        <v>689</v>
      </c>
      <c r="H25" s="54"/>
    </row>
    <row r="26" spans="1:8" ht="29.25" customHeight="1" x14ac:dyDescent="0.15">
      <c r="A26" s="124">
        <v>13</v>
      </c>
      <c r="B26" s="126" t="s">
        <v>696</v>
      </c>
      <c r="C26" s="114"/>
      <c r="D26" s="121" t="s">
        <v>746</v>
      </c>
      <c r="E26" s="44">
        <v>91121</v>
      </c>
      <c r="F26" s="44">
        <v>0</v>
      </c>
      <c r="G26" s="114" t="s">
        <v>647</v>
      </c>
      <c r="H26" s="32" t="s">
        <v>748</v>
      </c>
    </row>
    <row r="27" spans="1:8" ht="29.25" customHeight="1" thickBot="1" x14ac:dyDescent="0.2">
      <c r="A27" s="125"/>
      <c r="B27" s="127"/>
      <c r="C27" s="115"/>
      <c r="D27" s="115" t="s">
        <v>640</v>
      </c>
      <c r="E27" s="45">
        <v>91400</v>
      </c>
      <c r="F27" s="45">
        <v>14</v>
      </c>
      <c r="G27" s="115" t="s">
        <v>689</v>
      </c>
      <c r="H27" s="56"/>
    </row>
  </sheetData>
  <autoFilter ref="A3:I13" xr:uid="{02FE938F-38E4-432E-88A4-21995314F467}"/>
  <mergeCells count="27">
    <mergeCell ref="A6:A7"/>
    <mergeCell ref="B6:B7"/>
    <mergeCell ref="C6:C7"/>
    <mergeCell ref="A1:I1"/>
    <mergeCell ref="A4:A5"/>
    <mergeCell ref="B4:B5"/>
    <mergeCell ref="C4:C5"/>
    <mergeCell ref="A10:A11"/>
    <mergeCell ref="B10:B11"/>
    <mergeCell ref="C10:C11"/>
    <mergeCell ref="A8:A9"/>
    <mergeCell ref="B8:B9"/>
    <mergeCell ref="C8:C9"/>
    <mergeCell ref="A14:A15"/>
    <mergeCell ref="B14:B15"/>
    <mergeCell ref="A16:A17"/>
    <mergeCell ref="B16:B17"/>
    <mergeCell ref="A18:A19"/>
    <mergeCell ref="B18:B19"/>
    <mergeCell ref="A26:A27"/>
    <mergeCell ref="B26:B27"/>
    <mergeCell ref="A22:A23"/>
    <mergeCell ref="B22:B23"/>
    <mergeCell ref="A20:A21"/>
    <mergeCell ref="B20:B21"/>
    <mergeCell ref="A24:A25"/>
    <mergeCell ref="B24:B25"/>
  </mergeCells>
  <phoneticPr fontId="1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C47F-2CB3-4D9B-AAD7-1FFA913F34D0}">
  <sheetPr>
    <tabColor rgb="FF00B0F0"/>
  </sheetPr>
  <dimension ref="A1:R313"/>
  <sheetViews>
    <sheetView tabSelected="1" topLeftCell="A118" zoomScale="85" zoomScaleNormal="85" workbookViewId="0">
      <selection activeCell="Q142" sqref="Q142"/>
    </sheetView>
  </sheetViews>
  <sheetFormatPr defaultRowHeight="18.75" x14ac:dyDescent="0.4"/>
  <cols>
    <col min="1" max="3" width="3.125" customWidth="1"/>
    <col min="4" max="4" width="13.875" bestFit="1" customWidth="1"/>
    <col min="5" max="5" width="53.125" customWidth="1"/>
    <col min="7" max="7" width="9.5" bestFit="1" customWidth="1"/>
    <col min="8" max="8" width="49.375" bestFit="1" customWidth="1"/>
    <col min="9" max="9" width="44.375" bestFit="1" customWidth="1"/>
    <col min="11" max="11" width="9.5" bestFit="1" customWidth="1"/>
    <col min="12" max="12" width="37.125" bestFit="1" customWidth="1"/>
    <col min="13" max="13" width="31.625" bestFit="1" customWidth="1"/>
    <col min="15" max="15" width="13.75" customWidth="1"/>
    <col min="16" max="16" width="37.125" bestFit="1" customWidth="1"/>
    <col min="17" max="17" width="49.375" bestFit="1" customWidth="1"/>
  </cols>
  <sheetData>
    <row r="1" spans="1:18" x14ac:dyDescent="0.4">
      <c r="A1" s="57" t="s">
        <v>648</v>
      </c>
    </row>
    <row r="2" spans="1:18" ht="19.5" thickBot="1" x14ac:dyDescent="0.45"/>
    <row r="3" spans="1:18" s="25" customFormat="1" ht="13.5" x14ac:dyDescent="0.4">
      <c r="D3" s="58" t="s">
        <v>641</v>
      </c>
      <c r="E3" s="59"/>
      <c r="F3" s="59"/>
      <c r="G3" s="59"/>
      <c r="H3" s="59"/>
      <c r="I3" s="59"/>
      <c r="J3" s="60"/>
      <c r="K3" s="60"/>
      <c r="L3" s="60"/>
      <c r="M3" s="60"/>
      <c r="N3" s="60"/>
      <c r="O3" s="60"/>
      <c r="P3" s="60"/>
      <c r="Q3" s="60"/>
      <c r="R3" s="61"/>
    </row>
    <row r="4" spans="1:18" s="25" customFormat="1" ht="13.5" x14ac:dyDescent="0.4">
      <c r="D4" s="62">
        <v>1</v>
      </c>
      <c r="E4" s="49" t="s">
        <v>495</v>
      </c>
      <c r="F4" s="49"/>
      <c r="G4" s="49"/>
      <c r="H4" s="26"/>
      <c r="I4" s="26"/>
      <c r="R4" s="63"/>
    </row>
    <row r="5" spans="1:18" s="25" customFormat="1" ht="13.5" x14ac:dyDescent="0.4">
      <c r="D5" s="62"/>
      <c r="E5" s="49"/>
      <c r="F5" s="49"/>
      <c r="G5" s="49"/>
      <c r="H5" s="26"/>
      <c r="I5" s="26"/>
      <c r="R5" s="63"/>
    </row>
    <row r="6" spans="1:18" s="26" customFormat="1" ht="13.5" x14ac:dyDescent="0.4">
      <c r="D6" s="62"/>
      <c r="E6" s="26" t="s">
        <v>649</v>
      </c>
      <c r="H6" s="26" t="str">
        <f>H8&amp;"％に特売（タイムサービス割引）設定"</f>
        <v>10％に特売（タイムサービス割引）設定</v>
      </c>
      <c r="I6" s="26" t="str">
        <f>"2個"&amp;I9&amp;"円にミックスマッチ設定"</f>
        <v>2個400円にミックスマッチ設定</v>
      </c>
      <c r="L6" s="26" t="str">
        <f>L8&amp;"％に特売（タイムサービス割引）設定"</f>
        <v>10％に特売（タイムサービス割引）設定</v>
      </c>
      <c r="M6" s="26" t="str">
        <f>"2個"&amp;M9&amp;"円にミックスマッチ設定"</f>
        <v>2個500円にミックスマッチ設定</v>
      </c>
      <c r="P6" s="26" t="str">
        <f>P8&amp;"％に特売（タイムサービス割引）設定"</f>
        <v>10％に特売（タイムサービス割引）設定</v>
      </c>
      <c r="Q6" s="26" t="str">
        <f>"2個"&amp;Q9&amp;"円にミックスマッチ設定"</f>
        <v>2個600円にミックスマッチ設定</v>
      </c>
      <c r="R6" s="64"/>
    </row>
    <row r="7" spans="1:18" s="25" customFormat="1" ht="13.5" x14ac:dyDescent="0.4">
      <c r="D7" s="62"/>
      <c r="E7" s="49"/>
      <c r="G7" s="49"/>
      <c r="H7" s="26"/>
      <c r="I7" s="26"/>
      <c r="K7" s="49"/>
      <c r="L7" s="26"/>
      <c r="M7" s="26"/>
      <c r="O7" s="26"/>
      <c r="P7" s="26"/>
      <c r="Q7" s="26"/>
      <c r="R7" s="63"/>
    </row>
    <row r="8" spans="1:18" s="25" customFormat="1" ht="13.5" x14ac:dyDescent="0.4">
      <c r="D8" s="62"/>
      <c r="E8" s="65" t="s">
        <v>714</v>
      </c>
      <c r="F8" s="26"/>
      <c r="G8" s="26"/>
      <c r="H8" s="26">
        <v>10</v>
      </c>
      <c r="I8" s="26">
        <v>200</v>
      </c>
      <c r="K8" s="26"/>
      <c r="L8" s="26">
        <v>10</v>
      </c>
      <c r="M8" s="26">
        <v>250</v>
      </c>
      <c r="O8" s="26"/>
      <c r="P8" s="26">
        <v>10</v>
      </c>
      <c r="Q8" s="26">
        <v>300</v>
      </c>
      <c r="R8" s="63"/>
    </row>
    <row r="9" spans="1:18" s="25" customFormat="1" ht="13.5" x14ac:dyDescent="0.4">
      <c r="D9" s="62"/>
      <c r="E9" s="65" t="s">
        <v>713</v>
      </c>
      <c r="F9" s="26"/>
      <c r="G9" s="26"/>
      <c r="H9" s="26">
        <v>10</v>
      </c>
      <c r="I9" s="26">
        <v>400</v>
      </c>
      <c r="K9" s="26"/>
      <c r="L9" s="26">
        <v>10</v>
      </c>
      <c r="M9" s="26">
        <v>500</v>
      </c>
      <c r="O9" s="26"/>
      <c r="P9" s="26">
        <v>10</v>
      </c>
      <c r="Q9" s="26">
        <v>600</v>
      </c>
      <c r="R9" s="63"/>
    </row>
    <row r="10" spans="1:18" s="25" customFormat="1" ht="13.5" customHeight="1" x14ac:dyDescent="0.4">
      <c r="D10" s="62"/>
      <c r="E10" s="26"/>
      <c r="F10" s="26"/>
      <c r="G10" s="26"/>
      <c r="I10" s="26"/>
      <c r="K10" s="26"/>
      <c r="M10" s="26"/>
      <c r="O10" s="26"/>
      <c r="Q10" s="26"/>
      <c r="R10" s="63"/>
    </row>
    <row r="11" spans="1:18" s="25" customFormat="1" ht="13.5" customHeight="1" x14ac:dyDescent="0.4">
      <c r="D11" s="62"/>
      <c r="E11" s="26"/>
      <c r="F11" s="26"/>
      <c r="G11" s="26"/>
      <c r="K11" s="26"/>
      <c r="O11" s="26"/>
      <c r="R11" s="63"/>
    </row>
    <row r="12" spans="1:18" s="25" customFormat="1" ht="13.5" customHeight="1" x14ac:dyDescent="0.4">
      <c r="D12" s="62"/>
      <c r="E12" s="26"/>
      <c r="F12" s="26"/>
      <c r="G12" s="143" t="s">
        <v>651</v>
      </c>
      <c r="H12" s="74" t="s">
        <v>703</v>
      </c>
      <c r="K12" s="143" t="s">
        <v>651</v>
      </c>
      <c r="L12" s="74" t="s">
        <v>703</v>
      </c>
      <c r="O12" s="143" t="s">
        <v>651</v>
      </c>
      <c r="P12" s="74" t="s">
        <v>703</v>
      </c>
      <c r="Q12" s="165" t="s">
        <v>653</v>
      </c>
      <c r="R12" s="63"/>
    </row>
    <row r="13" spans="1:18" s="25" customFormat="1" ht="13.5" customHeight="1" x14ac:dyDescent="0.4">
      <c r="D13" s="62"/>
      <c r="E13" s="26"/>
      <c r="F13" s="26"/>
      <c r="G13" s="144"/>
      <c r="H13" s="146" t="s">
        <v>709</v>
      </c>
      <c r="I13" s="74" t="s">
        <v>704</v>
      </c>
      <c r="K13" s="144"/>
      <c r="L13" s="146" t="s">
        <v>709</v>
      </c>
      <c r="M13" s="165" t="s">
        <v>654</v>
      </c>
      <c r="O13" s="144"/>
      <c r="P13" s="146" t="s">
        <v>709</v>
      </c>
      <c r="Q13" s="163"/>
      <c r="R13" s="63"/>
    </row>
    <row r="14" spans="1:18" s="25" customFormat="1" ht="13.5" customHeight="1" x14ac:dyDescent="0.4">
      <c r="D14" s="62"/>
      <c r="E14" s="26"/>
      <c r="F14" s="26"/>
      <c r="G14" s="144"/>
      <c r="H14" s="155"/>
      <c r="I14" s="162" t="s">
        <v>655</v>
      </c>
      <c r="K14" s="144"/>
      <c r="L14" s="155"/>
      <c r="M14" s="163"/>
      <c r="O14" s="144"/>
      <c r="P14" s="155"/>
      <c r="Q14" s="163"/>
      <c r="R14" s="63"/>
    </row>
    <row r="15" spans="1:18" s="25" customFormat="1" ht="13.5" customHeight="1" x14ac:dyDescent="0.4">
      <c r="D15" s="62"/>
      <c r="E15" s="26"/>
      <c r="F15" s="26"/>
      <c r="G15" s="144"/>
      <c r="H15" s="155"/>
      <c r="I15" s="163"/>
      <c r="K15" s="144"/>
      <c r="L15" s="155"/>
      <c r="M15" s="163"/>
      <c r="O15" s="144"/>
      <c r="P15" s="155"/>
      <c r="Q15" s="163"/>
      <c r="R15" s="63"/>
    </row>
    <row r="16" spans="1:18" s="25" customFormat="1" ht="13.5" customHeight="1" x14ac:dyDescent="0.4">
      <c r="D16" s="62"/>
      <c r="E16" s="26"/>
      <c r="F16" s="26"/>
      <c r="G16" s="144"/>
      <c r="H16" s="155"/>
      <c r="I16" s="163"/>
      <c r="K16" s="144"/>
      <c r="L16" s="155"/>
      <c r="M16" s="163"/>
      <c r="O16" s="144"/>
      <c r="P16" s="155"/>
      <c r="Q16" s="163"/>
      <c r="R16" s="63"/>
    </row>
    <row r="17" spans="4:18" s="25" customFormat="1" ht="13.5" customHeight="1" x14ac:dyDescent="0.4">
      <c r="D17" s="62"/>
      <c r="E17" s="26"/>
      <c r="F17" s="26"/>
      <c r="G17" s="145"/>
      <c r="H17" s="156"/>
      <c r="I17" s="164"/>
      <c r="K17" s="145"/>
      <c r="L17" s="156"/>
      <c r="M17" s="164"/>
      <c r="O17" s="145"/>
      <c r="P17" s="156"/>
      <c r="Q17" s="164"/>
      <c r="R17" s="63"/>
    </row>
    <row r="18" spans="4:18" s="25" customFormat="1" ht="13.5" x14ac:dyDescent="0.4">
      <c r="D18" s="62"/>
      <c r="E18" s="66" t="s">
        <v>623</v>
      </c>
      <c r="F18" s="66"/>
      <c r="G18" s="66"/>
      <c r="H18" s="73">
        <v>60</v>
      </c>
      <c r="I18" s="73">
        <v>140</v>
      </c>
      <c r="K18" s="66"/>
      <c r="L18" s="122">
        <v>60</v>
      </c>
      <c r="M18" s="73"/>
      <c r="O18" s="66"/>
      <c r="P18" s="122">
        <v>60</v>
      </c>
      <c r="Q18" s="73"/>
      <c r="R18" s="63"/>
    </row>
    <row r="19" spans="4:18" s="25" customFormat="1" ht="13.5" x14ac:dyDescent="0.4">
      <c r="D19" s="62"/>
      <c r="E19" s="66" t="s">
        <v>642</v>
      </c>
      <c r="F19" s="66"/>
      <c r="G19" s="66"/>
      <c r="H19" s="142">
        <v>400</v>
      </c>
      <c r="I19" s="142"/>
      <c r="K19" s="66"/>
      <c r="L19" s="142">
        <v>540</v>
      </c>
      <c r="M19" s="142"/>
      <c r="O19" s="66"/>
      <c r="P19" s="142">
        <v>540</v>
      </c>
      <c r="Q19" s="142"/>
      <c r="R19" s="63"/>
    </row>
    <row r="20" spans="4:18" s="25" customFormat="1" ht="13.5" x14ac:dyDescent="0.4">
      <c r="D20" s="62"/>
      <c r="E20" s="66"/>
      <c r="F20" s="66"/>
      <c r="G20" s="66"/>
      <c r="H20" s="26"/>
      <c r="K20" s="66"/>
      <c r="L20" s="26"/>
      <c r="O20" s="66"/>
      <c r="P20" s="26"/>
      <c r="R20" s="63"/>
    </row>
    <row r="21" spans="4:18" s="25" customFormat="1" ht="13.5" x14ac:dyDescent="0.4">
      <c r="D21" s="62"/>
      <c r="E21" s="66" t="s">
        <v>643</v>
      </c>
      <c r="F21" s="66"/>
      <c r="G21" s="66"/>
      <c r="H21" s="26"/>
      <c r="I21" s="26"/>
      <c r="K21" s="66"/>
      <c r="L21" s="26"/>
      <c r="M21" s="26"/>
      <c r="O21" s="66"/>
      <c r="P21" s="26"/>
      <c r="Q21" s="26"/>
      <c r="R21" s="63"/>
    </row>
    <row r="22" spans="4:18" s="25" customFormat="1" ht="13.5" customHeight="1" x14ac:dyDescent="0.4">
      <c r="D22" s="62"/>
      <c r="E22" s="67" t="s">
        <v>644</v>
      </c>
      <c r="F22" s="67"/>
      <c r="G22" s="66"/>
      <c r="H22" s="66">
        <v>91121</v>
      </c>
      <c r="I22" s="26">
        <v>91316</v>
      </c>
      <c r="K22" s="66"/>
      <c r="L22" s="66">
        <v>91121</v>
      </c>
      <c r="M22" s="159" t="s">
        <v>650</v>
      </c>
      <c r="O22" s="66"/>
      <c r="P22" s="66">
        <v>91121</v>
      </c>
      <c r="Q22" s="159" t="s">
        <v>650</v>
      </c>
      <c r="R22" s="63"/>
    </row>
    <row r="23" spans="4:18" s="25" customFormat="1" ht="13.5" customHeight="1" x14ac:dyDescent="0.4">
      <c r="D23" s="62"/>
      <c r="E23" s="67" t="s">
        <v>645</v>
      </c>
      <c r="F23" s="67"/>
      <c r="G23" s="66"/>
      <c r="H23" s="26">
        <v>0</v>
      </c>
      <c r="I23" s="26">
        <v>0</v>
      </c>
      <c r="K23" s="66"/>
      <c r="L23" s="26">
        <v>0</v>
      </c>
      <c r="M23" s="160"/>
      <c r="O23" s="66"/>
      <c r="P23" s="26">
        <v>0</v>
      </c>
      <c r="Q23" s="160"/>
      <c r="R23" s="63"/>
    </row>
    <row r="24" spans="4:18" s="25" customFormat="1" ht="13.5" x14ac:dyDescent="0.4">
      <c r="D24" s="62"/>
      <c r="E24" s="67" t="s">
        <v>646</v>
      </c>
      <c r="F24" s="67"/>
      <c r="G24" s="66"/>
      <c r="H24" s="26" t="s">
        <v>647</v>
      </c>
      <c r="I24" s="66" t="s">
        <v>652</v>
      </c>
      <c r="K24" s="66"/>
      <c r="L24" s="26" t="s">
        <v>647</v>
      </c>
      <c r="M24" s="160"/>
      <c r="O24" s="66"/>
      <c r="P24" s="26" t="s">
        <v>647</v>
      </c>
      <c r="Q24" s="160"/>
      <c r="R24" s="63"/>
    </row>
    <row r="25" spans="4:18" s="25" customFormat="1" ht="27" x14ac:dyDescent="0.4">
      <c r="D25" s="62"/>
      <c r="E25" s="66" t="s">
        <v>623</v>
      </c>
      <c r="F25" s="66"/>
      <c r="G25" s="66"/>
      <c r="H25" s="66" t="s">
        <v>705</v>
      </c>
      <c r="I25" s="66" t="s">
        <v>715</v>
      </c>
      <c r="K25" s="66"/>
      <c r="L25" s="66" t="s">
        <v>705</v>
      </c>
      <c r="M25" s="161"/>
      <c r="O25" s="66"/>
      <c r="P25" s="66" t="s">
        <v>705</v>
      </c>
      <c r="Q25" s="161"/>
      <c r="R25" s="63"/>
    </row>
    <row r="26" spans="4:18" s="25" customFormat="1" ht="14.25" thickBot="1" x14ac:dyDescent="0.45">
      <c r="D26" s="68"/>
      <c r="E26" s="69"/>
      <c r="F26" s="69"/>
      <c r="G26" s="69"/>
      <c r="H26" s="69"/>
      <c r="I26" s="70"/>
      <c r="J26" s="71"/>
      <c r="K26" s="71"/>
      <c r="L26" s="71"/>
      <c r="M26" s="71"/>
      <c r="N26" s="71"/>
      <c r="O26" s="71"/>
      <c r="P26" s="71"/>
      <c r="Q26" s="71"/>
      <c r="R26" s="72"/>
    </row>
    <row r="27" spans="4:18" s="25" customFormat="1" ht="13.5" x14ac:dyDescent="0.4">
      <c r="D27" s="58" t="s">
        <v>641</v>
      </c>
      <c r="E27" s="59"/>
      <c r="F27" s="59"/>
      <c r="G27" s="59"/>
      <c r="H27" s="59"/>
      <c r="I27" s="59"/>
      <c r="J27" s="60"/>
      <c r="K27" s="60"/>
      <c r="L27" s="60"/>
      <c r="M27" s="60"/>
      <c r="N27" s="60"/>
      <c r="O27" s="60"/>
      <c r="P27" s="60"/>
      <c r="Q27" s="60"/>
      <c r="R27" s="61"/>
    </row>
    <row r="28" spans="4:18" s="25" customFormat="1" ht="13.5" x14ac:dyDescent="0.4">
      <c r="D28" s="62">
        <v>2</v>
      </c>
      <c r="E28" s="49" t="s">
        <v>665</v>
      </c>
      <c r="F28" s="49"/>
      <c r="G28" s="49"/>
      <c r="H28" s="26"/>
      <c r="I28" s="26"/>
      <c r="R28" s="63"/>
    </row>
    <row r="29" spans="4:18" s="25" customFormat="1" ht="13.5" x14ac:dyDescent="0.4">
      <c r="D29" s="62"/>
      <c r="E29" s="49"/>
      <c r="F29" s="49"/>
      <c r="G29" s="49"/>
      <c r="H29" s="26"/>
      <c r="I29" s="26"/>
      <c r="R29" s="63"/>
    </row>
    <row r="30" spans="4:18" s="26" customFormat="1" ht="13.5" x14ac:dyDescent="0.4">
      <c r="D30" s="62"/>
      <c r="E30" s="26" t="s">
        <v>659</v>
      </c>
      <c r="H30" s="26" t="str">
        <f>H32&amp;"％に特売（タイムサービス割引）設定"</f>
        <v>10％に特売（タイムサービス割引）設定</v>
      </c>
      <c r="I30" s="26" t="str">
        <f>I32&amp;"円の値引シール【1:値引】"</f>
        <v>50円の値引シール【1:値引】</v>
      </c>
      <c r="K30" s="25"/>
      <c r="L30" s="25"/>
      <c r="M30" s="25"/>
      <c r="O30" s="25"/>
      <c r="P30" s="25"/>
      <c r="Q30" s="25"/>
      <c r="R30" s="64"/>
    </row>
    <row r="31" spans="4:18" s="25" customFormat="1" ht="13.5" x14ac:dyDescent="0.4">
      <c r="D31" s="62"/>
      <c r="E31" s="65"/>
      <c r="F31" s="65"/>
      <c r="G31" s="49"/>
      <c r="H31" s="26"/>
      <c r="R31" s="63"/>
    </row>
    <row r="32" spans="4:18" s="25" customFormat="1" ht="13.5" x14ac:dyDescent="0.4">
      <c r="D32" s="62"/>
      <c r="E32" s="65" t="s">
        <v>712</v>
      </c>
      <c r="F32" s="65"/>
      <c r="G32" s="26"/>
      <c r="H32" s="26">
        <v>10</v>
      </c>
      <c r="I32" s="26">
        <v>50</v>
      </c>
      <c r="R32" s="63"/>
    </row>
    <row r="33" spans="4:18" s="25" customFormat="1" ht="13.5" x14ac:dyDescent="0.4">
      <c r="D33" s="62"/>
      <c r="E33" s="26"/>
      <c r="F33" s="26"/>
      <c r="G33" s="26"/>
      <c r="I33" s="26"/>
      <c r="R33" s="63"/>
    </row>
    <row r="34" spans="4:18" s="25" customFormat="1" ht="13.5" customHeight="1" x14ac:dyDescent="0.4">
      <c r="D34" s="62"/>
      <c r="E34" s="26"/>
      <c r="F34" s="26"/>
      <c r="G34" s="26"/>
      <c r="R34" s="63"/>
    </row>
    <row r="35" spans="4:18" s="25" customFormat="1" ht="13.5" customHeight="1" x14ac:dyDescent="0.4">
      <c r="D35" s="62"/>
      <c r="E35" s="26"/>
      <c r="F35" s="26"/>
      <c r="G35" s="143" t="s">
        <v>660</v>
      </c>
      <c r="H35" s="74" t="s">
        <v>707</v>
      </c>
      <c r="R35" s="63"/>
    </row>
    <row r="36" spans="4:18" s="25" customFormat="1" ht="13.5" customHeight="1" x14ac:dyDescent="0.4">
      <c r="D36" s="62"/>
      <c r="E36" s="26"/>
      <c r="F36" s="26"/>
      <c r="G36" s="144"/>
      <c r="H36" s="146" t="s">
        <v>706</v>
      </c>
      <c r="I36" s="74" t="s">
        <v>661</v>
      </c>
      <c r="R36" s="63"/>
    </row>
    <row r="37" spans="4:18" s="25" customFormat="1" ht="13.5" customHeight="1" x14ac:dyDescent="0.4">
      <c r="D37" s="62"/>
      <c r="E37" s="26"/>
      <c r="F37" s="26"/>
      <c r="G37" s="144"/>
      <c r="H37" s="155"/>
      <c r="I37" s="157" t="s">
        <v>708</v>
      </c>
      <c r="R37" s="63"/>
    </row>
    <row r="38" spans="4:18" s="25" customFormat="1" ht="13.5" customHeight="1" x14ac:dyDescent="0.4">
      <c r="D38" s="62"/>
      <c r="E38" s="26"/>
      <c r="F38" s="26"/>
      <c r="G38" s="144"/>
      <c r="H38" s="155"/>
      <c r="I38" s="158"/>
      <c r="R38" s="63"/>
    </row>
    <row r="39" spans="4:18" s="25" customFormat="1" ht="13.5" customHeight="1" x14ac:dyDescent="0.4">
      <c r="D39" s="62"/>
      <c r="E39" s="26"/>
      <c r="F39" s="26"/>
      <c r="G39" s="144"/>
      <c r="H39" s="155"/>
      <c r="I39" s="158"/>
      <c r="R39" s="63"/>
    </row>
    <row r="40" spans="4:18" s="25" customFormat="1" ht="13.5" customHeight="1" x14ac:dyDescent="0.4">
      <c r="D40" s="62"/>
      <c r="E40" s="26"/>
      <c r="F40" s="26"/>
      <c r="G40" s="145"/>
      <c r="H40" s="156"/>
      <c r="I40" s="158"/>
      <c r="R40" s="63"/>
    </row>
    <row r="41" spans="4:18" s="25" customFormat="1" ht="13.5" customHeight="1" x14ac:dyDescent="0.4">
      <c r="D41" s="62"/>
      <c r="E41" s="66" t="s">
        <v>623</v>
      </c>
      <c r="F41" s="66"/>
      <c r="G41" s="66"/>
      <c r="H41" s="122">
        <v>30</v>
      </c>
      <c r="I41" s="75">
        <v>50</v>
      </c>
      <c r="J41" s="26"/>
      <c r="N41" s="26"/>
      <c r="R41" s="63"/>
    </row>
    <row r="42" spans="4:18" s="25" customFormat="1" ht="13.5" x14ac:dyDescent="0.4">
      <c r="D42" s="62"/>
      <c r="E42" s="66" t="s">
        <v>642</v>
      </c>
      <c r="F42" s="66"/>
      <c r="G42" s="66"/>
      <c r="H42" s="142">
        <v>220</v>
      </c>
      <c r="I42" s="142"/>
      <c r="R42" s="63"/>
    </row>
    <row r="43" spans="4:18" s="25" customFormat="1" ht="13.5" x14ac:dyDescent="0.4">
      <c r="D43" s="62"/>
      <c r="E43" s="66"/>
      <c r="F43" s="66"/>
      <c r="G43" s="66"/>
      <c r="H43" s="26"/>
      <c r="R43" s="63"/>
    </row>
    <row r="44" spans="4:18" s="25" customFormat="1" ht="13.5" x14ac:dyDescent="0.4">
      <c r="D44" s="62"/>
      <c r="E44" s="66" t="s">
        <v>643</v>
      </c>
      <c r="F44" s="66"/>
      <c r="G44" s="66"/>
      <c r="H44" s="26"/>
      <c r="I44" s="26"/>
      <c r="R44" s="63"/>
    </row>
    <row r="45" spans="4:18" s="25" customFormat="1" ht="13.5" customHeight="1" x14ac:dyDescent="0.4">
      <c r="D45" s="62"/>
      <c r="E45" s="67" t="s">
        <v>644</v>
      </c>
      <c r="F45" s="67"/>
      <c r="G45" s="66"/>
      <c r="H45" s="26">
        <v>91121</v>
      </c>
      <c r="I45" s="26">
        <v>91220</v>
      </c>
      <c r="R45" s="63"/>
    </row>
    <row r="46" spans="4:18" s="25" customFormat="1" ht="13.5" customHeight="1" x14ac:dyDescent="0.4">
      <c r="D46" s="62"/>
      <c r="E46" s="67" t="s">
        <v>645</v>
      </c>
      <c r="F46" s="67"/>
      <c r="G46" s="66"/>
      <c r="H46" s="26">
        <v>0</v>
      </c>
      <c r="I46" s="26">
        <v>1</v>
      </c>
      <c r="R46" s="63"/>
    </row>
    <row r="47" spans="4:18" s="25" customFormat="1" ht="13.5" customHeight="1" x14ac:dyDescent="0.4">
      <c r="D47" s="62"/>
      <c r="E47" s="67" t="s">
        <v>646</v>
      </c>
      <c r="F47" s="67"/>
      <c r="G47" s="66"/>
      <c r="H47" s="66" t="s">
        <v>662</v>
      </c>
      <c r="I47" s="66" t="s">
        <v>663</v>
      </c>
      <c r="R47" s="63"/>
    </row>
    <row r="48" spans="4:18" s="25" customFormat="1" ht="27" x14ac:dyDescent="0.4">
      <c r="D48" s="62"/>
      <c r="E48" s="66" t="s">
        <v>623</v>
      </c>
      <c r="F48" s="66"/>
      <c r="G48" s="66"/>
      <c r="H48" s="66" t="s">
        <v>710</v>
      </c>
      <c r="I48" s="66" t="s">
        <v>664</v>
      </c>
      <c r="R48" s="63"/>
    </row>
    <row r="49" spans="4:18" s="25" customFormat="1" ht="14.25" thickBot="1" x14ac:dyDescent="0.45">
      <c r="D49" s="68"/>
      <c r="E49" s="69"/>
      <c r="F49" s="69"/>
      <c r="G49" s="69"/>
      <c r="H49" s="69"/>
      <c r="I49" s="70"/>
      <c r="J49" s="71"/>
      <c r="K49" s="71"/>
      <c r="L49" s="71"/>
      <c r="M49" s="71"/>
      <c r="N49" s="71"/>
      <c r="O49" s="71"/>
      <c r="P49" s="71"/>
      <c r="Q49" s="71"/>
      <c r="R49" s="72"/>
    </row>
    <row r="50" spans="4:18" s="25" customFormat="1" ht="13.5" x14ac:dyDescent="0.4">
      <c r="D50" s="58" t="s">
        <v>641</v>
      </c>
      <c r="E50" s="59"/>
      <c r="F50" s="59"/>
      <c r="G50" s="59"/>
      <c r="H50" s="59"/>
      <c r="I50" s="59"/>
      <c r="J50" s="60"/>
      <c r="K50" s="60"/>
      <c r="L50" s="60"/>
      <c r="M50" s="60"/>
      <c r="N50" s="60"/>
      <c r="O50" s="60"/>
      <c r="P50" s="60"/>
      <c r="Q50" s="60"/>
      <c r="R50" s="61"/>
    </row>
    <row r="51" spans="4:18" s="25" customFormat="1" ht="13.5" x14ac:dyDescent="0.4">
      <c r="D51" s="62">
        <v>3</v>
      </c>
      <c r="E51" s="49" t="s">
        <v>604</v>
      </c>
      <c r="F51" s="49"/>
      <c r="G51" s="49"/>
      <c r="H51" s="26"/>
      <c r="I51" s="26"/>
      <c r="R51" s="63"/>
    </row>
    <row r="52" spans="4:18" s="25" customFormat="1" ht="13.5" x14ac:dyDescent="0.4">
      <c r="D52" s="62"/>
      <c r="E52" s="49"/>
      <c r="F52" s="49"/>
      <c r="G52" s="49"/>
      <c r="H52" s="26"/>
      <c r="I52" s="26"/>
      <c r="R52" s="63"/>
    </row>
    <row r="53" spans="4:18" s="26" customFormat="1" ht="13.5" x14ac:dyDescent="0.4">
      <c r="D53" s="62"/>
      <c r="E53" s="26" t="s">
        <v>659</v>
      </c>
      <c r="H53" s="26" t="str">
        <f>H55&amp;"％に特売（タイムサービス割引）設定"</f>
        <v>10％に特売（タイムサービス割引）設定</v>
      </c>
      <c r="I53" s="26" t="str">
        <f>I55&amp;"％の値引シール【2:割引】"</f>
        <v>10％の値引シール【2:割引】</v>
      </c>
      <c r="K53" s="25"/>
      <c r="L53" s="25"/>
      <c r="M53" s="25"/>
      <c r="O53" s="25"/>
      <c r="P53" s="25"/>
      <c r="Q53" s="25"/>
      <c r="R53" s="64"/>
    </row>
    <row r="54" spans="4:18" s="25" customFormat="1" ht="13.5" x14ac:dyDescent="0.4">
      <c r="D54" s="62"/>
      <c r="E54" s="65"/>
      <c r="F54" s="65"/>
      <c r="G54" s="49"/>
      <c r="H54" s="26"/>
      <c r="R54" s="63"/>
    </row>
    <row r="55" spans="4:18" s="25" customFormat="1" ht="13.5" x14ac:dyDescent="0.4">
      <c r="D55" s="62"/>
      <c r="E55" s="65" t="s">
        <v>711</v>
      </c>
      <c r="F55" s="65"/>
      <c r="G55" s="26"/>
      <c r="H55" s="26">
        <v>10</v>
      </c>
      <c r="I55" s="26">
        <v>10</v>
      </c>
      <c r="R55" s="63"/>
    </row>
    <row r="56" spans="4:18" s="25" customFormat="1" ht="13.5" x14ac:dyDescent="0.4">
      <c r="D56" s="62"/>
      <c r="E56" s="26"/>
      <c r="F56" s="26"/>
      <c r="G56" s="26"/>
      <c r="I56" s="26"/>
      <c r="R56" s="63"/>
    </row>
    <row r="57" spans="4:18" s="25" customFormat="1" ht="13.5" customHeight="1" x14ac:dyDescent="0.4">
      <c r="D57" s="62"/>
      <c r="E57" s="26"/>
      <c r="F57" s="26"/>
      <c r="G57" s="26"/>
      <c r="R57" s="63"/>
    </row>
    <row r="58" spans="4:18" s="25" customFormat="1" ht="13.5" customHeight="1" x14ac:dyDescent="0.4">
      <c r="D58" s="62"/>
      <c r="E58" s="26"/>
      <c r="F58" s="26"/>
      <c r="G58" s="143" t="s">
        <v>660</v>
      </c>
      <c r="H58" s="74" t="s">
        <v>707</v>
      </c>
      <c r="R58" s="63"/>
    </row>
    <row r="59" spans="4:18" s="25" customFormat="1" ht="13.5" customHeight="1" x14ac:dyDescent="0.4">
      <c r="D59" s="62"/>
      <c r="E59" s="26"/>
      <c r="F59" s="26"/>
      <c r="G59" s="144"/>
      <c r="H59" s="146" t="s">
        <v>706</v>
      </c>
      <c r="I59" s="74" t="s">
        <v>716</v>
      </c>
      <c r="R59" s="63"/>
    </row>
    <row r="60" spans="4:18" s="25" customFormat="1" ht="13.5" customHeight="1" x14ac:dyDescent="0.4">
      <c r="D60" s="62"/>
      <c r="E60" s="26"/>
      <c r="F60" s="26"/>
      <c r="G60" s="144"/>
      <c r="H60" s="155"/>
      <c r="I60" s="157" t="s">
        <v>717</v>
      </c>
      <c r="R60" s="63"/>
    </row>
    <row r="61" spans="4:18" s="25" customFormat="1" ht="13.5" customHeight="1" x14ac:dyDescent="0.4">
      <c r="D61" s="62"/>
      <c r="E61" s="26"/>
      <c r="F61" s="26"/>
      <c r="G61" s="144"/>
      <c r="H61" s="155"/>
      <c r="I61" s="158"/>
      <c r="R61" s="63"/>
    </row>
    <row r="62" spans="4:18" s="25" customFormat="1" ht="13.5" customHeight="1" x14ac:dyDescent="0.4">
      <c r="D62" s="62"/>
      <c r="E62" s="26"/>
      <c r="F62" s="26"/>
      <c r="G62" s="144"/>
      <c r="H62" s="155"/>
      <c r="I62" s="158"/>
      <c r="R62" s="63"/>
    </row>
    <row r="63" spans="4:18" s="25" customFormat="1" ht="13.5" customHeight="1" x14ac:dyDescent="0.4">
      <c r="D63" s="62"/>
      <c r="E63" s="26"/>
      <c r="F63" s="26"/>
      <c r="G63" s="145"/>
      <c r="H63" s="156"/>
      <c r="I63" s="158"/>
      <c r="R63" s="63"/>
    </row>
    <row r="64" spans="4:18" s="25" customFormat="1" ht="13.5" customHeight="1" x14ac:dyDescent="0.4">
      <c r="D64" s="62"/>
      <c r="E64" s="66" t="s">
        <v>623</v>
      </c>
      <c r="F64" s="66"/>
      <c r="G64" s="66"/>
      <c r="H64" s="122">
        <v>30</v>
      </c>
      <c r="I64" s="75">
        <v>27</v>
      </c>
      <c r="J64" s="26"/>
      <c r="N64" s="26"/>
      <c r="R64" s="63"/>
    </row>
    <row r="65" spans="4:18" s="25" customFormat="1" ht="13.5" x14ac:dyDescent="0.4">
      <c r="D65" s="62"/>
      <c r="E65" s="66" t="s">
        <v>642</v>
      </c>
      <c r="F65" s="66"/>
      <c r="G65" s="66"/>
      <c r="H65" s="142">
        <v>243</v>
      </c>
      <c r="I65" s="142"/>
      <c r="R65" s="63"/>
    </row>
    <row r="66" spans="4:18" s="25" customFormat="1" ht="13.5" x14ac:dyDescent="0.4">
      <c r="D66" s="62"/>
      <c r="E66" s="66"/>
      <c r="F66" s="66"/>
      <c r="G66" s="66"/>
      <c r="H66" s="26"/>
      <c r="R66" s="63"/>
    </row>
    <row r="67" spans="4:18" s="25" customFormat="1" ht="13.5" x14ac:dyDescent="0.4">
      <c r="D67" s="62"/>
      <c r="E67" s="66" t="s">
        <v>643</v>
      </c>
      <c r="F67" s="66"/>
      <c r="G67" s="66"/>
      <c r="H67" s="26"/>
      <c r="I67" s="26"/>
      <c r="R67" s="63"/>
    </row>
    <row r="68" spans="4:18" s="25" customFormat="1" ht="13.5" customHeight="1" x14ac:dyDescent="0.4">
      <c r="D68" s="62"/>
      <c r="E68" s="67" t="s">
        <v>644</v>
      </c>
      <c r="F68" s="67"/>
      <c r="G68" s="66"/>
      <c r="H68" s="26">
        <v>91121</v>
      </c>
      <c r="I68" s="26">
        <v>91220</v>
      </c>
      <c r="R68" s="63"/>
    </row>
    <row r="69" spans="4:18" s="25" customFormat="1" ht="13.5" customHeight="1" x14ac:dyDescent="0.4">
      <c r="D69" s="62"/>
      <c r="E69" s="67" t="s">
        <v>645</v>
      </c>
      <c r="F69" s="67"/>
      <c r="G69" s="66"/>
      <c r="H69" s="26">
        <v>0</v>
      </c>
      <c r="I69" s="26">
        <v>2</v>
      </c>
      <c r="R69" s="63"/>
    </row>
    <row r="70" spans="4:18" s="25" customFormat="1" ht="13.5" customHeight="1" x14ac:dyDescent="0.4">
      <c r="D70" s="62"/>
      <c r="E70" s="67" t="s">
        <v>646</v>
      </c>
      <c r="F70" s="67"/>
      <c r="G70" s="66"/>
      <c r="H70" s="66" t="s">
        <v>662</v>
      </c>
      <c r="I70" s="66" t="s">
        <v>663</v>
      </c>
      <c r="R70" s="63"/>
    </row>
    <row r="71" spans="4:18" s="25" customFormat="1" ht="27" x14ac:dyDescent="0.4">
      <c r="D71" s="62"/>
      <c r="E71" s="66" t="s">
        <v>623</v>
      </c>
      <c r="F71" s="66"/>
      <c r="G71" s="66"/>
      <c r="H71" s="66" t="s">
        <v>752</v>
      </c>
      <c r="I71" s="66" t="s">
        <v>718</v>
      </c>
      <c r="R71" s="63"/>
    </row>
    <row r="72" spans="4:18" s="25" customFormat="1" ht="14.25" thickBot="1" x14ac:dyDescent="0.45">
      <c r="D72" s="68"/>
      <c r="E72" s="69"/>
      <c r="F72" s="69"/>
      <c r="G72" s="69"/>
      <c r="H72" s="69"/>
      <c r="I72" s="70"/>
      <c r="J72" s="71"/>
      <c r="K72" s="71"/>
      <c r="L72" s="71"/>
      <c r="M72" s="71"/>
      <c r="N72" s="71"/>
      <c r="O72" s="71"/>
      <c r="P72" s="71"/>
      <c r="Q72" s="71"/>
      <c r="R72" s="72"/>
    </row>
    <row r="73" spans="4:18" s="52" customFormat="1" ht="13.5" x14ac:dyDescent="0.4">
      <c r="D73" s="86" t="s">
        <v>641</v>
      </c>
      <c r="E73" s="87"/>
      <c r="F73" s="87"/>
      <c r="G73" s="87"/>
      <c r="H73" s="87"/>
      <c r="I73" s="87"/>
      <c r="J73" s="88"/>
      <c r="K73" s="88"/>
      <c r="L73" s="88"/>
      <c r="M73" s="88"/>
      <c r="N73" s="88"/>
      <c r="O73" s="88"/>
      <c r="P73" s="88"/>
      <c r="Q73" s="88"/>
      <c r="R73" s="89"/>
    </row>
    <row r="74" spans="4:18" s="52" customFormat="1" ht="13.5" x14ac:dyDescent="0.4">
      <c r="D74" s="90">
        <v>4</v>
      </c>
      <c r="E74" s="53" t="s">
        <v>719</v>
      </c>
      <c r="F74" s="53"/>
      <c r="G74" s="53"/>
      <c r="H74" s="29"/>
      <c r="I74" s="29"/>
      <c r="R74" s="91"/>
    </row>
    <row r="75" spans="4:18" s="52" customFormat="1" ht="13.5" x14ac:dyDescent="0.4">
      <c r="D75" s="90"/>
      <c r="E75" s="53"/>
      <c r="F75" s="53"/>
      <c r="G75" s="53"/>
      <c r="H75" s="29"/>
      <c r="I75" s="29"/>
      <c r="R75" s="91"/>
    </row>
    <row r="76" spans="4:18" s="29" customFormat="1" ht="13.5" x14ac:dyDescent="0.4">
      <c r="D76" s="90"/>
      <c r="E76" s="29" t="s">
        <v>680</v>
      </c>
      <c r="H76" s="26" t="str">
        <f>H78&amp;"％に特売（タイムサービス割引）設定"</f>
        <v>10％に特売（タイムサービス割引）設定</v>
      </c>
      <c r="I76" s="29" t="str">
        <f>I78&amp;"円に値引シール【3:金額】"</f>
        <v>200円に値引シール【3:金額】</v>
      </c>
      <c r="L76" s="26" t="str">
        <f>L78&amp;"％に特売（タイムサービス割引）設定"</f>
        <v>10％に特売（タイムサービス割引）設定</v>
      </c>
      <c r="M76" s="29" t="str">
        <f>M78&amp;"円に値引シール【3:金額】"</f>
        <v>270円に値引シール【3:金額】</v>
      </c>
      <c r="R76" s="92"/>
    </row>
    <row r="77" spans="4:18" s="52" customFormat="1" ht="13.5" x14ac:dyDescent="0.4">
      <c r="D77" s="90"/>
      <c r="E77" s="93"/>
      <c r="F77" s="93"/>
      <c r="G77" s="53"/>
      <c r="H77" s="26"/>
      <c r="K77" s="53"/>
      <c r="L77" s="26"/>
      <c r="N77" s="29"/>
      <c r="O77" s="29"/>
      <c r="P77" s="29"/>
      <c r="Q77" s="29"/>
      <c r="R77" s="91"/>
    </row>
    <row r="78" spans="4:18" s="52" customFormat="1" ht="13.5" x14ac:dyDescent="0.4">
      <c r="D78" s="90"/>
      <c r="E78" s="93" t="s">
        <v>725</v>
      </c>
      <c r="F78" s="93"/>
      <c r="G78" s="29"/>
      <c r="H78" s="26">
        <v>10</v>
      </c>
      <c r="I78" s="29">
        <v>200</v>
      </c>
      <c r="K78" s="29"/>
      <c r="L78" s="26">
        <v>10</v>
      </c>
      <c r="M78" s="29">
        <v>270</v>
      </c>
      <c r="N78" s="29"/>
      <c r="O78" s="29"/>
      <c r="P78" s="29"/>
      <c r="Q78" s="29"/>
      <c r="R78" s="91"/>
    </row>
    <row r="79" spans="4:18" s="52" customFormat="1" ht="13.5" x14ac:dyDescent="0.4">
      <c r="D79" s="90"/>
      <c r="E79" s="29"/>
      <c r="F79" s="29"/>
      <c r="G79" s="29"/>
      <c r="I79" s="29"/>
      <c r="K79" s="29"/>
      <c r="M79" s="29"/>
      <c r="N79" s="29"/>
      <c r="O79" s="29"/>
      <c r="P79" s="29"/>
      <c r="Q79" s="29"/>
      <c r="R79" s="91"/>
    </row>
    <row r="80" spans="4:18" s="52" customFormat="1" ht="13.5" customHeight="1" x14ac:dyDescent="0.4">
      <c r="D80" s="90"/>
      <c r="E80" s="29"/>
      <c r="F80" s="29"/>
      <c r="G80" s="29"/>
      <c r="I80" s="29"/>
      <c r="K80" s="29"/>
      <c r="M80" s="29"/>
      <c r="N80" s="29"/>
      <c r="O80" s="29"/>
      <c r="P80" s="29"/>
      <c r="Q80" s="29"/>
      <c r="R80" s="91"/>
    </row>
    <row r="81" spans="4:18" s="52" customFormat="1" ht="13.5" x14ac:dyDescent="0.4">
      <c r="D81" s="90"/>
      <c r="E81" s="29"/>
      <c r="F81" s="29"/>
      <c r="G81" s="29"/>
      <c r="K81" s="29"/>
      <c r="N81" s="29"/>
      <c r="O81" s="29"/>
      <c r="P81" s="29"/>
      <c r="Q81" s="29"/>
      <c r="R81" s="91"/>
    </row>
    <row r="82" spans="4:18" s="52" customFormat="1" ht="13.5" customHeight="1" x14ac:dyDescent="0.4">
      <c r="D82" s="90"/>
      <c r="E82" s="29"/>
      <c r="F82" s="29"/>
      <c r="G82" s="143" t="s">
        <v>660</v>
      </c>
      <c r="H82" s="74" t="s">
        <v>670</v>
      </c>
      <c r="K82" s="143" t="s">
        <v>660</v>
      </c>
      <c r="L82" s="74" t="s">
        <v>670</v>
      </c>
      <c r="N82" s="29"/>
      <c r="O82" s="29"/>
      <c r="P82" s="29"/>
      <c r="Q82" s="29"/>
      <c r="R82" s="91"/>
    </row>
    <row r="83" spans="4:18" s="52" customFormat="1" ht="13.5" customHeight="1" x14ac:dyDescent="0.4">
      <c r="D83" s="90"/>
      <c r="E83" s="29"/>
      <c r="F83" s="29"/>
      <c r="G83" s="144"/>
      <c r="H83" s="146" t="s">
        <v>722</v>
      </c>
      <c r="I83" s="74" t="s">
        <v>720</v>
      </c>
      <c r="K83" s="144"/>
      <c r="L83" s="146" t="s">
        <v>722</v>
      </c>
      <c r="M83" s="150" t="s">
        <v>721</v>
      </c>
      <c r="N83" s="29"/>
      <c r="O83" s="29"/>
      <c r="P83" s="29"/>
      <c r="Q83" s="29"/>
      <c r="R83" s="91"/>
    </row>
    <row r="84" spans="4:18" s="52" customFormat="1" ht="13.5" customHeight="1" x14ac:dyDescent="0.4">
      <c r="D84" s="90"/>
      <c r="E84" s="29"/>
      <c r="F84" s="29"/>
      <c r="G84" s="144"/>
      <c r="H84" s="147"/>
      <c r="I84" s="150" t="s">
        <v>676</v>
      </c>
      <c r="K84" s="144"/>
      <c r="L84" s="147"/>
      <c r="M84" s="153"/>
      <c r="N84" s="29"/>
      <c r="O84" s="29"/>
      <c r="P84" s="29"/>
      <c r="Q84" s="29"/>
      <c r="R84" s="91"/>
    </row>
    <row r="85" spans="4:18" s="52" customFormat="1" ht="13.5" customHeight="1" x14ac:dyDescent="0.4">
      <c r="D85" s="90"/>
      <c r="E85" s="29"/>
      <c r="F85" s="29"/>
      <c r="G85" s="144"/>
      <c r="H85" s="147"/>
      <c r="I85" s="153"/>
      <c r="K85" s="144"/>
      <c r="L85" s="147"/>
      <c r="M85" s="153"/>
      <c r="N85" s="29"/>
      <c r="O85" s="29"/>
      <c r="P85" s="29"/>
      <c r="Q85" s="29"/>
      <c r="R85" s="91"/>
    </row>
    <row r="86" spans="4:18" s="52" customFormat="1" ht="13.5" customHeight="1" x14ac:dyDescent="0.4">
      <c r="D86" s="90"/>
      <c r="E86" s="29"/>
      <c r="F86" s="29"/>
      <c r="G86" s="144"/>
      <c r="H86" s="147"/>
      <c r="I86" s="153"/>
      <c r="K86" s="144"/>
      <c r="L86" s="147"/>
      <c r="M86" s="153"/>
      <c r="N86" s="29"/>
      <c r="O86" s="29"/>
      <c r="P86" s="29"/>
      <c r="Q86" s="29"/>
      <c r="R86" s="91"/>
    </row>
    <row r="87" spans="4:18" s="52" customFormat="1" ht="13.5" x14ac:dyDescent="0.4">
      <c r="D87" s="90"/>
      <c r="E87" s="29"/>
      <c r="F87" s="29"/>
      <c r="G87" s="145"/>
      <c r="H87" s="148"/>
      <c r="I87" s="154"/>
      <c r="K87" s="145"/>
      <c r="L87" s="148"/>
      <c r="M87" s="154"/>
      <c r="N87" s="29"/>
      <c r="O87" s="29"/>
      <c r="P87" s="29"/>
      <c r="Q87" s="29"/>
      <c r="R87" s="91"/>
    </row>
    <row r="88" spans="4:18" s="52" customFormat="1" ht="13.5" x14ac:dyDescent="0.4">
      <c r="D88" s="90"/>
      <c r="E88" s="94" t="s">
        <v>623</v>
      </c>
      <c r="F88" s="94"/>
      <c r="G88" s="94"/>
      <c r="H88" s="83">
        <v>30</v>
      </c>
      <c r="I88" s="83">
        <v>70</v>
      </c>
      <c r="K88" s="94"/>
      <c r="L88" s="120">
        <v>30</v>
      </c>
      <c r="M88" s="120">
        <v>70</v>
      </c>
      <c r="N88" s="29"/>
      <c r="O88" s="29"/>
      <c r="P88" s="29"/>
      <c r="Q88" s="29"/>
      <c r="R88" s="91"/>
    </row>
    <row r="89" spans="4:18" s="52" customFormat="1" ht="13.5" x14ac:dyDescent="0.4">
      <c r="D89" s="90"/>
      <c r="E89" s="94" t="s">
        <v>642</v>
      </c>
      <c r="F89" s="94"/>
      <c r="G89" s="94"/>
      <c r="H89" s="149">
        <v>200</v>
      </c>
      <c r="I89" s="149"/>
      <c r="K89" s="94"/>
      <c r="L89" s="149">
        <v>200</v>
      </c>
      <c r="M89" s="149"/>
      <c r="N89" s="29"/>
      <c r="O89" s="29"/>
      <c r="P89" s="29"/>
      <c r="Q89" s="29"/>
      <c r="R89" s="91"/>
    </row>
    <row r="90" spans="4:18" s="52" customFormat="1" ht="13.5" x14ac:dyDescent="0.4">
      <c r="D90" s="90"/>
      <c r="E90" s="94"/>
      <c r="F90" s="94"/>
      <c r="G90" s="94"/>
      <c r="H90" s="29"/>
      <c r="K90" s="94"/>
      <c r="L90" s="29"/>
      <c r="N90" s="29"/>
      <c r="O90" s="29"/>
      <c r="P90" s="29"/>
      <c r="Q90" s="29"/>
      <c r="R90" s="91"/>
    </row>
    <row r="91" spans="4:18" s="52" customFormat="1" ht="13.5" x14ac:dyDescent="0.4">
      <c r="D91" s="90"/>
      <c r="E91" s="94" t="s">
        <v>643</v>
      </c>
      <c r="F91" s="94"/>
      <c r="G91" s="94"/>
      <c r="H91" s="29"/>
      <c r="I91" s="29"/>
      <c r="K91" s="94"/>
      <c r="L91" s="29"/>
      <c r="M91" s="29"/>
      <c r="N91" s="29"/>
      <c r="O91" s="29"/>
      <c r="P91" s="29"/>
      <c r="Q91" s="29"/>
      <c r="R91" s="91"/>
    </row>
    <row r="92" spans="4:18" s="52" customFormat="1" ht="13.5" customHeight="1" x14ac:dyDescent="0.4">
      <c r="D92" s="90"/>
      <c r="E92" s="96" t="s">
        <v>644</v>
      </c>
      <c r="F92" s="96"/>
      <c r="G92" s="94"/>
      <c r="H92" s="94">
        <v>91121</v>
      </c>
      <c r="I92" s="94">
        <v>91220</v>
      </c>
      <c r="K92" s="94"/>
      <c r="L92" s="94">
        <v>91121</v>
      </c>
      <c r="M92" s="168" t="s">
        <v>650</v>
      </c>
      <c r="N92" s="29"/>
      <c r="O92" s="29"/>
      <c r="P92" s="29"/>
      <c r="Q92" s="29"/>
      <c r="R92" s="91"/>
    </row>
    <row r="93" spans="4:18" s="52" customFormat="1" ht="13.5" customHeight="1" x14ac:dyDescent="0.4">
      <c r="D93" s="90"/>
      <c r="E93" s="96" t="s">
        <v>645</v>
      </c>
      <c r="F93" s="96"/>
      <c r="G93" s="94"/>
      <c r="H93" s="29">
        <v>0</v>
      </c>
      <c r="I93" s="29">
        <v>1</v>
      </c>
      <c r="K93" s="94"/>
      <c r="L93" s="29">
        <v>0</v>
      </c>
      <c r="M93" s="169"/>
      <c r="N93" s="29"/>
      <c r="O93" s="29"/>
      <c r="P93" s="29"/>
      <c r="Q93" s="29"/>
      <c r="R93" s="91"/>
    </row>
    <row r="94" spans="4:18" s="52" customFormat="1" ht="13.5" x14ac:dyDescent="0.4">
      <c r="D94" s="90"/>
      <c r="E94" s="96" t="s">
        <v>646</v>
      </c>
      <c r="F94" s="96"/>
      <c r="G94" s="94"/>
      <c r="H94" s="29" t="s">
        <v>647</v>
      </c>
      <c r="I94" s="29" t="s">
        <v>666</v>
      </c>
      <c r="K94" s="94"/>
      <c r="L94" s="29" t="s">
        <v>647</v>
      </c>
      <c r="M94" s="169"/>
      <c r="N94" s="29"/>
      <c r="O94" s="29"/>
      <c r="P94" s="29"/>
      <c r="Q94" s="29"/>
      <c r="R94" s="91"/>
    </row>
    <row r="95" spans="4:18" s="52" customFormat="1" ht="40.5" x14ac:dyDescent="0.4">
      <c r="D95" s="90"/>
      <c r="E95" s="94" t="s">
        <v>623</v>
      </c>
      <c r="F95" s="94"/>
      <c r="G95" s="94"/>
      <c r="H95" s="103" t="s">
        <v>724</v>
      </c>
      <c r="I95" s="103" t="s">
        <v>750</v>
      </c>
      <c r="K95" s="94"/>
      <c r="L95" s="103" t="s">
        <v>724</v>
      </c>
      <c r="M95" s="170"/>
      <c r="N95" s="29"/>
      <c r="O95" s="29"/>
      <c r="P95" s="29"/>
      <c r="Q95" s="29"/>
      <c r="R95" s="91"/>
    </row>
    <row r="96" spans="4:18" s="52" customFormat="1" ht="14.25" thickBot="1" x14ac:dyDescent="0.45">
      <c r="D96" s="97"/>
      <c r="E96" s="98"/>
      <c r="F96" s="98"/>
      <c r="G96" s="98"/>
      <c r="H96" s="98"/>
      <c r="I96" s="99"/>
      <c r="J96" s="100"/>
      <c r="K96" s="100"/>
      <c r="L96" s="100"/>
      <c r="M96" s="100"/>
      <c r="N96" s="100"/>
      <c r="O96" s="100"/>
      <c r="P96" s="100"/>
      <c r="Q96" s="100"/>
      <c r="R96" s="101"/>
    </row>
    <row r="97" spans="4:18" s="52" customFormat="1" ht="13.5" x14ac:dyDescent="0.4">
      <c r="D97" s="86" t="s">
        <v>641</v>
      </c>
      <c r="E97" s="87"/>
      <c r="F97" s="87"/>
      <c r="G97" s="87"/>
      <c r="H97" s="87"/>
      <c r="I97" s="87"/>
      <c r="J97" s="88"/>
      <c r="K97" s="88"/>
      <c r="L97" s="88"/>
      <c r="M97" s="88"/>
      <c r="N97" s="88"/>
      <c r="O97" s="88"/>
      <c r="P97" s="88"/>
      <c r="Q97" s="88"/>
      <c r="R97" s="89"/>
    </row>
    <row r="98" spans="4:18" s="52" customFormat="1" ht="13.5" x14ac:dyDescent="0.4">
      <c r="D98" s="90">
        <v>5</v>
      </c>
      <c r="E98" s="53" t="s">
        <v>753</v>
      </c>
      <c r="F98" s="53"/>
      <c r="G98" s="53"/>
      <c r="H98" s="29"/>
      <c r="I98" s="29"/>
      <c r="R98" s="91"/>
    </row>
    <row r="99" spans="4:18" s="52" customFormat="1" ht="13.5" x14ac:dyDescent="0.4">
      <c r="D99" s="90"/>
      <c r="E99" s="53"/>
      <c r="F99" s="53"/>
      <c r="G99" s="53"/>
      <c r="H99" s="29"/>
      <c r="I99" s="29"/>
      <c r="R99" s="91"/>
    </row>
    <row r="100" spans="4:18" s="29" customFormat="1" ht="13.5" x14ac:dyDescent="0.4">
      <c r="D100" s="90"/>
      <c r="E100" s="29" t="s">
        <v>680</v>
      </c>
      <c r="H100" s="26" t="str">
        <f>H102&amp;"％に特売（タイムサービス割引）設定"</f>
        <v>10％に特売（タイムサービス割引）設定</v>
      </c>
      <c r="I100" s="29" t="str">
        <f>I102&amp;"円に値引シール【3:金額】"</f>
        <v>270円に値引シール【3:金額】</v>
      </c>
      <c r="R100" s="92"/>
    </row>
    <row r="101" spans="4:18" s="52" customFormat="1" ht="13.5" x14ac:dyDescent="0.4">
      <c r="D101" s="90"/>
      <c r="E101" s="93"/>
      <c r="F101" s="93"/>
      <c r="G101" s="53"/>
      <c r="H101" s="26"/>
      <c r="K101" s="29"/>
      <c r="L101" s="29"/>
      <c r="M101" s="29"/>
      <c r="N101" s="29"/>
      <c r="O101" s="29"/>
      <c r="P101" s="29"/>
      <c r="Q101" s="29"/>
      <c r="R101" s="91"/>
    </row>
    <row r="102" spans="4:18" s="52" customFormat="1" ht="13.5" x14ac:dyDescent="0.4">
      <c r="D102" s="90"/>
      <c r="E102" s="93" t="s">
        <v>725</v>
      </c>
      <c r="F102" s="93"/>
      <c r="G102" s="29"/>
      <c r="H102" s="26">
        <v>10</v>
      </c>
      <c r="I102" s="29">
        <v>270</v>
      </c>
      <c r="K102" s="29"/>
      <c r="L102" s="29"/>
      <c r="M102" s="29"/>
      <c r="N102" s="29"/>
      <c r="O102" s="29"/>
      <c r="P102" s="29"/>
      <c r="Q102" s="29"/>
      <c r="R102" s="91"/>
    </row>
    <row r="103" spans="4:18" s="52" customFormat="1" ht="13.5" x14ac:dyDescent="0.4">
      <c r="D103" s="90"/>
      <c r="E103" s="29"/>
      <c r="F103" s="29"/>
      <c r="G103" s="29"/>
      <c r="I103" s="29"/>
      <c r="K103" s="29"/>
      <c r="L103" s="29"/>
      <c r="M103" s="29"/>
      <c r="N103" s="29"/>
      <c r="O103" s="29"/>
      <c r="P103" s="29"/>
      <c r="Q103" s="29"/>
      <c r="R103" s="91"/>
    </row>
    <row r="104" spans="4:18" s="52" customFormat="1" ht="13.5" customHeight="1" x14ac:dyDescent="0.4">
      <c r="D104" s="90"/>
      <c r="E104" s="29"/>
      <c r="F104" s="29"/>
      <c r="G104" s="29"/>
      <c r="I104" s="29"/>
      <c r="K104" s="29"/>
      <c r="L104" s="29"/>
      <c r="M104" s="29"/>
      <c r="N104" s="29"/>
      <c r="O104" s="29"/>
      <c r="P104" s="29"/>
      <c r="Q104" s="29"/>
      <c r="R104" s="91"/>
    </row>
    <row r="105" spans="4:18" s="52" customFormat="1" ht="13.5" x14ac:dyDescent="0.4">
      <c r="D105" s="90"/>
      <c r="E105" s="29"/>
      <c r="F105" s="29"/>
      <c r="G105" s="29"/>
      <c r="K105" s="29"/>
      <c r="L105" s="29"/>
      <c r="M105" s="29"/>
      <c r="N105" s="29"/>
      <c r="O105" s="29"/>
      <c r="P105" s="29"/>
      <c r="Q105" s="29"/>
      <c r="R105" s="91"/>
    </row>
    <row r="106" spans="4:18" s="52" customFormat="1" ht="13.5" customHeight="1" x14ac:dyDescent="0.4">
      <c r="D106" s="90"/>
      <c r="E106" s="29"/>
      <c r="F106" s="29"/>
      <c r="G106" s="143" t="s">
        <v>660</v>
      </c>
      <c r="H106" s="74" t="s">
        <v>670</v>
      </c>
      <c r="K106" s="29"/>
      <c r="L106" s="29"/>
      <c r="M106" s="29"/>
      <c r="N106" s="29"/>
      <c r="O106" s="29"/>
      <c r="P106" s="29"/>
      <c r="Q106" s="29"/>
      <c r="R106" s="91"/>
    </row>
    <row r="107" spans="4:18" s="52" customFormat="1" ht="13.5" customHeight="1" x14ac:dyDescent="0.4">
      <c r="D107" s="90"/>
      <c r="E107" s="29"/>
      <c r="F107" s="29"/>
      <c r="G107" s="144"/>
      <c r="H107" s="146" t="s">
        <v>722</v>
      </c>
      <c r="I107" s="150" t="s">
        <v>721</v>
      </c>
      <c r="K107" s="29"/>
      <c r="L107" s="29"/>
      <c r="M107" s="29"/>
      <c r="N107" s="29"/>
      <c r="O107" s="29"/>
      <c r="P107" s="29"/>
      <c r="Q107" s="29"/>
      <c r="R107" s="91"/>
    </row>
    <row r="108" spans="4:18" s="52" customFormat="1" ht="13.5" customHeight="1" x14ac:dyDescent="0.4">
      <c r="D108" s="90"/>
      <c r="E108" s="29"/>
      <c r="F108" s="29"/>
      <c r="G108" s="144"/>
      <c r="H108" s="147"/>
      <c r="I108" s="151"/>
      <c r="K108" s="29"/>
      <c r="L108" s="29"/>
      <c r="M108" s="29"/>
      <c r="N108" s="29"/>
      <c r="O108" s="29"/>
      <c r="P108" s="29"/>
      <c r="Q108" s="29"/>
      <c r="R108" s="91"/>
    </row>
    <row r="109" spans="4:18" s="52" customFormat="1" ht="13.5" customHeight="1" x14ac:dyDescent="0.4">
      <c r="D109" s="90"/>
      <c r="E109" s="29"/>
      <c r="F109" s="29"/>
      <c r="G109" s="144"/>
      <c r="H109" s="147"/>
      <c r="I109" s="151"/>
      <c r="K109" s="29"/>
      <c r="L109" s="29"/>
      <c r="M109" s="29"/>
      <c r="N109" s="29"/>
      <c r="O109" s="29"/>
      <c r="P109" s="29"/>
      <c r="Q109" s="29"/>
      <c r="R109" s="91"/>
    </row>
    <row r="110" spans="4:18" s="52" customFormat="1" ht="13.5" customHeight="1" x14ac:dyDescent="0.4">
      <c r="D110" s="90"/>
      <c r="E110" s="29"/>
      <c r="F110" s="29"/>
      <c r="G110" s="144"/>
      <c r="H110" s="147"/>
      <c r="I110" s="151"/>
      <c r="K110" s="29"/>
      <c r="L110" s="29"/>
      <c r="M110" s="29"/>
      <c r="N110" s="29"/>
      <c r="O110" s="29"/>
      <c r="P110" s="29"/>
      <c r="Q110" s="29"/>
      <c r="R110" s="91"/>
    </row>
    <row r="111" spans="4:18" s="52" customFormat="1" ht="13.5" customHeight="1" x14ac:dyDescent="0.4">
      <c r="D111" s="90"/>
      <c r="E111" s="29"/>
      <c r="F111" s="29"/>
      <c r="G111" s="145"/>
      <c r="H111" s="148"/>
      <c r="I111" s="152"/>
      <c r="K111" s="29"/>
      <c r="L111" s="29"/>
      <c r="M111" s="29"/>
      <c r="N111" s="29"/>
      <c r="O111" s="29"/>
      <c r="P111" s="29"/>
      <c r="Q111" s="29"/>
      <c r="R111" s="91"/>
    </row>
    <row r="112" spans="4:18" s="52" customFormat="1" ht="13.5" x14ac:dyDescent="0.4">
      <c r="D112" s="90"/>
      <c r="E112" s="94" t="s">
        <v>623</v>
      </c>
      <c r="F112" s="94"/>
      <c r="G112" s="94"/>
      <c r="H112" s="120">
        <v>30</v>
      </c>
      <c r="I112" s="83">
        <v>50</v>
      </c>
      <c r="K112" s="29"/>
      <c r="L112" s="29"/>
      <c r="M112" s="29"/>
      <c r="N112" s="29"/>
      <c r="O112" s="29"/>
      <c r="P112" s="29"/>
      <c r="Q112" s="29"/>
      <c r="R112" s="91"/>
    </row>
    <row r="113" spans="4:18" s="52" customFormat="1" ht="13.5" x14ac:dyDescent="0.4">
      <c r="D113" s="90"/>
      <c r="E113" s="94" t="s">
        <v>642</v>
      </c>
      <c r="F113" s="94"/>
      <c r="G113" s="94"/>
      <c r="H113" s="149">
        <v>250</v>
      </c>
      <c r="I113" s="149"/>
      <c r="K113" s="29"/>
      <c r="L113" s="29"/>
      <c r="M113" s="29"/>
      <c r="N113" s="29"/>
      <c r="O113" s="29"/>
      <c r="P113" s="29"/>
      <c r="Q113" s="29"/>
      <c r="R113" s="91"/>
    </row>
    <row r="114" spans="4:18" s="52" customFormat="1" ht="13.5" x14ac:dyDescent="0.4">
      <c r="D114" s="90"/>
      <c r="E114" s="94"/>
      <c r="F114" s="94"/>
      <c r="G114" s="94"/>
      <c r="H114" s="29"/>
      <c r="K114" s="29"/>
      <c r="L114" s="29"/>
      <c r="M114" s="29"/>
      <c r="N114" s="29"/>
      <c r="O114" s="29"/>
      <c r="P114" s="29"/>
      <c r="Q114" s="29"/>
      <c r="R114" s="91"/>
    </row>
    <row r="115" spans="4:18" s="52" customFormat="1" ht="13.5" x14ac:dyDescent="0.4">
      <c r="D115" s="90"/>
      <c r="E115" s="94" t="s">
        <v>643</v>
      </c>
      <c r="F115" s="94"/>
      <c r="G115" s="94"/>
      <c r="H115" s="29"/>
      <c r="I115" s="29"/>
      <c r="K115" s="29"/>
      <c r="L115" s="29"/>
      <c r="M115" s="29"/>
      <c r="N115" s="29"/>
      <c r="O115" s="29"/>
      <c r="P115" s="29"/>
      <c r="Q115" s="29"/>
      <c r="R115" s="91"/>
    </row>
    <row r="116" spans="4:18" s="52" customFormat="1" ht="13.5" customHeight="1" x14ac:dyDescent="0.4">
      <c r="D116" s="90"/>
      <c r="E116" s="96" t="s">
        <v>644</v>
      </c>
      <c r="F116" s="96"/>
      <c r="G116" s="94"/>
      <c r="H116" s="94">
        <v>91121</v>
      </c>
      <c r="I116" s="168" t="s">
        <v>650</v>
      </c>
      <c r="K116" s="29"/>
      <c r="L116" s="29"/>
      <c r="M116" s="29"/>
      <c r="N116" s="29"/>
      <c r="O116" s="29"/>
      <c r="P116" s="29"/>
      <c r="Q116" s="29"/>
      <c r="R116" s="91"/>
    </row>
    <row r="117" spans="4:18" s="52" customFormat="1" ht="13.5" customHeight="1" x14ac:dyDescent="0.4">
      <c r="D117" s="90"/>
      <c r="E117" s="96" t="s">
        <v>645</v>
      </c>
      <c r="F117" s="96"/>
      <c r="G117" s="94"/>
      <c r="H117" s="29">
        <v>0</v>
      </c>
      <c r="I117" s="169"/>
      <c r="K117" s="29"/>
      <c r="L117" s="29"/>
      <c r="M117" s="29"/>
      <c r="N117" s="29"/>
      <c r="O117" s="29"/>
      <c r="P117" s="29"/>
      <c r="Q117" s="29"/>
      <c r="R117" s="91"/>
    </row>
    <row r="118" spans="4:18" s="52" customFormat="1" ht="13.5" x14ac:dyDescent="0.4">
      <c r="D118" s="90"/>
      <c r="E118" s="96" t="s">
        <v>646</v>
      </c>
      <c r="F118" s="96"/>
      <c r="G118" s="94"/>
      <c r="H118" s="29" t="s">
        <v>647</v>
      </c>
      <c r="I118" s="169"/>
      <c r="K118" s="29"/>
      <c r="L118" s="29"/>
      <c r="M118" s="29"/>
      <c r="N118" s="29"/>
      <c r="O118" s="29"/>
      <c r="P118" s="29"/>
      <c r="Q118" s="29"/>
      <c r="R118" s="91"/>
    </row>
    <row r="119" spans="4:18" s="52" customFormat="1" ht="27" x14ac:dyDescent="0.4">
      <c r="D119" s="90"/>
      <c r="E119" s="94" t="s">
        <v>623</v>
      </c>
      <c r="F119" s="94"/>
      <c r="G119" s="94"/>
      <c r="H119" s="103" t="s">
        <v>751</v>
      </c>
      <c r="I119" s="170"/>
      <c r="K119" s="29"/>
      <c r="L119" s="29"/>
      <c r="M119" s="29"/>
      <c r="N119" s="29"/>
      <c r="O119" s="29"/>
      <c r="P119" s="29"/>
      <c r="Q119" s="29"/>
      <c r="R119" s="91"/>
    </row>
    <row r="120" spans="4:18" s="52" customFormat="1" ht="14.25" thickBot="1" x14ac:dyDescent="0.45">
      <c r="D120" s="97"/>
      <c r="E120" s="98"/>
      <c r="F120" s="98"/>
      <c r="G120" s="98"/>
      <c r="H120" s="98"/>
      <c r="I120" s="99"/>
      <c r="J120" s="100"/>
      <c r="K120" s="100"/>
      <c r="L120" s="100"/>
      <c r="M120" s="100"/>
      <c r="N120" s="100"/>
      <c r="O120" s="100"/>
      <c r="P120" s="100"/>
      <c r="Q120" s="100"/>
      <c r="R120" s="101"/>
    </row>
    <row r="121" spans="4:18" s="52" customFormat="1" ht="13.5" x14ac:dyDescent="0.4">
      <c r="D121" s="86" t="s">
        <v>641</v>
      </c>
      <c r="E121" s="87"/>
      <c r="F121" s="87"/>
      <c r="G121" s="87"/>
      <c r="H121" s="87"/>
      <c r="I121" s="87"/>
      <c r="J121" s="88"/>
      <c r="K121" s="88"/>
      <c r="L121" s="88"/>
      <c r="M121" s="88"/>
      <c r="N121" s="88"/>
      <c r="O121" s="88"/>
      <c r="P121" s="88"/>
      <c r="Q121" s="88"/>
      <c r="R121" s="89"/>
    </row>
    <row r="122" spans="4:18" s="52" customFormat="1" ht="13.5" x14ac:dyDescent="0.4">
      <c r="D122" s="90">
        <v>6</v>
      </c>
      <c r="E122" s="53" t="s">
        <v>755</v>
      </c>
      <c r="F122" s="53"/>
      <c r="G122" s="53"/>
      <c r="H122" s="29"/>
      <c r="I122" s="29"/>
      <c r="R122" s="91"/>
    </row>
    <row r="123" spans="4:18" s="52" customFormat="1" ht="13.5" x14ac:dyDescent="0.4">
      <c r="D123" s="90"/>
      <c r="E123" s="53"/>
      <c r="F123" s="53"/>
      <c r="G123" s="53"/>
      <c r="H123" s="29"/>
      <c r="I123" s="29"/>
      <c r="R123" s="91"/>
    </row>
    <row r="124" spans="4:18" s="29" customFormat="1" ht="13.5" x14ac:dyDescent="0.4">
      <c r="D124" s="90"/>
      <c r="E124" s="29" t="s">
        <v>680</v>
      </c>
      <c r="H124" s="29" t="str">
        <f>H126&amp;"％に特売（タイムサービス割引）設定"</f>
        <v>10％に特売（タイムサービス割引）設定</v>
      </c>
      <c r="I124" s="29" t="str">
        <f>I126&amp;"円に値引シール【3:金額】"</f>
        <v>280円に値引シール【3:金額】</v>
      </c>
      <c r="L124" s="29" t="str">
        <f>L126&amp;"％に特売（タイムサービス割引）設定"</f>
        <v>10％に特売（タイムサービス割引）設定</v>
      </c>
      <c r="M124" s="29" t="str">
        <f>M126&amp;"円に値引シール【3:金額】"</f>
        <v>300円に値引シール【3:金額】</v>
      </c>
      <c r="P124" s="29" t="str">
        <f>P126&amp;"％に特売（タイムサービス割引）設定"</f>
        <v>250％に特売（タイムサービス割引）設定</v>
      </c>
      <c r="Q124" s="29" t="str">
        <f>Q126&amp;"円に値引シール【3:金額】"</f>
        <v>350円に値引シール【3:金額】</v>
      </c>
      <c r="R124" s="92"/>
    </row>
    <row r="125" spans="4:18" s="52" customFormat="1" ht="13.5" x14ac:dyDescent="0.4">
      <c r="D125" s="90"/>
      <c r="E125" s="93"/>
      <c r="F125" s="93"/>
      <c r="G125" s="53"/>
      <c r="K125" s="53"/>
      <c r="N125" s="29"/>
      <c r="O125" s="53"/>
      <c r="R125" s="91"/>
    </row>
    <row r="126" spans="4:18" s="52" customFormat="1" ht="13.5" x14ac:dyDescent="0.4">
      <c r="D126" s="90"/>
      <c r="E126" s="93" t="s">
        <v>725</v>
      </c>
      <c r="F126" s="93"/>
      <c r="G126" s="29"/>
      <c r="H126" s="29">
        <v>10</v>
      </c>
      <c r="I126" s="29">
        <v>280</v>
      </c>
      <c r="K126" s="29"/>
      <c r="L126" s="29">
        <v>10</v>
      </c>
      <c r="M126" s="29">
        <v>300</v>
      </c>
      <c r="N126" s="29"/>
      <c r="O126" s="29"/>
      <c r="P126" s="29">
        <v>250</v>
      </c>
      <c r="Q126" s="29">
        <v>350</v>
      </c>
      <c r="R126" s="91"/>
    </row>
    <row r="127" spans="4:18" s="52" customFormat="1" ht="13.5" x14ac:dyDescent="0.4">
      <c r="D127" s="90"/>
      <c r="E127" s="29"/>
      <c r="F127" s="29"/>
      <c r="G127" s="29"/>
      <c r="I127" s="29"/>
      <c r="K127" s="29"/>
      <c r="M127" s="29"/>
      <c r="N127" s="29"/>
      <c r="O127" s="29"/>
      <c r="Q127" s="29"/>
      <c r="R127" s="91"/>
    </row>
    <row r="128" spans="4:18" s="52" customFormat="1" ht="13.5" customHeight="1" x14ac:dyDescent="0.4">
      <c r="D128" s="90"/>
      <c r="E128" s="29"/>
      <c r="F128" s="29"/>
      <c r="G128" s="29"/>
      <c r="I128" s="29"/>
      <c r="K128" s="29"/>
      <c r="M128" s="29"/>
      <c r="N128" s="29"/>
      <c r="O128" s="29"/>
      <c r="Q128" s="29"/>
      <c r="R128" s="91"/>
    </row>
    <row r="129" spans="4:18" s="52" customFormat="1" ht="13.5" x14ac:dyDescent="0.4">
      <c r="D129" s="90"/>
      <c r="E129" s="29"/>
      <c r="F129" s="29"/>
      <c r="G129" s="29"/>
      <c r="K129" s="29"/>
      <c r="N129" s="29"/>
      <c r="O129" s="29"/>
      <c r="Q129" s="166" t="s">
        <v>672</v>
      </c>
      <c r="R129" s="91"/>
    </row>
    <row r="130" spans="4:18" s="52" customFormat="1" ht="13.5" customHeight="1" x14ac:dyDescent="0.4">
      <c r="D130" s="90"/>
      <c r="E130" s="29"/>
      <c r="F130" s="29"/>
      <c r="G130" s="143" t="s">
        <v>660</v>
      </c>
      <c r="I130" s="74" t="s">
        <v>679</v>
      </c>
      <c r="K130" s="143" t="s">
        <v>660</v>
      </c>
      <c r="L130" s="74" t="s">
        <v>661</v>
      </c>
      <c r="M130" s="150" t="s">
        <v>681</v>
      </c>
      <c r="N130" s="29"/>
      <c r="O130" s="143" t="s">
        <v>660</v>
      </c>
      <c r="P130" s="74" t="s">
        <v>673</v>
      </c>
      <c r="Q130" s="167"/>
      <c r="R130" s="91"/>
    </row>
    <row r="131" spans="4:18" s="52" customFormat="1" ht="13.5" customHeight="1" x14ac:dyDescent="0.4">
      <c r="D131" s="90"/>
      <c r="E131" s="29"/>
      <c r="F131" s="29"/>
      <c r="G131" s="144"/>
      <c r="I131" s="150" t="s">
        <v>678</v>
      </c>
      <c r="K131" s="144"/>
      <c r="L131" s="146" t="s">
        <v>722</v>
      </c>
      <c r="M131" s="171"/>
      <c r="N131" s="29"/>
      <c r="O131" s="144"/>
      <c r="P131" s="146" t="s">
        <v>722</v>
      </c>
      <c r="Q131" s="167"/>
      <c r="R131" s="91"/>
    </row>
    <row r="132" spans="4:18" s="52" customFormat="1" ht="13.5" customHeight="1" x14ac:dyDescent="0.4">
      <c r="D132" s="90"/>
      <c r="E132" s="29"/>
      <c r="F132" s="29"/>
      <c r="G132" s="144"/>
      <c r="H132" s="146" t="s">
        <v>722</v>
      </c>
      <c r="I132" s="151"/>
      <c r="K132" s="144"/>
      <c r="L132" s="147"/>
      <c r="M132" s="171"/>
      <c r="N132" s="29"/>
      <c r="O132" s="144"/>
      <c r="P132" s="147"/>
      <c r="Q132" s="167"/>
      <c r="R132" s="91"/>
    </row>
    <row r="133" spans="4:18" s="52" customFormat="1" ht="13.5" customHeight="1" x14ac:dyDescent="0.4">
      <c r="D133" s="90"/>
      <c r="E133" s="29"/>
      <c r="F133" s="29"/>
      <c r="G133" s="144"/>
      <c r="H133" s="147"/>
      <c r="I133" s="151"/>
      <c r="K133" s="144"/>
      <c r="L133" s="147"/>
      <c r="M133" s="171"/>
      <c r="N133" s="29"/>
      <c r="O133" s="144"/>
      <c r="P133" s="147"/>
      <c r="Q133" s="167"/>
      <c r="R133" s="91"/>
    </row>
    <row r="134" spans="4:18" s="52" customFormat="1" ht="13.5" customHeight="1" x14ac:dyDescent="0.4">
      <c r="D134" s="90"/>
      <c r="E134" s="29"/>
      <c r="F134" s="29"/>
      <c r="G134" s="144"/>
      <c r="H134" s="147"/>
      <c r="I134" s="151"/>
      <c r="K134" s="144"/>
      <c r="L134" s="147"/>
      <c r="M134" s="171"/>
      <c r="N134" s="29"/>
      <c r="O134" s="144"/>
      <c r="P134" s="147"/>
      <c r="Q134" s="167"/>
      <c r="R134" s="91"/>
    </row>
    <row r="135" spans="4:18" s="52" customFormat="1" ht="13.5" customHeight="1" x14ac:dyDescent="0.4">
      <c r="D135" s="90"/>
      <c r="E135" s="29"/>
      <c r="F135" s="29"/>
      <c r="G135" s="145"/>
      <c r="H135" s="148"/>
      <c r="I135" s="152"/>
      <c r="K135" s="145"/>
      <c r="L135" s="148"/>
      <c r="M135" s="172"/>
      <c r="N135" s="29"/>
      <c r="O135" s="145"/>
      <c r="P135" s="148"/>
      <c r="Q135" s="167"/>
      <c r="R135" s="91"/>
    </row>
    <row r="136" spans="4:18" s="52" customFormat="1" ht="13.5" x14ac:dyDescent="0.4">
      <c r="D136" s="90"/>
      <c r="E136" s="94" t="s">
        <v>623</v>
      </c>
      <c r="F136" s="94"/>
      <c r="G136" s="94"/>
      <c r="H136" s="95"/>
      <c r="I136" s="83">
        <v>20</v>
      </c>
      <c r="K136" s="94"/>
      <c r="L136" s="83"/>
      <c r="M136" s="95">
        <v>0</v>
      </c>
      <c r="N136" s="29"/>
      <c r="O136" s="94"/>
      <c r="P136" s="95">
        <v>-30</v>
      </c>
      <c r="Q136" s="83"/>
      <c r="R136" s="91"/>
    </row>
    <row r="137" spans="4:18" s="52" customFormat="1" ht="13.5" x14ac:dyDescent="0.4">
      <c r="D137" s="90"/>
      <c r="E137" s="94" t="s">
        <v>642</v>
      </c>
      <c r="F137" s="94"/>
      <c r="G137" s="94"/>
      <c r="H137" s="149">
        <v>280</v>
      </c>
      <c r="I137" s="149"/>
      <c r="K137" s="94"/>
      <c r="L137" s="149">
        <v>250</v>
      </c>
      <c r="M137" s="149"/>
      <c r="N137" s="29"/>
      <c r="O137" s="94"/>
      <c r="P137" s="149">
        <v>350</v>
      </c>
      <c r="Q137" s="149"/>
      <c r="R137" s="91"/>
    </row>
    <row r="138" spans="4:18" s="52" customFormat="1" ht="13.5" x14ac:dyDescent="0.4">
      <c r="D138" s="90"/>
      <c r="E138" s="94"/>
      <c r="F138" s="94"/>
      <c r="G138" s="94"/>
      <c r="H138" s="29"/>
      <c r="K138" s="94"/>
      <c r="L138" s="29"/>
      <c r="N138" s="29"/>
      <c r="O138" s="94"/>
      <c r="P138" s="29"/>
      <c r="R138" s="91"/>
    </row>
    <row r="139" spans="4:18" s="52" customFormat="1" ht="13.5" x14ac:dyDescent="0.4">
      <c r="D139" s="90"/>
      <c r="E139" s="94" t="s">
        <v>643</v>
      </c>
      <c r="F139" s="94"/>
      <c r="G139" s="94"/>
      <c r="H139" s="29"/>
      <c r="I139" s="29"/>
      <c r="K139" s="94"/>
      <c r="L139" s="29"/>
      <c r="M139" s="29"/>
      <c r="N139" s="29"/>
      <c r="O139" s="94"/>
      <c r="P139" s="29"/>
      <c r="Q139" s="29"/>
      <c r="R139" s="91"/>
    </row>
    <row r="140" spans="4:18" s="52" customFormat="1" ht="13.5" customHeight="1" x14ac:dyDescent="0.4">
      <c r="D140" s="90"/>
      <c r="E140" s="96" t="s">
        <v>644</v>
      </c>
      <c r="F140" s="96"/>
      <c r="G140" s="94"/>
      <c r="H140" s="168" t="s">
        <v>650</v>
      </c>
      <c r="I140" s="96">
        <v>91121</v>
      </c>
      <c r="K140" s="94"/>
      <c r="L140" s="168" t="s">
        <v>650</v>
      </c>
      <c r="M140" s="94">
        <v>91121</v>
      </c>
      <c r="N140" s="29"/>
      <c r="O140" s="94"/>
      <c r="P140" s="168" t="s">
        <v>650</v>
      </c>
      <c r="Q140" s="94">
        <v>91121</v>
      </c>
      <c r="R140" s="91"/>
    </row>
    <row r="141" spans="4:18" s="52" customFormat="1" ht="13.5" customHeight="1" x14ac:dyDescent="0.4">
      <c r="D141" s="90"/>
      <c r="E141" s="96" t="s">
        <v>645</v>
      </c>
      <c r="F141" s="96"/>
      <c r="G141" s="94"/>
      <c r="H141" s="169"/>
      <c r="I141" s="182">
        <v>0</v>
      </c>
      <c r="K141" s="94"/>
      <c r="L141" s="169"/>
      <c r="M141" s="29">
        <v>0</v>
      </c>
      <c r="N141" s="29"/>
      <c r="O141" s="94"/>
      <c r="P141" s="169"/>
      <c r="Q141" s="29">
        <v>0</v>
      </c>
      <c r="R141" s="91"/>
    </row>
    <row r="142" spans="4:18" s="52" customFormat="1" ht="13.5" x14ac:dyDescent="0.4">
      <c r="D142" s="90"/>
      <c r="E142" s="96" t="s">
        <v>646</v>
      </c>
      <c r="F142" s="96"/>
      <c r="G142" s="94"/>
      <c r="H142" s="169"/>
      <c r="I142" s="184" t="s">
        <v>647</v>
      </c>
      <c r="K142" s="94"/>
      <c r="L142" s="169"/>
      <c r="M142" s="184" t="s">
        <v>647</v>
      </c>
      <c r="N142" s="29"/>
      <c r="O142" s="94"/>
      <c r="P142" s="169"/>
      <c r="Q142" s="184" t="s">
        <v>647</v>
      </c>
      <c r="R142" s="91"/>
    </row>
    <row r="143" spans="4:18" s="52" customFormat="1" ht="27" x14ac:dyDescent="0.4">
      <c r="D143" s="90"/>
      <c r="E143" s="94" t="s">
        <v>623</v>
      </c>
      <c r="F143" s="94"/>
      <c r="G143" s="94"/>
      <c r="H143" s="170"/>
      <c r="I143" s="183" t="s">
        <v>682</v>
      </c>
      <c r="K143" s="94"/>
      <c r="L143" s="170"/>
      <c r="M143" s="102" t="s">
        <v>814</v>
      </c>
      <c r="N143" s="29"/>
      <c r="O143" s="94"/>
      <c r="P143" s="170"/>
      <c r="Q143" s="102" t="s">
        <v>815</v>
      </c>
      <c r="R143" s="91"/>
    </row>
    <row r="144" spans="4:18" s="52" customFormat="1" ht="13.5" x14ac:dyDescent="0.4">
      <c r="D144" s="90"/>
      <c r="E144" s="118" t="s">
        <v>726</v>
      </c>
      <c r="F144" s="94"/>
      <c r="G144" s="94"/>
      <c r="H144" s="102"/>
      <c r="I144" s="117"/>
      <c r="K144" s="94"/>
      <c r="L144" s="103"/>
      <c r="M144" s="117"/>
      <c r="N144" s="29"/>
      <c r="O144" s="94"/>
      <c r="P144" s="102"/>
      <c r="Q144" s="117"/>
      <c r="R144" s="91"/>
    </row>
    <row r="145" spans="4:18" s="52" customFormat="1" ht="14.25" thickBot="1" x14ac:dyDescent="0.45">
      <c r="D145" s="97"/>
      <c r="E145" s="98"/>
      <c r="F145" s="98"/>
      <c r="G145" s="98"/>
      <c r="H145" s="98"/>
      <c r="I145" s="99"/>
      <c r="J145" s="100"/>
      <c r="K145" s="100"/>
      <c r="L145" s="100"/>
      <c r="M145" s="100"/>
      <c r="N145" s="100"/>
      <c r="O145" s="100"/>
      <c r="P145" s="100"/>
      <c r="Q145" s="100"/>
      <c r="R145" s="101"/>
    </row>
    <row r="146" spans="4:18" s="52" customFormat="1" ht="13.5" x14ac:dyDescent="0.4">
      <c r="D146" s="86" t="s">
        <v>641</v>
      </c>
      <c r="E146" s="87"/>
      <c r="F146" s="87"/>
      <c r="G146" s="87"/>
      <c r="H146" s="87"/>
      <c r="I146" s="87"/>
      <c r="J146" s="88"/>
      <c r="K146" s="88"/>
      <c r="L146" s="88"/>
      <c r="M146" s="88"/>
      <c r="N146" s="88"/>
      <c r="O146" s="88"/>
      <c r="P146" s="88"/>
      <c r="Q146" s="88"/>
      <c r="R146" s="89"/>
    </row>
    <row r="147" spans="4:18" s="52" customFormat="1" ht="13.5" x14ac:dyDescent="0.4">
      <c r="D147" s="90">
        <v>7</v>
      </c>
      <c r="E147" s="53" t="s">
        <v>686</v>
      </c>
      <c r="F147" s="53"/>
      <c r="G147" s="53"/>
      <c r="H147" s="29"/>
      <c r="I147" s="29"/>
      <c r="R147" s="91"/>
    </row>
    <row r="148" spans="4:18" s="52" customFormat="1" ht="13.5" x14ac:dyDescent="0.4">
      <c r="D148" s="90"/>
      <c r="E148" s="53"/>
      <c r="F148" s="53"/>
      <c r="G148" s="53"/>
      <c r="H148" s="29"/>
      <c r="I148" s="29"/>
      <c r="R148" s="91"/>
    </row>
    <row r="149" spans="4:18" s="29" customFormat="1" ht="13.5" x14ac:dyDescent="0.4">
      <c r="D149" s="90"/>
      <c r="E149" s="29" t="s">
        <v>680</v>
      </c>
      <c r="H149" s="29" t="str">
        <f>H151&amp;"％に特売（タイムサービス割引）設定"</f>
        <v>10％に特売（タイムサービス割引）設定</v>
      </c>
      <c r="I149" s="26" t="str">
        <f>I151&amp;"円のカテゴリ値引"</f>
        <v>50円のカテゴリ値引</v>
      </c>
      <c r="K149" s="52"/>
      <c r="L149" s="52"/>
      <c r="M149" s="52"/>
      <c r="O149" s="52"/>
      <c r="P149" s="52"/>
      <c r="Q149" s="52"/>
      <c r="R149" s="92"/>
    </row>
    <row r="150" spans="4:18" s="52" customFormat="1" ht="13.5" x14ac:dyDescent="0.4">
      <c r="D150" s="90"/>
      <c r="E150" s="93"/>
      <c r="F150" s="93"/>
      <c r="G150" s="53"/>
      <c r="I150" s="26"/>
      <c r="N150" s="29"/>
      <c r="R150" s="91"/>
    </row>
    <row r="151" spans="4:18" s="52" customFormat="1" ht="13.5" x14ac:dyDescent="0.4">
      <c r="D151" s="90"/>
      <c r="E151" s="93" t="s">
        <v>727</v>
      </c>
      <c r="F151" s="93"/>
      <c r="G151" s="29"/>
      <c r="H151" s="29">
        <v>10</v>
      </c>
      <c r="I151" s="26">
        <v>50</v>
      </c>
      <c r="N151" s="29"/>
      <c r="R151" s="91"/>
    </row>
    <row r="152" spans="4:18" s="52" customFormat="1" ht="13.5" x14ac:dyDescent="0.4">
      <c r="D152" s="90"/>
      <c r="E152" s="29"/>
      <c r="F152" s="29"/>
      <c r="G152" s="29"/>
      <c r="I152" s="29"/>
      <c r="N152" s="29"/>
      <c r="R152" s="91"/>
    </row>
    <row r="153" spans="4:18" s="52" customFormat="1" ht="13.5" customHeight="1" x14ac:dyDescent="0.4">
      <c r="D153" s="90"/>
      <c r="E153" s="29"/>
      <c r="F153" s="29"/>
      <c r="G153" s="29"/>
      <c r="N153" s="29"/>
      <c r="R153" s="91"/>
    </row>
    <row r="154" spans="4:18" s="52" customFormat="1" ht="13.5" customHeight="1" x14ac:dyDescent="0.4">
      <c r="D154" s="90"/>
      <c r="E154" s="29"/>
      <c r="F154" s="29"/>
      <c r="G154" s="29"/>
      <c r="N154" s="29"/>
      <c r="R154" s="91"/>
    </row>
    <row r="155" spans="4:18" s="52" customFormat="1" ht="13.5" customHeight="1" x14ac:dyDescent="0.4">
      <c r="D155" s="90"/>
      <c r="E155" s="29"/>
      <c r="F155" s="29"/>
      <c r="G155" s="143" t="s">
        <v>660</v>
      </c>
      <c r="H155" s="74" t="s">
        <v>670</v>
      </c>
      <c r="N155" s="29"/>
      <c r="R155" s="91"/>
    </row>
    <row r="156" spans="4:18" s="52" customFormat="1" ht="13.5" customHeight="1" x14ac:dyDescent="0.4">
      <c r="D156" s="90"/>
      <c r="E156" s="29"/>
      <c r="F156" s="29"/>
      <c r="G156" s="144"/>
      <c r="H156" s="146" t="s">
        <v>722</v>
      </c>
      <c r="I156" s="74" t="s">
        <v>661</v>
      </c>
      <c r="N156" s="29"/>
      <c r="R156" s="91"/>
    </row>
    <row r="157" spans="4:18" s="52" customFormat="1" ht="13.5" customHeight="1" x14ac:dyDescent="0.4">
      <c r="D157" s="90"/>
      <c r="E157" s="29"/>
      <c r="F157" s="29"/>
      <c r="G157" s="144"/>
      <c r="H157" s="147"/>
      <c r="I157" s="166" t="s">
        <v>708</v>
      </c>
      <c r="N157" s="29"/>
      <c r="R157" s="91"/>
    </row>
    <row r="158" spans="4:18" s="52" customFormat="1" ht="13.5" customHeight="1" x14ac:dyDescent="0.4">
      <c r="D158" s="90"/>
      <c r="E158" s="29"/>
      <c r="F158" s="29"/>
      <c r="G158" s="144"/>
      <c r="H158" s="147"/>
      <c r="I158" s="167"/>
      <c r="N158" s="29"/>
      <c r="R158" s="91"/>
    </row>
    <row r="159" spans="4:18" s="52" customFormat="1" ht="13.5" customHeight="1" x14ac:dyDescent="0.4">
      <c r="D159" s="90"/>
      <c r="E159" s="29"/>
      <c r="F159" s="29"/>
      <c r="G159" s="144"/>
      <c r="H159" s="147"/>
      <c r="I159" s="167"/>
      <c r="N159" s="29"/>
      <c r="R159" s="91"/>
    </row>
    <row r="160" spans="4:18" s="52" customFormat="1" ht="13.5" customHeight="1" x14ac:dyDescent="0.4">
      <c r="D160" s="90"/>
      <c r="E160" s="29"/>
      <c r="F160" s="29"/>
      <c r="G160" s="145"/>
      <c r="H160" s="148"/>
      <c r="I160" s="167"/>
      <c r="N160" s="29"/>
      <c r="R160" s="91"/>
    </row>
    <row r="161" spans="4:18" s="52" customFormat="1" ht="13.5" x14ac:dyDescent="0.4">
      <c r="D161" s="90"/>
      <c r="E161" s="94" t="s">
        <v>623</v>
      </c>
      <c r="F161" s="94"/>
      <c r="G161" s="94"/>
      <c r="H161" s="120">
        <v>30</v>
      </c>
      <c r="I161" s="120">
        <v>50</v>
      </c>
      <c r="N161" s="29"/>
      <c r="R161" s="91"/>
    </row>
    <row r="162" spans="4:18" s="52" customFormat="1" ht="13.5" x14ac:dyDescent="0.4">
      <c r="D162" s="90"/>
      <c r="E162" s="94" t="s">
        <v>642</v>
      </c>
      <c r="F162" s="94"/>
      <c r="G162" s="94"/>
      <c r="H162" s="149">
        <v>250</v>
      </c>
      <c r="I162" s="149"/>
      <c r="N162" s="29"/>
      <c r="R162" s="91"/>
    </row>
    <row r="163" spans="4:18" s="52" customFormat="1" ht="13.5" x14ac:dyDescent="0.4">
      <c r="D163" s="90"/>
      <c r="E163" s="94"/>
      <c r="F163" s="94"/>
      <c r="G163" s="94"/>
      <c r="H163" s="29"/>
      <c r="N163" s="29"/>
      <c r="R163" s="91"/>
    </row>
    <row r="164" spans="4:18" s="52" customFormat="1" ht="13.5" x14ac:dyDescent="0.4">
      <c r="D164" s="90"/>
      <c r="E164" s="94" t="s">
        <v>643</v>
      </c>
      <c r="F164" s="94"/>
      <c r="G164" s="94"/>
      <c r="H164" s="29"/>
      <c r="I164" s="29"/>
      <c r="N164" s="29"/>
      <c r="R164" s="91"/>
    </row>
    <row r="165" spans="4:18" s="52" customFormat="1" ht="13.5" customHeight="1" x14ac:dyDescent="0.4">
      <c r="D165" s="90"/>
      <c r="E165" s="96" t="s">
        <v>644</v>
      </c>
      <c r="F165" s="96"/>
      <c r="G165" s="94"/>
      <c r="H165" s="94">
        <v>91121</v>
      </c>
      <c r="I165" s="26">
        <v>91324</v>
      </c>
      <c r="N165" s="29"/>
      <c r="R165" s="91"/>
    </row>
    <row r="166" spans="4:18" s="52" customFormat="1" ht="13.5" customHeight="1" x14ac:dyDescent="0.4">
      <c r="D166" s="90"/>
      <c r="E166" s="96" t="s">
        <v>645</v>
      </c>
      <c r="F166" s="96"/>
      <c r="G166" s="94"/>
      <c r="H166" s="29">
        <v>0</v>
      </c>
      <c r="I166" s="26">
        <v>0</v>
      </c>
      <c r="N166" s="29"/>
      <c r="R166" s="91"/>
    </row>
    <row r="167" spans="4:18" s="52" customFormat="1" ht="13.5" x14ac:dyDescent="0.4">
      <c r="D167" s="90"/>
      <c r="E167" s="96" t="s">
        <v>646</v>
      </c>
      <c r="F167" s="96"/>
      <c r="G167" s="94"/>
      <c r="H167" s="29" t="s">
        <v>647</v>
      </c>
      <c r="I167" s="66" t="s">
        <v>685</v>
      </c>
      <c r="N167" s="29"/>
      <c r="R167" s="91"/>
    </row>
    <row r="168" spans="4:18" s="52" customFormat="1" ht="27" x14ac:dyDescent="0.4">
      <c r="D168" s="90"/>
      <c r="E168" s="94" t="s">
        <v>623</v>
      </c>
      <c r="F168" s="94"/>
      <c r="G168" s="94"/>
      <c r="H168" s="103" t="s">
        <v>723</v>
      </c>
      <c r="I168" s="66" t="s">
        <v>687</v>
      </c>
      <c r="N168" s="29"/>
      <c r="R168" s="91"/>
    </row>
    <row r="169" spans="4:18" s="52" customFormat="1" ht="14.25" thickBot="1" x14ac:dyDescent="0.45">
      <c r="D169" s="97"/>
      <c r="E169" s="98"/>
      <c r="F169" s="98"/>
      <c r="G169" s="98"/>
      <c r="H169" s="98"/>
      <c r="I169" s="99"/>
      <c r="J169" s="100"/>
      <c r="K169" s="100"/>
      <c r="L169" s="100"/>
      <c r="M169" s="100"/>
      <c r="N169" s="100"/>
      <c r="O169" s="100"/>
      <c r="P169" s="100"/>
      <c r="Q169" s="100"/>
      <c r="R169" s="101"/>
    </row>
    <row r="170" spans="4:18" s="52" customFormat="1" ht="13.5" x14ac:dyDescent="0.4">
      <c r="D170" s="86" t="s">
        <v>641</v>
      </c>
      <c r="E170" s="87"/>
      <c r="F170" s="87"/>
      <c r="G170" s="87"/>
      <c r="H170" s="87"/>
      <c r="I170" s="87"/>
      <c r="J170" s="88"/>
      <c r="K170" s="88"/>
      <c r="L170" s="88"/>
      <c r="M170" s="88"/>
      <c r="N170" s="88"/>
      <c r="O170" s="88"/>
      <c r="P170" s="88"/>
      <c r="Q170" s="88"/>
      <c r="R170" s="89"/>
    </row>
    <row r="171" spans="4:18" s="52" customFormat="1" ht="13.5" x14ac:dyDescent="0.4">
      <c r="D171" s="90">
        <v>8</v>
      </c>
      <c r="E171" s="53" t="s">
        <v>688</v>
      </c>
      <c r="F171" s="53"/>
      <c r="G171" s="53"/>
      <c r="H171" s="29"/>
      <c r="I171" s="29"/>
      <c r="R171" s="91"/>
    </row>
    <row r="172" spans="4:18" s="52" customFormat="1" ht="13.5" x14ac:dyDescent="0.4">
      <c r="D172" s="90"/>
      <c r="E172" s="53"/>
      <c r="F172" s="53"/>
      <c r="G172" s="53"/>
      <c r="H172" s="29"/>
      <c r="I172" s="29"/>
      <c r="R172" s="91"/>
    </row>
    <row r="173" spans="4:18" s="29" customFormat="1" ht="13.5" x14ac:dyDescent="0.4">
      <c r="D173" s="90"/>
      <c r="E173" s="29" t="s">
        <v>680</v>
      </c>
      <c r="H173" s="29" t="str">
        <f>H175&amp;"％に特売（タイムサービス割引）設定"</f>
        <v>10％に特売（タイムサービス割引）設定</v>
      </c>
      <c r="I173" s="26" t="str">
        <f>I175&amp;"％のカテゴリ割引"</f>
        <v>10％のカテゴリ割引</v>
      </c>
      <c r="K173" s="52"/>
      <c r="L173" s="52"/>
      <c r="M173" s="52"/>
      <c r="N173" s="52"/>
      <c r="O173" s="52"/>
      <c r="P173" s="52"/>
      <c r="Q173" s="52"/>
      <c r="R173" s="92"/>
    </row>
    <row r="174" spans="4:18" s="52" customFormat="1" ht="13.5" x14ac:dyDescent="0.4">
      <c r="D174" s="90"/>
      <c r="E174" s="93"/>
      <c r="F174" s="93"/>
      <c r="G174" s="53"/>
      <c r="I174" s="26"/>
      <c r="R174" s="91"/>
    </row>
    <row r="175" spans="4:18" s="52" customFormat="1" ht="13.5" x14ac:dyDescent="0.4">
      <c r="D175" s="90"/>
      <c r="E175" s="93" t="s">
        <v>728</v>
      </c>
      <c r="F175" s="93"/>
      <c r="G175" s="29"/>
      <c r="H175" s="29">
        <v>10</v>
      </c>
      <c r="I175" s="26">
        <v>10</v>
      </c>
      <c r="R175" s="91"/>
    </row>
    <row r="176" spans="4:18" s="52" customFormat="1" ht="13.5" x14ac:dyDescent="0.4">
      <c r="D176" s="90"/>
      <c r="E176" s="29"/>
      <c r="F176" s="29"/>
      <c r="G176" s="29"/>
      <c r="I176" s="29"/>
      <c r="R176" s="91"/>
    </row>
    <row r="177" spans="4:18" s="52" customFormat="1" ht="13.5" customHeight="1" x14ac:dyDescent="0.4">
      <c r="D177" s="90"/>
      <c r="E177" s="29"/>
      <c r="F177" s="29"/>
      <c r="G177" s="29"/>
      <c r="R177" s="91"/>
    </row>
    <row r="178" spans="4:18" s="52" customFormat="1" ht="13.5" customHeight="1" x14ac:dyDescent="0.4">
      <c r="D178" s="90"/>
      <c r="E178" s="29"/>
      <c r="F178" s="29"/>
      <c r="G178" s="29"/>
      <c r="R178" s="91"/>
    </row>
    <row r="179" spans="4:18" s="52" customFormat="1" ht="13.5" customHeight="1" x14ac:dyDescent="0.4">
      <c r="D179" s="90"/>
      <c r="E179" s="29"/>
      <c r="F179" s="29"/>
      <c r="G179" s="143" t="s">
        <v>660</v>
      </c>
      <c r="H179" s="74" t="s">
        <v>670</v>
      </c>
      <c r="R179" s="91"/>
    </row>
    <row r="180" spans="4:18" s="52" customFormat="1" ht="13.5" customHeight="1" x14ac:dyDescent="0.4">
      <c r="D180" s="90"/>
      <c r="E180" s="29"/>
      <c r="F180" s="29"/>
      <c r="G180" s="144"/>
      <c r="H180" s="146" t="s">
        <v>722</v>
      </c>
      <c r="I180" s="74" t="s">
        <v>716</v>
      </c>
      <c r="R180" s="91"/>
    </row>
    <row r="181" spans="4:18" s="52" customFormat="1" ht="13.5" customHeight="1" x14ac:dyDescent="0.4">
      <c r="D181" s="90"/>
      <c r="E181" s="29"/>
      <c r="F181" s="29"/>
      <c r="G181" s="144"/>
      <c r="H181" s="147"/>
      <c r="I181" s="166" t="s">
        <v>717</v>
      </c>
      <c r="R181" s="91"/>
    </row>
    <row r="182" spans="4:18" s="52" customFormat="1" ht="13.5" customHeight="1" x14ac:dyDescent="0.4">
      <c r="D182" s="90"/>
      <c r="E182" s="29"/>
      <c r="F182" s="29"/>
      <c r="G182" s="144"/>
      <c r="H182" s="147"/>
      <c r="I182" s="167"/>
      <c r="R182" s="91"/>
    </row>
    <row r="183" spans="4:18" s="52" customFormat="1" ht="13.5" customHeight="1" x14ac:dyDescent="0.4">
      <c r="D183" s="90"/>
      <c r="E183" s="29"/>
      <c r="F183" s="29"/>
      <c r="G183" s="144"/>
      <c r="H183" s="147"/>
      <c r="I183" s="167"/>
      <c r="R183" s="91"/>
    </row>
    <row r="184" spans="4:18" s="52" customFormat="1" ht="13.5" customHeight="1" x14ac:dyDescent="0.4">
      <c r="D184" s="90"/>
      <c r="E184" s="29"/>
      <c r="F184" s="29"/>
      <c r="G184" s="145"/>
      <c r="H184" s="148"/>
      <c r="I184" s="167"/>
      <c r="R184" s="91"/>
    </row>
    <row r="185" spans="4:18" s="52" customFormat="1" ht="13.5" x14ac:dyDescent="0.4">
      <c r="D185" s="90"/>
      <c r="E185" s="94" t="s">
        <v>623</v>
      </c>
      <c r="F185" s="94"/>
      <c r="G185" s="94"/>
      <c r="H185" s="120">
        <v>30</v>
      </c>
      <c r="I185" s="120">
        <v>27</v>
      </c>
      <c r="R185" s="91"/>
    </row>
    <row r="186" spans="4:18" s="52" customFormat="1" ht="13.5" x14ac:dyDescent="0.4">
      <c r="D186" s="90"/>
      <c r="E186" s="94" t="s">
        <v>642</v>
      </c>
      <c r="F186" s="94"/>
      <c r="G186" s="94"/>
      <c r="H186" s="149">
        <v>243</v>
      </c>
      <c r="I186" s="149"/>
      <c r="R186" s="91"/>
    </row>
    <row r="187" spans="4:18" s="52" customFormat="1" ht="13.5" x14ac:dyDescent="0.4">
      <c r="D187" s="90"/>
      <c r="E187" s="94"/>
      <c r="F187" s="94"/>
      <c r="G187" s="94"/>
      <c r="H187" s="29"/>
      <c r="R187" s="91"/>
    </row>
    <row r="188" spans="4:18" s="52" customFormat="1" ht="13.5" x14ac:dyDescent="0.4">
      <c r="D188" s="90"/>
      <c r="E188" s="94" t="s">
        <v>643</v>
      </c>
      <c r="F188" s="94"/>
      <c r="G188" s="94"/>
      <c r="H188" s="29"/>
      <c r="I188" s="29"/>
      <c r="R188" s="91"/>
    </row>
    <row r="189" spans="4:18" s="52" customFormat="1" ht="13.5" customHeight="1" x14ac:dyDescent="0.4">
      <c r="D189" s="90"/>
      <c r="E189" s="96" t="s">
        <v>644</v>
      </c>
      <c r="F189" s="96"/>
      <c r="G189" s="94"/>
      <c r="H189" s="94">
        <v>91121</v>
      </c>
      <c r="I189" s="94">
        <v>91220</v>
      </c>
      <c r="R189" s="91"/>
    </row>
    <row r="190" spans="4:18" s="52" customFormat="1" ht="13.5" customHeight="1" x14ac:dyDescent="0.4">
      <c r="D190" s="90"/>
      <c r="E190" s="96" t="s">
        <v>645</v>
      </c>
      <c r="F190" s="96"/>
      <c r="G190" s="94"/>
      <c r="H190" s="29">
        <v>0</v>
      </c>
      <c r="I190" s="29">
        <v>1</v>
      </c>
      <c r="R190" s="91"/>
    </row>
    <row r="191" spans="4:18" s="52" customFormat="1" ht="13.5" x14ac:dyDescent="0.4">
      <c r="D191" s="90"/>
      <c r="E191" s="96" t="s">
        <v>646</v>
      </c>
      <c r="F191" s="96"/>
      <c r="G191" s="94"/>
      <c r="H191" s="29" t="s">
        <v>647</v>
      </c>
      <c r="I191" s="29" t="s">
        <v>666</v>
      </c>
      <c r="R191" s="91"/>
    </row>
    <row r="192" spans="4:18" s="52" customFormat="1" ht="27" x14ac:dyDescent="0.4">
      <c r="D192" s="90"/>
      <c r="E192" s="94" t="s">
        <v>623</v>
      </c>
      <c r="F192" s="94"/>
      <c r="G192" s="94"/>
      <c r="H192" s="103" t="s">
        <v>723</v>
      </c>
      <c r="I192" s="103" t="s">
        <v>732</v>
      </c>
      <c r="R192" s="91"/>
    </row>
    <row r="193" spans="4:18" s="52" customFormat="1" ht="14.25" thickBot="1" x14ac:dyDescent="0.45">
      <c r="D193" s="97"/>
      <c r="E193" s="98"/>
      <c r="F193" s="98"/>
      <c r="G193" s="98"/>
      <c r="H193" s="98"/>
      <c r="I193" s="99"/>
      <c r="J193" s="100"/>
      <c r="K193" s="100"/>
      <c r="L193" s="100"/>
      <c r="M193" s="100"/>
      <c r="N193" s="100"/>
      <c r="O193" s="100"/>
      <c r="P193" s="100"/>
      <c r="Q193" s="100"/>
      <c r="R193" s="101"/>
    </row>
    <row r="194" spans="4:18" s="52" customFormat="1" ht="13.5" x14ac:dyDescent="0.4">
      <c r="D194" s="86" t="s">
        <v>641</v>
      </c>
      <c r="E194" s="87"/>
      <c r="F194" s="87"/>
      <c r="G194" s="87"/>
      <c r="H194" s="87"/>
      <c r="I194" s="87"/>
      <c r="J194" s="88"/>
      <c r="K194" s="88"/>
      <c r="L194" s="88"/>
      <c r="M194" s="88"/>
      <c r="N194" s="88"/>
      <c r="O194" s="88"/>
      <c r="P194" s="88"/>
      <c r="Q194" s="88"/>
      <c r="R194" s="89"/>
    </row>
    <row r="195" spans="4:18" s="52" customFormat="1" ht="13.5" x14ac:dyDescent="0.4">
      <c r="D195" s="90">
        <v>9</v>
      </c>
      <c r="E195" s="53" t="s">
        <v>697</v>
      </c>
      <c r="F195" s="53"/>
      <c r="G195" s="53"/>
      <c r="H195" s="29"/>
      <c r="I195" s="29"/>
      <c r="R195" s="91"/>
    </row>
    <row r="196" spans="4:18" s="52" customFormat="1" ht="13.5" x14ac:dyDescent="0.4">
      <c r="D196" s="90"/>
      <c r="E196" s="53"/>
      <c r="F196" s="53"/>
      <c r="G196" s="53"/>
      <c r="H196" s="29"/>
      <c r="I196" s="29"/>
      <c r="R196" s="91"/>
    </row>
    <row r="197" spans="4:18" s="29" customFormat="1" ht="13.5" x14ac:dyDescent="0.4">
      <c r="D197" s="90"/>
      <c r="E197" s="29" t="s">
        <v>680</v>
      </c>
      <c r="H197" s="29" t="str">
        <f>H199&amp;"％に特売（タイムサービス割引）設定"</f>
        <v>10％に特売（タイムサービス割引）設定</v>
      </c>
      <c r="I197" s="26" t="str">
        <f>I199&amp;"円の小計値引（マニュアル）"</f>
        <v>30円の小計値引（マニュアル）</v>
      </c>
      <c r="K197" s="52"/>
      <c r="L197" s="52"/>
      <c r="M197" s="52"/>
      <c r="N197" s="52"/>
      <c r="O197" s="52"/>
      <c r="P197" s="52"/>
      <c r="Q197" s="52"/>
      <c r="R197" s="92"/>
    </row>
    <row r="198" spans="4:18" s="52" customFormat="1" ht="13.5" x14ac:dyDescent="0.4">
      <c r="D198" s="90"/>
      <c r="E198" s="93"/>
      <c r="F198" s="93"/>
      <c r="G198" s="53"/>
      <c r="I198" s="26"/>
      <c r="R198" s="91"/>
    </row>
    <row r="199" spans="4:18" s="52" customFormat="1" ht="13.5" x14ac:dyDescent="0.4">
      <c r="D199" s="90"/>
      <c r="E199" s="93" t="s">
        <v>733</v>
      </c>
      <c r="F199" s="93"/>
      <c r="G199" s="29"/>
      <c r="H199" s="29">
        <v>10</v>
      </c>
      <c r="I199" s="26">
        <v>30</v>
      </c>
      <c r="R199" s="91"/>
    </row>
    <row r="200" spans="4:18" s="52" customFormat="1" ht="13.5" x14ac:dyDescent="0.4">
      <c r="D200" s="90"/>
      <c r="E200" s="29"/>
      <c r="F200" s="29"/>
      <c r="G200" s="29"/>
      <c r="I200" s="29"/>
      <c r="R200" s="91"/>
    </row>
    <row r="201" spans="4:18" s="52" customFormat="1" ht="13.5" customHeight="1" x14ac:dyDescent="0.4">
      <c r="D201" s="90"/>
      <c r="E201" s="29"/>
      <c r="F201" s="29"/>
      <c r="G201" s="29"/>
      <c r="R201" s="91"/>
    </row>
    <row r="202" spans="4:18" s="52" customFormat="1" ht="13.5" customHeight="1" x14ac:dyDescent="0.4">
      <c r="D202" s="90"/>
      <c r="E202" s="29"/>
      <c r="F202" s="29"/>
      <c r="G202" s="29"/>
      <c r="R202" s="91"/>
    </row>
    <row r="203" spans="4:18" s="52" customFormat="1" ht="13.5" customHeight="1" x14ac:dyDescent="0.4">
      <c r="D203" s="90"/>
      <c r="E203" s="29"/>
      <c r="F203" s="29"/>
      <c r="G203" s="143" t="s">
        <v>660</v>
      </c>
      <c r="H203" s="74" t="s">
        <v>670</v>
      </c>
      <c r="R203" s="91"/>
    </row>
    <row r="204" spans="4:18" s="52" customFormat="1" ht="13.5" customHeight="1" x14ac:dyDescent="0.4">
      <c r="D204" s="90"/>
      <c r="E204" s="29"/>
      <c r="F204" s="29"/>
      <c r="G204" s="144"/>
      <c r="H204" s="146" t="s">
        <v>722</v>
      </c>
      <c r="I204" s="74" t="s">
        <v>670</v>
      </c>
      <c r="R204" s="91"/>
    </row>
    <row r="205" spans="4:18" s="52" customFormat="1" ht="13.5" customHeight="1" x14ac:dyDescent="0.4">
      <c r="D205" s="90"/>
      <c r="E205" s="29"/>
      <c r="F205" s="29"/>
      <c r="G205" s="144"/>
      <c r="H205" s="147"/>
      <c r="I205" s="166" t="s">
        <v>734</v>
      </c>
      <c r="R205" s="91"/>
    </row>
    <row r="206" spans="4:18" s="52" customFormat="1" ht="13.5" customHeight="1" x14ac:dyDescent="0.4">
      <c r="D206" s="90"/>
      <c r="E206" s="29"/>
      <c r="F206" s="29"/>
      <c r="G206" s="144"/>
      <c r="H206" s="147"/>
      <c r="I206" s="167"/>
      <c r="R206" s="91"/>
    </row>
    <row r="207" spans="4:18" s="52" customFormat="1" ht="13.5" customHeight="1" x14ac:dyDescent="0.4">
      <c r="D207" s="90"/>
      <c r="E207" s="29"/>
      <c r="F207" s="29"/>
      <c r="G207" s="144"/>
      <c r="H207" s="147"/>
      <c r="I207" s="167"/>
      <c r="R207" s="91"/>
    </row>
    <row r="208" spans="4:18" s="52" customFormat="1" ht="13.5" customHeight="1" x14ac:dyDescent="0.4">
      <c r="D208" s="90"/>
      <c r="E208" s="29"/>
      <c r="F208" s="29"/>
      <c r="G208" s="145"/>
      <c r="H208" s="148"/>
      <c r="I208" s="167"/>
      <c r="R208" s="91"/>
    </row>
    <row r="209" spans="4:18" s="52" customFormat="1" ht="13.5" x14ac:dyDescent="0.4">
      <c r="D209" s="90"/>
      <c r="E209" s="94" t="s">
        <v>623</v>
      </c>
      <c r="F209" s="94"/>
      <c r="G209" s="94"/>
      <c r="H209" s="120">
        <v>30</v>
      </c>
      <c r="I209" s="120">
        <v>30</v>
      </c>
      <c r="R209" s="91"/>
    </row>
    <row r="210" spans="4:18" s="52" customFormat="1" ht="13.5" x14ac:dyDescent="0.4">
      <c r="D210" s="90"/>
      <c r="E210" s="94" t="s">
        <v>642</v>
      </c>
      <c r="F210" s="94"/>
      <c r="G210" s="94"/>
      <c r="H210" s="149">
        <v>240</v>
      </c>
      <c r="I210" s="149"/>
      <c r="R210" s="91"/>
    </row>
    <row r="211" spans="4:18" s="52" customFormat="1" ht="13.5" x14ac:dyDescent="0.4">
      <c r="D211" s="90"/>
      <c r="E211" s="94"/>
      <c r="F211" s="94"/>
      <c r="G211" s="94"/>
      <c r="H211" s="29"/>
      <c r="R211" s="91"/>
    </row>
    <row r="212" spans="4:18" s="52" customFormat="1" ht="13.5" x14ac:dyDescent="0.4">
      <c r="D212" s="90"/>
      <c r="E212" s="94" t="s">
        <v>643</v>
      </c>
      <c r="F212" s="94"/>
      <c r="G212" s="94"/>
      <c r="H212" s="29"/>
      <c r="I212" s="29"/>
      <c r="R212" s="91"/>
    </row>
    <row r="213" spans="4:18" s="52" customFormat="1" ht="13.5" customHeight="1" x14ac:dyDescent="0.4">
      <c r="D213" s="90"/>
      <c r="E213" s="96" t="s">
        <v>644</v>
      </c>
      <c r="F213" s="96"/>
      <c r="G213" s="94"/>
      <c r="H213" s="94">
        <v>91121</v>
      </c>
      <c r="I213" s="26">
        <v>91400</v>
      </c>
      <c r="R213" s="91"/>
    </row>
    <row r="214" spans="4:18" s="52" customFormat="1" ht="13.5" customHeight="1" x14ac:dyDescent="0.4">
      <c r="D214" s="90"/>
      <c r="E214" s="96" t="s">
        <v>645</v>
      </c>
      <c r="F214" s="96"/>
      <c r="G214" s="94"/>
      <c r="H214" s="29">
        <v>0</v>
      </c>
      <c r="I214" s="26">
        <v>14</v>
      </c>
      <c r="R214" s="91"/>
    </row>
    <row r="215" spans="4:18" s="52" customFormat="1" ht="13.5" x14ac:dyDescent="0.4">
      <c r="D215" s="90"/>
      <c r="E215" s="96" t="s">
        <v>646</v>
      </c>
      <c r="F215" s="96"/>
      <c r="G215" s="94"/>
      <c r="H215" s="29" t="s">
        <v>647</v>
      </c>
      <c r="I215" s="66" t="s">
        <v>689</v>
      </c>
      <c r="R215" s="91"/>
    </row>
    <row r="216" spans="4:18" s="52" customFormat="1" ht="27" x14ac:dyDescent="0.4">
      <c r="D216" s="90"/>
      <c r="E216" s="94" t="s">
        <v>623</v>
      </c>
      <c r="F216" s="94"/>
      <c r="G216" s="94"/>
      <c r="H216" s="103" t="s">
        <v>723</v>
      </c>
      <c r="I216" s="66" t="s">
        <v>698</v>
      </c>
      <c r="R216" s="91"/>
    </row>
    <row r="217" spans="4:18" s="52" customFormat="1" ht="14.25" thickBot="1" x14ac:dyDescent="0.45">
      <c r="D217" s="97"/>
      <c r="E217" s="98"/>
      <c r="F217" s="98"/>
      <c r="G217" s="98"/>
      <c r="H217" s="98"/>
      <c r="I217" s="99"/>
      <c r="J217" s="100"/>
      <c r="K217" s="100"/>
      <c r="L217" s="100"/>
      <c r="M217" s="100"/>
      <c r="N217" s="100"/>
      <c r="O217" s="100"/>
      <c r="P217" s="100"/>
      <c r="Q217" s="100"/>
      <c r="R217" s="101"/>
    </row>
    <row r="218" spans="4:18" s="52" customFormat="1" ht="13.5" x14ac:dyDescent="0.4">
      <c r="D218" s="86" t="s">
        <v>641</v>
      </c>
      <c r="E218" s="87"/>
      <c r="F218" s="87"/>
      <c r="G218" s="87"/>
      <c r="H218" s="87"/>
      <c r="I218" s="87"/>
      <c r="J218" s="88"/>
      <c r="K218" s="88"/>
      <c r="L218" s="88"/>
      <c r="M218" s="88"/>
      <c r="N218" s="88"/>
      <c r="O218" s="88"/>
      <c r="P218" s="88"/>
      <c r="Q218" s="88"/>
      <c r="R218" s="89"/>
    </row>
    <row r="219" spans="4:18" s="52" customFormat="1" ht="13.5" x14ac:dyDescent="0.4">
      <c r="D219" s="90">
        <v>10</v>
      </c>
      <c r="E219" s="53" t="s">
        <v>699</v>
      </c>
      <c r="F219" s="53"/>
      <c r="G219" s="53"/>
      <c r="H219" s="29"/>
      <c r="I219" s="29"/>
      <c r="R219" s="91"/>
    </row>
    <row r="220" spans="4:18" s="52" customFormat="1" ht="13.5" x14ac:dyDescent="0.4">
      <c r="D220" s="90"/>
      <c r="E220" s="53"/>
      <c r="F220" s="53"/>
      <c r="G220" s="53"/>
      <c r="H220" s="29"/>
      <c r="I220" s="29"/>
      <c r="R220" s="91"/>
    </row>
    <row r="221" spans="4:18" s="29" customFormat="1" ht="13.5" x14ac:dyDescent="0.4">
      <c r="D221" s="90"/>
      <c r="E221" s="29" t="s">
        <v>680</v>
      </c>
      <c r="H221" s="29" t="str">
        <f>H223&amp;"％に特売（タイムサービス割引）設定"</f>
        <v>10％に特売（タイムサービス割引）設定</v>
      </c>
      <c r="I221" s="26" t="str">
        <f>I223&amp;"％の小計割引（マニュアル）"</f>
        <v>10％の小計割引（マニュアル）</v>
      </c>
      <c r="K221" s="52"/>
      <c r="L221" s="52"/>
      <c r="M221" s="52"/>
      <c r="O221" s="52"/>
      <c r="P221" s="52"/>
      <c r="Q221" s="52"/>
      <c r="R221" s="92"/>
    </row>
    <row r="222" spans="4:18" s="52" customFormat="1" ht="13.5" x14ac:dyDescent="0.4">
      <c r="D222" s="90"/>
      <c r="E222" s="93"/>
      <c r="F222" s="93"/>
      <c r="G222" s="53"/>
      <c r="I222" s="26"/>
      <c r="N222" s="29"/>
      <c r="R222" s="91"/>
    </row>
    <row r="223" spans="4:18" s="52" customFormat="1" ht="13.5" x14ac:dyDescent="0.4">
      <c r="D223" s="90"/>
      <c r="E223" s="93" t="s">
        <v>729</v>
      </c>
      <c r="F223" s="93"/>
      <c r="G223" s="29"/>
      <c r="H223" s="29">
        <v>10</v>
      </c>
      <c r="I223" s="26">
        <v>10</v>
      </c>
      <c r="N223" s="29"/>
      <c r="R223" s="91"/>
    </row>
    <row r="224" spans="4:18" s="52" customFormat="1" ht="13.5" x14ac:dyDescent="0.4">
      <c r="D224" s="90"/>
      <c r="E224" s="29"/>
      <c r="F224" s="29"/>
      <c r="G224" s="29"/>
      <c r="I224" s="29"/>
      <c r="N224" s="29"/>
      <c r="R224" s="91"/>
    </row>
    <row r="225" spans="4:18" s="52" customFormat="1" ht="13.5" customHeight="1" x14ac:dyDescent="0.4">
      <c r="D225" s="90"/>
      <c r="E225" s="29"/>
      <c r="F225" s="29"/>
      <c r="G225" s="29"/>
      <c r="N225" s="29"/>
      <c r="R225" s="91"/>
    </row>
    <row r="226" spans="4:18" s="52" customFormat="1" ht="13.5" customHeight="1" x14ac:dyDescent="0.4">
      <c r="D226" s="90"/>
      <c r="E226" s="29"/>
      <c r="F226" s="29"/>
      <c r="G226" s="29"/>
      <c r="N226" s="29"/>
      <c r="R226" s="91"/>
    </row>
    <row r="227" spans="4:18" s="52" customFormat="1" ht="13.5" customHeight="1" x14ac:dyDescent="0.4">
      <c r="D227" s="90"/>
      <c r="E227" s="29"/>
      <c r="F227" s="29"/>
      <c r="G227" s="143" t="s">
        <v>660</v>
      </c>
      <c r="H227" s="74" t="s">
        <v>670</v>
      </c>
      <c r="N227" s="29"/>
      <c r="R227" s="91"/>
    </row>
    <row r="228" spans="4:18" s="52" customFormat="1" ht="13.5" customHeight="1" x14ac:dyDescent="0.4">
      <c r="D228" s="90"/>
      <c r="E228" s="29"/>
      <c r="F228" s="29"/>
      <c r="G228" s="144"/>
      <c r="H228" s="146" t="s">
        <v>722</v>
      </c>
      <c r="I228" s="74" t="s">
        <v>716</v>
      </c>
      <c r="N228" s="29"/>
      <c r="R228" s="91"/>
    </row>
    <row r="229" spans="4:18" s="52" customFormat="1" ht="13.5" customHeight="1" x14ac:dyDescent="0.4">
      <c r="D229" s="90"/>
      <c r="E229" s="29"/>
      <c r="F229" s="29"/>
      <c r="G229" s="144"/>
      <c r="H229" s="147"/>
      <c r="I229" s="166" t="s">
        <v>717</v>
      </c>
      <c r="N229" s="29"/>
      <c r="R229" s="91"/>
    </row>
    <row r="230" spans="4:18" s="52" customFormat="1" ht="13.5" customHeight="1" x14ac:dyDescent="0.4">
      <c r="D230" s="90"/>
      <c r="E230" s="29"/>
      <c r="F230" s="29"/>
      <c r="G230" s="144"/>
      <c r="H230" s="147"/>
      <c r="I230" s="167"/>
      <c r="N230" s="29"/>
      <c r="R230" s="91"/>
    </row>
    <row r="231" spans="4:18" s="52" customFormat="1" ht="13.5" customHeight="1" x14ac:dyDescent="0.4">
      <c r="D231" s="90"/>
      <c r="E231" s="29"/>
      <c r="F231" s="29"/>
      <c r="G231" s="144"/>
      <c r="H231" s="147"/>
      <c r="I231" s="167"/>
      <c r="N231" s="29"/>
      <c r="R231" s="91"/>
    </row>
    <row r="232" spans="4:18" s="52" customFormat="1" ht="13.5" customHeight="1" x14ac:dyDescent="0.4">
      <c r="D232" s="90"/>
      <c r="E232" s="29"/>
      <c r="F232" s="29"/>
      <c r="G232" s="145"/>
      <c r="H232" s="148"/>
      <c r="I232" s="167"/>
      <c r="N232" s="29"/>
      <c r="R232" s="91"/>
    </row>
    <row r="233" spans="4:18" s="52" customFormat="1" ht="13.5" x14ac:dyDescent="0.4">
      <c r="D233" s="90"/>
      <c r="E233" s="94" t="s">
        <v>623</v>
      </c>
      <c r="F233" s="94"/>
      <c r="G233" s="94"/>
      <c r="H233" s="120">
        <v>30</v>
      </c>
      <c r="I233" s="120">
        <v>27</v>
      </c>
      <c r="N233" s="29"/>
      <c r="R233" s="91"/>
    </row>
    <row r="234" spans="4:18" s="52" customFormat="1" ht="13.5" x14ac:dyDescent="0.4">
      <c r="D234" s="90"/>
      <c r="E234" s="94" t="s">
        <v>642</v>
      </c>
      <c r="F234" s="94"/>
      <c r="G234" s="94"/>
      <c r="H234" s="149">
        <v>243</v>
      </c>
      <c r="I234" s="149"/>
      <c r="N234" s="29"/>
      <c r="R234" s="91"/>
    </row>
    <row r="235" spans="4:18" s="52" customFormat="1" ht="13.5" x14ac:dyDescent="0.4">
      <c r="D235" s="90"/>
      <c r="E235" s="94"/>
      <c r="F235" s="94"/>
      <c r="G235" s="94"/>
      <c r="H235" s="29"/>
      <c r="N235" s="29"/>
      <c r="R235" s="91"/>
    </row>
    <row r="236" spans="4:18" s="52" customFormat="1" ht="13.5" x14ac:dyDescent="0.4">
      <c r="D236" s="90"/>
      <c r="E236" s="94" t="s">
        <v>643</v>
      </c>
      <c r="F236" s="94"/>
      <c r="G236" s="94"/>
      <c r="H236" s="29"/>
      <c r="I236" s="29"/>
      <c r="N236" s="29"/>
      <c r="R236" s="91"/>
    </row>
    <row r="237" spans="4:18" s="52" customFormat="1" ht="13.5" customHeight="1" x14ac:dyDescent="0.4">
      <c r="D237" s="90"/>
      <c r="E237" s="96" t="s">
        <v>644</v>
      </c>
      <c r="F237" s="96"/>
      <c r="G237" s="94"/>
      <c r="H237" s="94">
        <v>91121</v>
      </c>
      <c r="I237" s="26">
        <v>91400</v>
      </c>
      <c r="N237" s="29"/>
      <c r="R237" s="91"/>
    </row>
    <row r="238" spans="4:18" s="52" customFormat="1" ht="13.5" customHeight="1" x14ac:dyDescent="0.4">
      <c r="D238" s="90"/>
      <c r="E238" s="96" t="s">
        <v>645</v>
      </c>
      <c r="F238" s="96"/>
      <c r="G238" s="94"/>
      <c r="H238" s="29">
        <v>0</v>
      </c>
      <c r="I238" s="26">
        <v>14</v>
      </c>
      <c r="N238" s="29"/>
      <c r="R238" s="91"/>
    </row>
    <row r="239" spans="4:18" s="52" customFormat="1" ht="13.5" x14ac:dyDescent="0.4">
      <c r="D239" s="90"/>
      <c r="E239" s="96" t="s">
        <v>646</v>
      </c>
      <c r="F239" s="96"/>
      <c r="G239" s="94"/>
      <c r="H239" s="29" t="s">
        <v>647</v>
      </c>
      <c r="I239" s="66" t="s">
        <v>689</v>
      </c>
      <c r="N239" s="29"/>
      <c r="R239" s="91"/>
    </row>
    <row r="240" spans="4:18" s="52" customFormat="1" ht="27" x14ac:dyDescent="0.4">
      <c r="D240" s="90"/>
      <c r="E240" s="94" t="s">
        <v>623</v>
      </c>
      <c r="F240" s="94"/>
      <c r="G240" s="94"/>
      <c r="H240" s="103" t="s">
        <v>723</v>
      </c>
      <c r="I240" s="66" t="s">
        <v>735</v>
      </c>
      <c r="N240" s="29"/>
      <c r="R240" s="91"/>
    </row>
    <row r="241" spans="4:18" s="52" customFormat="1" ht="14.25" thickBot="1" x14ac:dyDescent="0.45">
      <c r="D241" s="97"/>
      <c r="E241" s="98"/>
      <c r="F241" s="98"/>
      <c r="G241" s="98"/>
      <c r="H241" s="98"/>
      <c r="I241" s="99"/>
      <c r="J241" s="100"/>
      <c r="K241" s="100"/>
      <c r="L241" s="100"/>
      <c r="M241" s="100"/>
      <c r="N241" s="100"/>
      <c r="O241" s="100"/>
      <c r="P241" s="100"/>
      <c r="Q241" s="100"/>
      <c r="R241" s="101"/>
    </row>
    <row r="242" spans="4:18" s="52" customFormat="1" ht="13.5" x14ac:dyDescent="0.4">
      <c r="D242" s="86" t="s">
        <v>641</v>
      </c>
      <c r="E242" s="87"/>
      <c r="F242" s="87"/>
      <c r="G242" s="87"/>
      <c r="H242" s="87"/>
      <c r="I242" s="87"/>
      <c r="J242" s="88"/>
      <c r="K242" s="88"/>
      <c r="L242" s="88"/>
      <c r="M242" s="88"/>
      <c r="N242" s="88"/>
      <c r="O242" s="88"/>
      <c r="P242" s="88"/>
      <c r="Q242" s="88"/>
      <c r="R242" s="89"/>
    </row>
    <row r="243" spans="4:18" s="52" customFormat="1" ht="13.5" x14ac:dyDescent="0.4">
      <c r="D243" s="90">
        <v>11</v>
      </c>
      <c r="E243" s="53" t="s">
        <v>736</v>
      </c>
      <c r="F243" s="53"/>
      <c r="G243" s="53"/>
      <c r="H243" s="29"/>
      <c r="I243" s="29"/>
      <c r="R243" s="91"/>
    </row>
    <row r="244" spans="4:18" s="52" customFormat="1" ht="13.5" x14ac:dyDescent="0.4">
      <c r="D244" s="90"/>
      <c r="E244" s="53"/>
      <c r="F244" s="53"/>
      <c r="G244" s="53"/>
      <c r="H244" s="29"/>
      <c r="I244" s="29"/>
      <c r="R244" s="91"/>
    </row>
    <row r="245" spans="4:18" s="29" customFormat="1" ht="13.5" x14ac:dyDescent="0.4">
      <c r="D245" s="90"/>
      <c r="E245" s="29" t="s">
        <v>680</v>
      </c>
      <c r="H245" s="29" t="str">
        <f>H247&amp;"％に特売（タイムサービス割引）設定"</f>
        <v>10％に特売（タイムサービス割引）設定</v>
      </c>
      <c r="I245" s="26" t="str">
        <f>I247&amp;"％の朝割り（自動）"</f>
        <v>10％の朝割り（自動）</v>
      </c>
      <c r="K245" s="52"/>
      <c r="L245" s="52"/>
      <c r="M245" s="52"/>
      <c r="O245" s="52"/>
      <c r="P245" s="52"/>
      <c r="Q245" s="52"/>
      <c r="R245" s="92"/>
    </row>
    <row r="246" spans="4:18" s="52" customFormat="1" ht="13.5" x14ac:dyDescent="0.4">
      <c r="D246" s="90"/>
      <c r="E246" s="93"/>
      <c r="F246" s="93"/>
      <c r="G246" s="53"/>
      <c r="I246" s="26"/>
      <c r="N246" s="29"/>
      <c r="R246" s="91"/>
    </row>
    <row r="247" spans="4:18" s="52" customFormat="1" ht="13.5" x14ac:dyDescent="0.4">
      <c r="D247" s="90"/>
      <c r="E247" s="93" t="s">
        <v>737</v>
      </c>
      <c r="F247" s="93"/>
      <c r="G247" s="29"/>
      <c r="H247" s="29">
        <v>10</v>
      </c>
      <c r="I247" s="26">
        <v>10</v>
      </c>
      <c r="N247" s="29"/>
      <c r="R247" s="91"/>
    </row>
    <row r="248" spans="4:18" s="52" customFormat="1" ht="13.5" x14ac:dyDescent="0.4">
      <c r="D248" s="90"/>
      <c r="E248" s="29"/>
      <c r="F248" s="29"/>
      <c r="G248" s="29"/>
      <c r="I248" s="29"/>
      <c r="N248" s="29"/>
      <c r="R248" s="91"/>
    </row>
    <row r="249" spans="4:18" s="52" customFormat="1" ht="13.5" customHeight="1" x14ac:dyDescent="0.4">
      <c r="D249" s="90"/>
      <c r="E249" s="29"/>
      <c r="F249" s="29"/>
      <c r="G249" s="29"/>
      <c r="N249" s="29"/>
      <c r="R249" s="91"/>
    </row>
    <row r="250" spans="4:18" s="52" customFormat="1" ht="13.5" customHeight="1" x14ac:dyDescent="0.4">
      <c r="D250" s="90"/>
      <c r="E250" s="29"/>
      <c r="F250" s="29"/>
      <c r="G250" s="29"/>
      <c r="N250" s="29"/>
      <c r="R250" s="91"/>
    </row>
    <row r="251" spans="4:18" s="52" customFormat="1" ht="13.5" customHeight="1" x14ac:dyDescent="0.4">
      <c r="D251" s="90"/>
      <c r="E251" s="29"/>
      <c r="F251" s="29"/>
      <c r="G251" s="143" t="s">
        <v>660</v>
      </c>
      <c r="H251" s="74" t="s">
        <v>670</v>
      </c>
      <c r="N251" s="29"/>
      <c r="R251" s="91"/>
    </row>
    <row r="252" spans="4:18" s="52" customFormat="1" ht="13.5" customHeight="1" x14ac:dyDescent="0.4">
      <c r="D252" s="90"/>
      <c r="E252" s="29"/>
      <c r="F252" s="29"/>
      <c r="G252" s="144"/>
      <c r="H252" s="146" t="s">
        <v>722</v>
      </c>
      <c r="I252" s="74" t="s">
        <v>716</v>
      </c>
      <c r="N252" s="29"/>
      <c r="R252" s="91"/>
    </row>
    <row r="253" spans="4:18" s="52" customFormat="1" ht="13.5" customHeight="1" x14ac:dyDescent="0.4">
      <c r="D253" s="90"/>
      <c r="E253" s="29"/>
      <c r="F253" s="29"/>
      <c r="G253" s="144"/>
      <c r="H253" s="147"/>
      <c r="I253" s="166" t="s">
        <v>717</v>
      </c>
      <c r="N253" s="29"/>
      <c r="R253" s="91"/>
    </row>
    <row r="254" spans="4:18" s="52" customFormat="1" ht="13.5" customHeight="1" x14ac:dyDescent="0.4">
      <c r="D254" s="90"/>
      <c r="E254" s="29"/>
      <c r="F254" s="29"/>
      <c r="G254" s="144"/>
      <c r="H254" s="147"/>
      <c r="I254" s="167"/>
      <c r="N254" s="29"/>
      <c r="R254" s="91"/>
    </row>
    <row r="255" spans="4:18" s="52" customFormat="1" ht="13.5" customHeight="1" x14ac:dyDescent="0.4">
      <c r="D255" s="90"/>
      <c r="E255" s="29"/>
      <c r="F255" s="29"/>
      <c r="G255" s="144"/>
      <c r="H255" s="147"/>
      <c r="I255" s="167"/>
      <c r="N255" s="29"/>
      <c r="R255" s="91"/>
    </row>
    <row r="256" spans="4:18" s="52" customFormat="1" ht="13.5" customHeight="1" x14ac:dyDescent="0.4">
      <c r="D256" s="90"/>
      <c r="E256" s="29"/>
      <c r="F256" s="29"/>
      <c r="G256" s="145"/>
      <c r="H256" s="148"/>
      <c r="I256" s="167"/>
      <c r="N256" s="29"/>
      <c r="R256" s="91"/>
    </row>
    <row r="257" spans="4:18" s="52" customFormat="1" ht="13.5" x14ac:dyDescent="0.4">
      <c r="D257" s="90"/>
      <c r="E257" s="94" t="s">
        <v>623</v>
      </c>
      <c r="F257" s="94"/>
      <c r="G257" s="94"/>
      <c r="H257" s="120">
        <v>30</v>
      </c>
      <c r="I257" s="120">
        <v>27</v>
      </c>
      <c r="N257" s="29"/>
      <c r="R257" s="91"/>
    </row>
    <row r="258" spans="4:18" s="52" customFormat="1" ht="13.5" x14ac:dyDescent="0.4">
      <c r="D258" s="90"/>
      <c r="E258" s="94" t="s">
        <v>642</v>
      </c>
      <c r="F258" s="94"/>
      <c r="G258" s="94"/>
      <c r="H258" s="149">
        <v>243</v>
      </c>
      <c r="I258" s="149"/>
      <c r="N258" s="29"/>
      <c r="R258" s="91"/>
    </row>
    <row r="259" spans="4:18" s="52" customFormat="1" ht="13.5" x14ac:dyDescent="0.4">
      <c r="D259" s="90"/>
      <c r="E259" s="94"/>
      <c r="F259" s="94"/>
      <c r="G259" s="94"/>
      <c r="H259" s="29"/>
      <c r="N259" s="29"/>
      <c r="R259" s="91"/>
    </row>
    <row r="260" spans="4:18" s="52" customFormat="1" ht="13.5" x14ac:dyDescent="0.4">
      <c r="D260" s="90"/>
      <c r="E260" s="94" t="s">
        <v>643</v>
      </c>
      <c r="F260" s="94"/>
      <c r="G260" s="94"/>
      <c r="H260" s="29"/>
      <c r="I260" s="29"/>
      <c r="N260" s="29"/>
      <c r="R260" s="91"/>
    </row>
    <row r="261" spans="4:18" s="52" customFormat="1" ht="13.5" customHeight="1" x14ac:dyDescent="0.4">
      <c r="D261" s="90"/>
      <c r="E261" s="96" t="s">
        <v>644</v>
      </c>
      <c r="F261" s="96"/>
      <c r="G261" s="94"/>
      <c r="H261" s="94">
        <v>91121</v>
      </c>
      <c r="I261" s="26">
        <v>91400</v>
      </c>
      <c r="N261" s="29"/>
      <c r="R261" s="91"/>
    </row>
    <row r="262" spans="4:18" s="52" customFormat="1" ht="13.5" customHeight="1" x14ac:dyDescent="0.4">
      <c r="D262" s="90"/>
      <c r="E262" s="96" t="s">
        <v>645</v>
      </c>
      <c r="F262" s="96"/>
      <c r="G262" s="94"/>
      <c r="H262" s="29">
        <v>0</v>
      </c>
      <c r="I262" s="26">
        <v>14</v>
      </c>
      <c r="N262" s="29"/>
      <c r="R262" s="91"/>
    </row>
    <row r="263" spans="4:18" s="52" customFormat="1" ht="13.5" x14ac:dyDescent="0.4">
      <c r="D263" s="90"/>
      <c r="E263" s="96" t="s">
        <v>646</v>
      </c>
      <c r="F263" s="96"/>
      <c r="G263" s="94"/>
      <c r="H263" s="29" t="s">
        <v>647</v>
      </c>
      <c r="I263" s="66" t="s">
        <v>689</v>
      </c>
      <c r="N263" s="29"/>
      <c r="R263" s="91"/>
    </row>
    <row r="264" spans="4:18" s="52" customFormat="1" ht="27" x14ac:dyDescent="0.4">
      <c r="D264" s="90"/>
      <c r="E264" s="94" t="s">
        <v>623</v>
      </c>
      <c r="F264" s="94"/>
      <c r="G264" s="94"/>
      <c r="H264" s="103" t="s">
        <v>723</v>
      </c>
      <c r="I264" s="66" t="s">
        <v>738</v>
      </c>
      <c r="N264" s="29"/>
      <c r="R264" s="91"/>
    </row>
    <row r="265" spans="4:18" s="52" customFormat="1" ht="14.25" thickBot="1" x14ac:dyDescent="0.45">
      <c r="D265" s="97"/>
      <c r="E265" s="98"/>
      <c r="F265" s="98"/>
      <c r="G265" s="98"/>
      <c r="H265" s="98"/>
      <c r="I265" s="99"/>
      <c r="J265" s="100"/>
      <c r="K265" s="100"/>
      <c r="L265" s="100"/>
      <c r="M265" s="100"/>
      <c r="N265" s="100"/>
      <c r="O265" s="100"/>
      <c r="P265" s="100"/>
      <c r="Q265" s="100"/>
      <c r="R265" s="101"/>
    </row>
    <row r="266" spans="4:18" s="52" customFormat="1" ht="13.5" x14ac:dyDescent="0.4">
      <c r="D266" s="86" t="s">
        <v>641</v>
      </c>
      <c r="E266" s="87"/>
      <c r="F266" s="87"/>
      <c r="G266" s="87"/>
      <c r="H266" s="87"/>
      <c r="I266" s="87"/>
      <c r="J266" s="88"/>
      <c r="K266" s="88"/>
      <c r="L266" s="88"/>
      <c r="M266" s="88"/>
      <c r="N266" s="88"/>
      <c r="O266" s="88"/>
      <c r="P266" s="88"/>
      <c r="Q266" s="88"/>
      <c r="R266" s="89"/>
    </row>
    <row r="267" spans="4:18" s="52" customFormat="1" ht="13.5" x14ac:dyDescent="0.4">
      <c r="D267" s="90">
        <v>12</v>
      </c>
      <c r="E267" s="53" t="s">
        <v>693</v>
      </c>
      <c r="F267" s="53"/>
      <c r="G267" s="53"/>
      <c r="H267" s="29"/>
      <c r="I267" s="29"/>
      <c r="R267" s="91"/>
    </row>
    <row r="268" spans="4:18" s="52" customFormat="1" ht="13.5" x14ac:dyDescent="0.4">
      <c r="D268" s="90"/>
      <c r="E268" s="53"/>
      <c r="F268" s="53"/>
      <c r="G268" s="53"/>
      <c r="H268" s="29"/>
      <c r="I268" s="29"/>
      <c r="R268" s="91"/>
    </row>
    <row r="269" spans="4:18" s="29" customFormat="1" ht="13.5" x14ac:dyDescent="0.4">
      <c r="D269" s="90"/>
      <c r="E269" s="29" t="s">
        <v>680</v>
      </c>
      <c r="H269" s="29" t="str">
        <f>H271&amp;"％に特売（タイムサービス割引）設定"</f>
        <v>10％に特売（タイムサービス割引）設定</v>
      </c>
      <c r="I269" s="26" t="str">
        <f>I271&amp;"％のメガ割（自動）"</f>
        <v>10％のメガ割（自動）</v>
      </c>
      <c r="K269" s="52"/>
      <c r="L269" s="52"/>
      <c r="M269" s="52"/>
      <c r="O269" s="52"/>
      <c r="P269" s="52"/>
      <c r="Q269" s="52"/>
      <c r="R269" s="92"/>
    </row>
    <row r="270" spans="4:18" s="52" customFormat="1" ht="13.5" x14ac:dyDescent="0.4">
      <c r="D270" s="90"/>
      <c r="E270" s="93"/>
      <c r="F270" s="93"/>
      <c r="G270" s="53"/>
      <c r="I270" s="26"/>
      <c r="N270" s="29"/>
      <c r="R270" s="91"/>
    </row>
    <row r="271" spans="4:18" s="52" customFormat="1" ht="13.5" x14ac:dyDescent="0.4">
      <c r="D271" s="90"/>
      <c r="E271" s="93" t="s">
        <v>730</v>
      </c>
      <c r="F271" s="93"/>
      <c r="G271" s="29"/>
      <c r="H271" s="29">
        <v>10</v>
      </c>
      <c r="I271" s="26">
        <v>10</v>
      </c>
      <c r="N271" s="29"/>
      <c r="R271" s="91"/>
    </row>
    <row r="272" spans="4:18" s="52" customFormat="1" ht="13.5" x14ac:dyDescent="0.4">
      <c r="D272" s="90"/>
      <c r="E272" s="29"/>
      <c r="F272" s="29"/>
      <c r="G272" s="29"/>
      <c r="I272" s="29"/>
      <c r="N272" s="29"/>
      <c r="R272" s="91"/>
    </row>
    <row r="273" spans="4:18" s="52" customFormat="1" ht="13.5" customHeight="1" x14ac:dyDescent="0.4">
      <c r="D273" s="90"/>
      <c r="E273" s="29"/>
      <c r="F273" s="29"/>
      <c r="G273" s="29"/>
      <c r="N273" s="29"/>
      <c r="R273" s="91"/>
    </row>
    <row r="274" spans="4:18" s="52" customFormat="1" ht="13.5" customHeight="1" x14ac:dyDescent="0.4">
      <c r="D274" s="90"/>
      <c r="E274" s="29"/>
      <c r="F274" s="29"/>
      <c r="G274" s="29"/>
      <c r="N274" s="29"/>
      <c r="R274" s="91"/>
    </row>
    <row r="275" spans="4:18" s="52" customFormat="1" ht="13.5" customHeight="1" x14ac:dyDescent="0.4">
      <c r="D275" s="90"/>
      <c r="E275" s="29"/>
      <c r="F275" s="29"/>
      <c r="G275" s="143" t="s">
        <v>660</v>
      </c>
      <c r="H275" s="74" t="s">
        <v>670</v>
      </c>
      <c r="N275" s="29"/>
      <c r="R275" s="91"/>
    </row>
    <row r="276" spans="4:18" s="52" customFormat="1" ht="13.5" customHeight="1" x14ac:dyDescent="0.4">
      <c r="D276" s="90"/>
      <c r="E276" s="29"/>
      <c r="F276" s="29"/>
      <c r="G276" s="144"/>
      <c r="H276" s="146" t="s">
        <v>722</v>
      </c>
      <c r="I276" s="74" t="s">
        <v>716</v>
      </c>
      <c r="N276" s="29"/>
      <c r="R276" s="91"/>
    </row>
    <row r="277" spans="4:18" s="52" customFormat="1" ht="13.5" customHeight="1" x14ac:dyDescent="0.4">
      <c r="D277" s="90"/>
      <c r="E277" s="29"/>
      <c r="F277" s="29"/>
      <c r="G277" s="144"/>
      <c r="H277" s="147"/>
      <c r="I277" s="166" t="s">
        <v>717</v>
      </c>
      <c r="N277" s="29"/>
      <c r="R277" s="91"/>
    </row>
    <row r="278" spans="4:18" s="52" customFormat="1" ht="13.5" customHeight="1" x14ac:dyDescent="0.4">
      <c r="D278" s="90"/>
      <c r="E278" s="29"/>
      <c r="F278" s="29"/>
      <c r="G278" s="144"/>
      <c r="H278" s="147"/>
      <c r="I278" s="167"/>
      <c r="N278" s="29"/>
      <c r="R278" s="91"/>
    </row>
    <row r="279" spans="4:18" s="52" customFormat="1" ht="13.5" customHeight="1" x14ac:dyDescent="0.4">
      <c r="D279" s="90"/>
      <c r="E279" s="29"/>
      <c r="F279" s="29"/>
      <c r="G279" s="144"/>
      <c r="H279" s="147"/>
      <c r="I279" s="167"/>
      <c r="N279" s="29"/>
      <c r="R279" s="91"/>
    </row>
    <row r="280" spans="4:18" s="52" customFormat="1" ht="13.5" customHeight="1" x14ac:dyDescent="0.4">
      <c r="D280" s="90"/>
      <c r="E280" s="29"/>
      <c r="F280" s="29"/>
      <c r="G280" s="145"/>
      <c r="H280" s="148"/>
      <c r="I280" s="167"/>
      <c r="N280" s="29"/>
      <c r="R280" s="91"/>
    </row>
    <row r="281" spans="4:18" s="52" customFormat="1" ht="13.5" x14ac:dyDescent="0.4">
      <c r="D281" s="90"/>
      <c r="E281" s="94" t="s">
        <v>623</v>
      </c>
      <c r="F281" s="94"/>
      <c r="G281" s="94"/>
      <c r="H281" s="120">
        <v>30</v>
      </c>
      <c r="I281" s="120">
        <v>27</v>
      </c>
      <c r="N281" s="29"/>
      <c r="R281" s="91"/>
    </row>
    <row r="282" spans="4:18" s="52" customFormat="1" ht="13.5" x14ac:dyDescent="0.4">
      <c r="D282" s="90"/>
      <c r="E282" s="94" t="s">
        <v>642</v>
      </c>
      <c r="F282" s="94"/>
      <c r="G282" s="94"/>
      <c r="H282" s="149">
        <v>243</v>
      </c>
      <c r="I282" s="149"/>
      <c r="N282" s="29"/>
      <c r="R282" s="91"/>
    </row>
    <row r="283" spans="4:18" s="52" customFormat="1" ht="13.5" x14ac:dyDescent="0.4">
      <c r="D283" s="90"/>
      <c r="E283" s="94"/>
      <c r="F283" s="94"/>
      <c r="G283" s="94"/>
      <c r="H283" s="29"/>
      <c r="N283" s="29"/>
      <c r="R283" s="91"/>
    </row>
    <row r="284" spans="4:18" s="52" customFormat="1" ht="13.5" x14ac:dyDescent="0.4">
      <c r="D284" s="90"/>
      <c r="E284" s="94" t="s">
        <v>643</v>
      </c>
      <c r="F284" s="94"/>
      <c r="G284" s="94"/>
      <c r="H284" s="29"/>
      <c r="I284" s="29"/>
      <c r="N284" s="29"/>
      <c r="R284" s="91"/>
    </row>
    <row r="285" spans="4:18" s="52" customFormat="1" ht="13.5" customHeight="1" x14ac:dyDescent="0.4">
      <c r="D285" s="90"/>
      <c r="E285" s="96" t="s">
        <v>644</v>
      </c>
      <c r="F285" s="96"/>
      <c r="G285" s="94"/>
      <c r="H285" s="94">
        <v>91121</v>
      </c>
      <c r="I285" s="26">
        <v>91400</v>
      </c>
      <c r="N285" s="29"/>
      <c r="R285" s="91"/>
    </row>
    <row r="286" spans="4:18" s="52" customFormat="1" ht="13.5" customHeight="1" x14ac:dyDescent="0.4">
      <c r="D286" s="90"/>
      <c r="E286" s="96" t="s">
        <v>645</v>
      </c>
      <c r="F286" s="96"/>
      <c r="G286" s="94"/>
      <c r="H286" s="29">
        <v>0</v>
      </c>
      <c r="I286" s="26">
        <v>14</v>
      </c>
      <c r="N286" s="29"/>
      <c r="R286" s="91"/>
    </row>
    <row r="287" spans="4:18" s="52" customFormat="1" ht="13.5" x14ac:dyDescent="0.4">
      <c r="D287" s="90"/>
      <c r="E287" s="96" t="s">
        <v>646</v>
      </c>
      <c r="F287" s="96"/>
      <c r="G287" s="94"/>
      <c r="H287" s="29" t="s">
        <v>647</v>
      </c>
      <c r="I287" s="66" t="s">
        <v>689</v>
      </c>
      <c r="N287" s="29"/>
      <c r="R287" s="91"/>
    </row>
    <row r="288" spans="4:18" s="52" customFormat="1" ht="27" x14ac:dyDescent="0.4">
      <c r="D288" s="90"/>
      <c r="E288" s="94" t="s">
        <v>623</v>
      </c>
      <c r="F288" s="94"/>
      <c r="G288" s="94"/>
      <c r="H288" s="103" t="s">
        <v>723</v>
      </c>
      <c r="I288" s="66" t="s">
        <v>739</v>
      </c>
      <c r="N288" s="29"/>
      <c r="R288" s="91"/>
    </row>
    <row r="289" spans="4:18" s="52" customFormat="1" ht="14.25" thickBot="1" x14ac:dyDescent="0.45">
      <c r="D289" s="97"/>
      <c r="E289" s="98"/>
      <c r="F289" s="98"/>
      <c r="G289" s="98"/>
      <c r="H289" s="98"/>
      <c r="I289" s="99"/>
      <c r="J289" s="100"/>
      <c r="K289" s="100"/>
      <c r="L289" s="100"/>
      <c r="M289" s="100"/>
      <c r="N289" s="100"/>
      <c r="O289" s="100"/>
      <c r="P289" s="100"/>
      <c r="Q289" s="100"/>
      <c r="R289" s="101"/>
    </row>
    <row r="290" spans="4:18" s="52" customFormat="1" ht="13.5" x14ac:dyDescent="0.4">
      <c r="D290" s="86" t="s">
        <v>641</v>
      </c>
      <c r="E290" s="87"/>
      <c r="F290" s="87"/>
      <c r="G290" s="87"/>
      <c r="H290" s="87"/>
      <c r="I290" s="87"/>
      <c r="J290" s="88"/>
      <c r="K290" s="88"/>
      <c r="L290" s="88"/>
      <c r="M290" s="88"/>
      <c r="N290" s="88"/>
      <c r="O290" s="88"/>
      <c r="P290" s="88"/>
      <c r="Q290" s="88"/>
      <c r="R290" s="89"/>
    </row>
    <row r="291" spans="4:18" s="52" customFormat="1" ht="13.5" x14ac:dyDescent="0.4">
      <c r="D291" s="90">
        <v>13</v>
      </c>
      <c r="E291" s="53" t="s">
        <v>695</v>
      </c>
      <c r="F291" s="53"/>
      <c r="G291" s="53"/>
      <c r="H291" s="29"/>
      <c r="I291" s="29"/>
      <c r="R291" s="91"/>
    </row>
    <row r="292" spans="4:18" s="52" customFormat="1" ht="13.5" x14ac:dyDescent="0.4">
      <c r="D292" s="90"/>
      <c r="E292" s="53"/>
      <c r="F292" s="53"/>
      <c r="G292" s="53"/>
      <c r="H292" s="29"/>
      <c r="I292" s="29"/>
      <c r="R292" s="91"/>
    </row>
    <row r="293" spans="4:18" s="29" customFormat="1" ht="13.5" x14ac:dyDescent="0.4">
      <c r="D293" s="90"/>
      <c r="E293" s="29" t="s">
        <v>680</v>
      </c>
      <c r="H293" s="29" t="str">
        <f>H295&amp;"％に特売（タイムサービス割引）設定"</f>
        <v>10％に特売（タイムサービス割引）設定</v>
      </c>
      <c r="I293" s="26" t="str">
        <f>I295&amp;"％のクレジット割（自動）"</f>
        <v>10％のクレジット割（自動）</v>
      </c>
      <c r="K293" s="52"/>
      <c r="L293" s="52"/>
      <c r="M293" s="52"/>
      <c r="O293" s="52"/>
      <c r="P293" s="52"/>
      <c r="Q293" s="52"/>
      <c r="R293" s="92"/>
    </row>
    <row r="294" spans="4:18" s="52" customFormat="1" ht="13.5" x14ac:dyDescent="0.4">
      <c r="D294" s="90"/>
      <c r="E294" s="93"/>
      <c r="F294" s="93"/>
      <c r="G294" s="53"/>
      <c r="I294" s="26"/>
      <c r="N294" s="29"/>
      <c r="R294" s="91"/>
    </row>
    <row r="295" spans="4:18" s="52" customFormat="1" ht="13.5" x14ac:dyDescent="0.4">
      <c r="D295" s="90"/>
      <c r="E295" s="93" t="s">
        <v>731</v>
      </c>
      <c r="F295" s="93"/>
      <c r="G295" s="29"/>
      <c r="H295" s="29">
        <v>10</v>
      </c>
      <c r="I295" s="26">
        <v>10</v>
      </c>
      <c r="N295" s="29"/>
      <c r="R295" s="91"/>
    </row>
    <row r="296" spans="4:18" s="52" customFormat="1" ht="13.5" x14ac:dyDescent="0.4">
      <c r="D296" s="90"/>
      <c r="E296" s="29"/>
      <c r="F296" s="29"/>
      <c r="G296" s="29"/>
      <c r="I296" s="29"/>
      <c r="N296" s="29"/>
      <c r="R296" s="91"/>
    </row>
    <row r="297" spans="4:18" s="52" customFormat="1" ht="13.5" customHeight="1" x14ac:dyDescent="0.4">
      <c r="D297" s="90"/>
      <c r="E297" s="29"/>
      <c r="F297" s="29"/>
      <c r="G297" s="29"/>
      <c r="N297" s="29"/>
      <c r="R297" s="91"/>
    </row>
    <row r="298" spans="4:18" s="52" customFormat="1" ht="13.5" customHeight="1" x14ac:dyDescent="0.4">
      <c r="D298" s="90"/>
      <c r="E298" s="29"/>
      <c r="F298" s="29"/>
      <c r="G298" s="29"/>
      <c r="N298" s="29"/>
      <c r="R298" s="91"/>
    </row>
    <row r="299" spans="4:18" s="52" customFormat="1" ht="13.5" customHeight="1" x14ac:dyDescent="0.4">
      <c r="D299" s="90"/>
      <c r="E299" s="29"/>
      <c r="F299" s="29"/>
      <c r="G299" s="143" t="s">
        <v>660</v>
      </c>
      <c r="H299" s="74" t="s">
        <v>670</v>
      </c>
      <c r="N299" s="29"/>
      <c r="R299" s="91"/>
    </row>
    <row r="300" spans="4:18" s="52" customFormat="1" ht="13.5" customHeight="1" x14ac:dyDescent="0.4">
      <c r="D300" s="90"/>
      <c r="E300" s="29"/>
      <c r="F300" s="29"/>
      <c r="G300" s="144"/>
      <c r="H300" s="146" t="s">
        <v>722</v>
      </c>
      <c r="I300" s="74" t="s">
        <v>716</v>
      </c>
      <c r="N300" s="29"/>
      <c r="R300" s="91"/>
    </row>
    <row r="301" spans="4:18" s="52" customFormat="1" ht="13.5" customHeight="1" x14ac:dyDescent="0.4">
      <c r="D301" s="90"/>
      <c r="E301" s="29"/>
      <c r="F301" s="29"/>
      <c r="G301" s="144"/>
      <c r="H301" s="147"/>
      <c r="I301" s="166" t="s">
        <v>717</v>
      </c>
      <c r="N301" s="29"/>
      <c r="R301" s="91"/>
    </row>
    <row r="302" spans="4:18" s="52" customFormat="1" ht="13.5" customHeight="1" x14ac:dyDescent="0.4">
      <c r="D302" s="90"/>
      <c r="E302" s="29"/>
      <c r="F302" s="29"/>
      <c r="G302" s="144"/>
      <c r="H302" s="147"/>
      <c r="I302" s="167"/>
      <c r="N302" s="29"/>
      <c r="R302" s="91"/>
    </row>
    <row r="303" spans="4:18" s="52" customFormat="1" ht="13.5" customHeight="1" x14ac:dyDescent="0.4">
      <c r="D303" s="90"/>
      <c r="E303" s="29"/>
      <c r="F303" s="29"/>
      <c r="G303" s="144"/>
      <c r="H303" s="147"/>
      <c r="I303" s="167"/>
      <c r="N303" s="29"/>
      <c r="R303" s="91"/>
    </row>
    <row r="304" spans="4:18" s="52" customFormat="1" ht="13.5" customHeight="1" x14ac:dyDescent="0.4">
      <c r="D304" s="90"/>
      <c r="E304" s="29"/>
      <c r="F304" s="29"/>
      <c r="G304" s="145"/>
      <c r="H304" s="148"/>
      <c r="I304" s="167"/>
      <c r="N304" s="29"/>
      <c r="R304" s="91"/>
    </row>
    <row r="305" spans="4:18" s="52" customFormat="1" ht="13.5" x14ac:dyDescent="0.4">
      <c r="D305" s="90"/>
      <c r="E305" s="94" t="s">
        <v>623</v>
      </c>
      <c r="F305" s="94"/>
      <c r="G305" s="94"/>
      <c r="H305" s="120">
        <v>30</v>
      </c>
      <c r="I305" s="120">
        <v>27</v>
      </c>
      <c r="N305" s="29"/>
      <c r="R305" s="91"/>
    </row>
    <row r="306" spans="4:18" s="52" customFormat="1" ht="13.5" x14ac:dyDescent="0.4">
      <c r="D306" s="90"/>
      <c r="E306" s="94" t="s">
        <v>642</v>
      </c>
      <c r="F306" s="94"/>
      <c r="G306" s="94"/>
      <c r="H306" s="149">
        <v>243</v>
      </c>
      <c r="I306" s="149"/>
      <c r="N306" s="29"/>
      <c r="R306" s="91"/>
    </row>
    <row r="307" spans="4:18" s="52" customFormat="1" ht="13.5" x14ac:dyDescent="0.4">
      <c r="D307" s="90"/>
      <c r="E307" s="94"/>
      <c r="F307" s="94"/>
      <c r="G307" s="94"/>
      <c r="H307" s="29"/>
      <c r="N307" s="29"/>
      <c r="R307" s="91"/>
    </row>
    <row r="308" spans="4:18" s="52" customFormat="1" ht="13.5" x14ac:dyDescent="0.4">
      <c r="D308" s="90"/>
      <c r="E308" s="94" t="s">
        <v>643</v>
      </c>
      <c r="F308" s="94"/>
      <c r="G308" s="94"/>
      <c r="H308" s="29"/>
      <c r="I308" s="29"/>
      <c r="N308" s="29"/>
      <c r="R308" s="91"/>
    </row>
    <row r="309" spans="4:18" s="52" customFormat="1" ht="13.5" customHeight="1" x14ac:dyDescent="0.4">
      <c r="D309" s="90"/>
      <c r="E309" s="96" t="s">
        <v>644</v>
      </c>
      <c r="F309" s="96"/>
      <c r="G309" s="94"/>
      <c r="H309" s="94">
        <v>91121</v>
      </c>
      <c r="I309" s="26">
        <v>91400</v>
      </c>
      <c r="N309" s="29"/>
      <c r="R309" s="91"/>
    </row>
    <row r="310" spans="4:18" s="52" customFormat="1" ht="13.5" customHeight="1" x14ac:dyDescent="0.4">
      <c r="D310" s="90"/>
      <c r="E310" s="96" t="s">
        <v>645</v>
      </c>
      <c r="F310" s="96"/>
      <c r="G310" s="94"/>
      <c r="H310" s="29">
        <v>0</v>
      </c>
      <c r="I310" s="26">
        <v>14</v>
      </c>
      <c r="N310" s="29"/>
      <c r="R310" s="91"/>
    </row>
    <row r="311" spans="4:18" s="52" customFormat="1" ht="13.5" x14ac:dyDescent="0.4">
      <c r="D311" s="90"/>
      <c r="E311" s="96" t="s">
        <v>646</v>
      </c>
      <c r="F311" s="96"/>
      <c r="G311" s="94"/>
      <c r="H311" s="29" t="s">
        <v>647</v>
      </c>
      <c r="I311" s="66" t="s">
        <v>689</v>
      </c>
      <c r="N311" s="29"/>
      <c r="R311" s="91"/>
    </row>
    <row r="312" spans="4:18" s="52" customFormat="1" ht="27" x14ac:dyDescent="0.4">
      <c r="D312" s="90"/>
      <c r="E312" s="94" t="s">
        <v>623</v>
      </c>
      <c r="F312" s="94"/>
      <c r="G312" s="94"/>
      <c r="H312" s="103" t="s">
        <v>723</v>
      </c>
      <c r="I312" s="66" t="s">
        <v>740</v>
      </c>
      <c r="N312" s="29"/>
      <c r="R312" s="91"/>
    </row>
    <row r="313" spans="4:18" s="52" customFormat="1" ht="14.25" thickBot="1" x14ac:dyDescent="0.45">
      <c r="D313" s="97"/>
      <c r="E313" s="98"/>
      <c r="F313" s="98"/>
      <c r="G313" s="98"/>
      <c r="H313" s="98"/>
      <c r="I313" s="99"/>
      <c r="J313" s="100"/>
      <c r="K313" s="100"/>
      <c r="L313" s="100"/>
      <c r="M313" s="100"/>
      <c r="N313" s="100"/>
      <c r="O313" s="100"/>
      <c r="P313" s="100"/>
      <c r="Q313" s="100"/>
      <c r="R313" s="101"/>
    </row>
  </sheetData>
  <mergeCells count="79">
    <mergeCell ref="H234:I234"/>
    <mergeCell ref="H210:I210"/>
    <mergeCell ref="I116:I119"/>
    <mergeCell ref="G251:G256"/>
    <mergeCell ref="H252:H256"/>
    <mergeCell ref="I253:I256"/>
    <mergeCell ref="K82:K87"/>
    <mergeCell ref="L83:L87"/>
    <mergeCell ref="L89:M89"/>
    <mergeCell ref="M83:M87"/>
    <mergeCell ref="M92:M95"/>
    <mergeCell ref="H306:I306"/>
    <mergeCell ref="H282:I282"/>
    <mergeCell ref="G299:G304"/>
    <mergeCell ref="H258:I258"/>
    <mergeCell ref="G275:G280"/>
    <mergeCell ref="H300:H304"/>
    <mergeCell ref="I301:I304"/>
    <mergeCell ref="H276:H280"/>
    <mergeCell ref="I277:I280"/>
    <mergeCell ref="G227:G232"/>
    <mergeCell ref="H204:H208"/>
    <mergeCell ref="I205:I208"/>
    <mergeCell ref="H228:H232"/>
    <mergeCell ref="I229:I232"/>
    <mergeCell ref="G203:G208"/>
    <mergeCell ref="G179:G184"/>
    <mergeCell ref="H186:I186"/>
    <mergeCell ref="G155:G160"/>
    <mergeCell ref="H162:I162"/>
    <mergeCell ref="O130:O135"/>
    <mergeCell ref="H137:I137"/>
    <mergeCell ref="H132:H135"/>
    <mergeCell ref="K130:K135"/>
    <mergeCell ref="G130:G135"/>
    <mergeCell ref="I131:I135"/>
    <mergeCell ref="H140:H143"/>
    <mergeCell ref="H156:H160"/>
    <mergeCell ref="I157:I160"/>
    <mergeCell ref="H180:H184"/>
    <mergeCell ref="I181:I184"/>
    <mergeCell ref="L140:L143"/>
    <mergeCell ref="P131:P135"/>
    <mergeCell ref="P137:Q137"/>
    <mergeCell ref="Q129:Q135"/>
    <mergeCell ref="L137:M137"/>
    <mergeCell ref="L131:L135"/>
    <mergeCell ref="M130:M135"/>
    <mergeCell ref="P140:P143"/>
    <mergeCell ref="G12:G17"/>
    <mergeCell ref="K12:K17"/>
    <mergeCell ref="Q22:Q25"/>
    <mergeCell ref="M22:M25"/>
    <mergeCell ref="P13:P17"/>
    <mergeCell ref="O12:O17"/>
    <mergeCell ref="H13:H17"/>
    <mergeCell ref="I14:I17"/>
    <mergeCell ref="M13:M17"/>
    <mergeCell ref="L13:L17"/>
    <mergeCell ref="Q12:Q17"/>
    <mergeCell ref="H19:I19"/>
    <mergeCell ref="L19:M19"/>
    <mergeCell ref="P19:Q19"/>
    <mergeCell ref="G35:G40"/>
    <mergeCell ref="H36:H40"/>
    <mergeCell ref="I37:I40"/>
    <mergeCell ref="H42:I42"/>
    <mergeCell ref="G58:G63"/>
    <mergeCell ref="H59:H63"/>
    <mergeCell ref="I60:I63"/>
    <mergeCell ref="H65:I65"/>
    <mergeCell ref="G106:G111"/>
    <mergeCell ref="H107:H111"/>
    <mergeCell ref="H113:I113"/>
    <mergeCell ref="I107:I111"/>
    <mergeCell ref="G82:G87"/>
    <mergeCell ref="H89:I89"/>
    <mergeCell ref="H83:H87"/>
    <mergeCell ref="I84:I87"/>
  </mergeCells>
  <phoneticPr fontId="1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270"/>
  <sheetViews>
    <sheetView zoomScale="70" zoomScaleNormal="70" workbookViewId="0">
      <pane xSplit="2" ySplit="1" topLeftCell="J2" activePane="bottomRight" state="frozen"/>
      <selection pane="topRight" activeCell="B1" sqref="B1"/>
      <selection pane="bottomLeft" activeCell="A2" sqref="A2"/>
      <selection pane="bottomRight" activeCell="J74" sqref="J74"/>
    </sheetView>
  </sheetViews>
  <sheetFormatPr defaultColWidth="86.375" defaultRowHeight="20.25" customHeight="1" outlineLevelCol="2" x14ac:dyDescent="0.4"/>
  <cols>
    <col min="1" max="1" width="21" style="24" customWidth="1"/>
    <col min="2" max="2" width="10" style="24" bestFit="1" customWidth="1"/>
    <col min="3" max="3" width="27.5" style="24" hidden="1" customWidth="1" outlineLevel="2"/>
    <col min="4" max="4" width="17.375" style="24" hidden="1" customWidth="1" outlineLevel="2"/>
    <col min="5" max="5" width="10.875" style="24" hidden="1" customWidth="1" outlineLevel="2"/>
    <col min="6" max="6" width="18.5" style="24" hidden="1" customWidth="1" outlineLevel="2"/>
    <col min="7" max="7" width="15" style="24" hidden="1" customWidth="1" outlineLevel="1" collapsed="1"/>
    <col min="8" max="8" width="58" style="24" bestFit="1" customWidth="1" collapsed="1"/>
    <col min="9" max="9" width="36.875" style="24" customWidth="1" outlineLevel="1"/>
    <col min="10" max="10" width="15.625" style="24" bestFit="1" customWidth="1"/>
    <col min="11" max="11" width="13.5" style="24" bestFit="1" customWidth="1"/>
    <col min="12" max="12" width="11.375" style="24" bestFit="1" customWidth="1"/>
    <col min="13" max="13" width="16.25" style="24" bestFit="1" customWidth="1"/>
    <col min="14" max="14" width="13" style="24" bestFit="1" customWidth="1"/>
    <col min="15" max="21" width="1.5" style="24" customWidth="1"/>
    <col min="22" max="22" width="15.875" style="24" bestFit="1" customWidth="1"/>
    <col min="23" max="23" width="13.5" style="24" bestFit="1" customWidth="1"/>
    <col min="24" max="24" width="11.75" style="24" bestFit="1" customWidth="1"/>
    <col min="25" max="26" width="13.5" style="24" bestFit="1" customWidth="1"/>
    <col min="27" max="27" width="15.25" style="24" hidden="1" customWidth="1" outlineLevel="1"/>
    <col min="28" max="29" width="17.375" style="24" hidden="1" customWidth="1" outlineLevel="1"/>
    <col min="30" max="30" width="25.625" style="24" bestFit="1" customWidth="1" collapsed="1"/>
    <col min="31" max="31" width="15.125" style="24" bestFit="1" customWidth="1"/>
    <col min="32" max="16384" width="86.375" style="24"/>
  </cols>
  <sheetData>
    <row r="1" spans="1:31" ht="20.25" customHeight="1" x14ac:dyDescent="0.15">
      <c r="B1" s="23" t="s">
        <v>466</v>
      </c>
      <c r="C1" s="23" t="s">
        <v>467</v>
      </c>
      <c r="D1" s="23" t="s">
        <v>468</v>
      </c>
      <c r="E1" s="23" t="s">
        <v>469</v>
      </c>
      <c r="F1" s="23" t="s">
        <v>470</v>
      </c>
      <c r="G1" s="23" t="s">
        <v>471</v>
      </c>
      <c r="H1" s="23" t="s">
        <v>472</v>
      </c>
      <c r="I1" s="23" t="s">
        <v>473</v>
      </c>
      <c r="J1" s="23" t="s">
        <v>474</v>
      </c>
      <c r="K1" s="23" t="s">
        <v>475</v>
      </c>
      <c r="L1" s="23" t="s">
        <v>476</v>
      </c>
      <c r="M1" s="23" t="s">
        <v>477</v>
      </c>
      <c r="N1" s="23" t="s">
        <v>464</v>
      </c>
      <c r="O1" s="23"/>
      <c r="P1" s="23"/>
      <c r="Q1" s="23" t="s">
        <v>478</v>
      </c>
      <c r="R1" s="23" t="s">
        <v>479</v>
      </c>
      <c r="S1" s="23" t="s">
        <v>480</v>
      </c>
      <c r="T1" s="23" t="s">
        <v>481</v>
      </c>
      <c r="U1" s="23" t="s">
        <v>482</v>
      </c>
      <c r="V1" s="23" t="s">
        <v>483</v>
      </c>
      <c r="W1" s="23" t="s">
        <v>484</v>
      </c>
      <c r="X1" s="23" t="s">
        <v>485</v>
      </c>
      <c r="Y1" s="23" t="s">
        <v>486</v>
      </c>
      <c r="Z1" s="23" t="s">
        <v>487</v>
      </c>
      <c r="AA1" s="23" t="s">
        <v>488</v>
      </c>
      <c r="AB1" s="23" t="s">
        <v>489</v>
      </c>
      <c r="AC1" s="23" t="s">
        <v>490</v>
      </c>
      <c r="AD1" s="23" t="s">
        <v>491</v>
      </c>
      <c r="AE1" s="23" t="s">
        <v>492</v>
      </c>
    </row>
    <row r="2" spans="1:31" ht="20.25" hidden="1" customHeight="1" x14ac:dyDescent="0.15">
      <c r="A2" s="24" t="s">
        <v>627</v>
      </c>
      <c r="B2" s="21">
        <v>1</v>
      </c>
      <c r="C2" s="22" t="s">
        <v>493</v>
      </c>
      <c r="D2" s="22" t="s">
        <v>494</v>
      </c>
      <c r="E2" s="22" t="s">
        <v>494</v>
      </c>
      <c r="F2" s="22" t="s">
        <v>495</v>
      </c>
      <c r="G2" s="22" t="s">
        <v>496</v>
      </c>
      <c r="H2" s="22" t="s">
        <v>497</v>
      </c>
      <c r="I2" s="22" t="s">
        <v>322</v>
      </c>
      <c r="J2" s="22" t="s">
        <v>323</v>
      </c>
      <c r="K2" s="22" t="s">
        <v>498</v>
      </c>
      <c r="L2" s="22" t="s">
        <v>499</v>
      </c>
      <c r="M2" s="22" t="s">
        <v>500</v>
      </c>
      <c r="N2" s="22" t="s">
        <v>496</v>
      </c>
      <c r="O2" s="22"/>
      <c r="P2" s="22"/>
      <c r="Q2" s="22" t="s">
        <v>496</v>
      </c>
      <c r="R2" s="22" t="s">
        <v>496</v>
      </c>
      <c r="S2" s="22" t="s">
        <v>501</v>
      </c>
      <c r="T2" s="22" t="s">
        <v>502</v>
      </c>
      <c r="U2" s="22" t="s">
        <v>502</v>
      </c>
      <c r="V2" s="22" t="s">
        <v>503</v>
      </c>
      <c r="W2" s="22" t="s">
        <v>504</v>
      </c>
      <c r="X2" s="22" t="s">
        <v>505</v>
      </c>
      <c r="Y2" s="22" t="s">
        <v>506</v>
      </c>
      <c r="Z2" s="22" t="s">
        <v>507</v>
      </c>
      <c r="AA2" s="22" t="s">
        <v>506</v>
      </c>
      <c r="AB2" s="22" t="s">
        <v>504</v>
      </c>
      <c r="AC2" s="22" t="s">
        <v>504</v>
      </c>
      <c r="AD2" s="22" t="s">
        <v>508</v>
      </c>
      <c r="AE2" s="22" t="s">
        <v>509</v>
      </c>
    </row>
    <row r="3" spans="1:31" ht="20.25" hidden="1" customHeight="1" x14ac:dyDescent="0.15">
      <c r="A3" s="24" t="s">
        <v>627</v>
      </c>
      <c r="B3" s="21">
        <v>1</v>
      </c>
      <c r="C3" s="22" t="s">
        <v>493</v>
      </c>
      <c r="D3" s="22" t="s">
        <v>494</v>
      </c>
      <c r="E3" s="22" t="s">
        <v>494</v>
      </c>
      <c r="F3" s="22" t="s">
        <v>495</v>
      </c>
      <c r="G3" s="22" t="s">
        <v>496</v>
      </c>
      <c r="H3" s="22" t="s">
        <v>497</v>
      </c>
      <c r="I3" s="22" t="s">
        <v>322</v>
      </c>
      <c r="J3" s="22" t="s">
        <v>323</v>
      </c>
      <c r="K3" s="22" t="s">
        <v>498</v>
      </c>
      <c r="L3" s="22" t="s">
        <v>499</v>
      </c>
      <c r="M3" s="22" t="s">
        <v>500</v>
      </c>
      <c r="N3" s="22" t="s">
        <v>496</v>
      </c>
      <c r="O3" s="22"/>
      <c r="P3" s="22"/>
      <c r="Q3" s="22" t="s">
        <v>496</v>
      </c>
      <c r="R3" s="22" t="s">
        <v>496</v>
      </c>
      <c r="S3" s="22" t="s">
        <v>501</v>
      </c>
      <c r="T3" s="22" t="s">
        <v>502</v>
      </c>
      <c r="U3" s="22" t="s">
        <v>501</v>
      </c>
      <c r="V3" s="22" t="s">
        <v>510</v>
      </c>
      <c r="W3" s="22" t="s">
        <v>504</v>
      </c>
      <c r="X3" s="22" t="s">
        <v>505</v>
      </c>
      <c r="Y3" s="22" t="s">
        <v>506</v>
      </c>
      <c r="Z3" s="22" t="s">
        <v>507</v>
      </c>
      <c r="AA3" s="22" t="s">
        <v>506</v>
      </c>
      <c r="AB3" s="22" t="s">
        <v>504</v>
      </c>
      <c r="AC3" s="22" t="s">
        <v>504</v>
      </c>
      <c r="AD3" s="22" t="s">
        <v>511</v>
      </c>
      <c r="AE3" s="22" t="s">
        <v>509</v>
      </c>
    </row>
    <row r="4" spans="1:31" ht="20.25" hidden="1" customHeight="1" x14ac:dyDescent="0.15">
      <c r="A4" s="24" t="s">
        <v>628</v>
      </c>
      <c r="B4" s="21">
        <v>2</v>
      </c>
      <c r="C4" s="22" t="s">
        <v>493</v>
      </c>
      <c r="D4" s="22" t="s">
        <v>494</v>
      </c>
      <c r="E4" s="22" t="s">
        <v>512</v>
      </c>
      <c r="F4" s="22" t="s">
        <v>495</v>
      </c>
      <c r="G4" s="22" t="s">
        <v>496</v>
      </c>
      <c r="H4" s="22" t="s">
        <v>513</v>
      </c>
      <c r="I4" s="22" t="s">
        <v>218</v>
      </c>
      <c r="J4" s="22" t="s">
        <v>219</v>
      </c>
      <c r="K4" s="22" t="s">
        <v>498</v>
      </c>
      <c r="L4" s="22" t="s">
        <v>499</v>
      </c>
      <c r="M4" s="22" t="s">
        <v>499</v>
      </c>
      <c r="N4" s="22" t="s">
        <v>496</v>
      </c>
      <c r="O4" s="22"/>
      <c r="P4" s="22"/>
      <c r="Q4" s="22" t="s">
        <v>496</v>
      </c>
      <c r="R4" s="22" t="s">
        <v>496</v>
      </c>
      <c r="S4" s="22" t="s">
        <v>501</v>
      </c>
      <c r="T4" s="22" t="s">
        <v>514</v>
      </c>
      <c r="U4" s="22" t="s">
        <v>501</v>
      </c>
      <c r="V4" s="22" t="s">
        <v>510</v>
      </c>
      <c r="W4" s="22" t="s">
        <v>504</v>
      </c>
      <c r="X4" s="22" t="s">
        <v>505</v>
      </c>
      <c r="Y4" s="22" t="s">
        <v>506</v>
      </c>
      <c r="Z4" s="22" t="s">
        <v>515</v>
      </c>
      <c r="AA4" s="22" t="s">
        <v>506</v>
      </c>
      <c r="AB4" s="22" t="s">
        <v>504</v>
      </c>
      <c r="AC4" s="22" t="s">
        <v>504</v>
      </c>
      <c r="AD4" s="22" t="s">
        <v>511</v>
      </c>
      <c r="AE4" s="22" t="s">
        <v>509</v>
      </c>
    </row>
    <row r="5" spans="1:31" ht="20.25" hidden="1" customHeight="1" x14ac:dyDescent="0.15">
      <c r="A5" s="24" t="s">
        <v>628</v>
      </c>
      <c r="B5" s="21">
        <v>3</v>
      </c>
      <c r="C5" s="22" t="s">
        <v>493</v>
      </c>
      <c r="D5" s="22" t="s">
        <v>494</v>
      </c>
      <c r="E5" s="22" t="s">
        <v>516</v>
      </c>
      <c r="F5" s="22" t="s">
        <v>495</v>
      </c>
      <c r="G5" s="22" t="s">
        <v>496</v>
      </c>
      <c r="H5" s="22" t="s">
        <v>517</v>
      </c>
      <c r="I5" s="22" t="s">
        <v>108</v>
      </c>
      <c r="J5" s="22" t="s">
        <v>109</v>
      </c>
      <c r="K5" s="22" t="s">
        <v>498</v>
      </c>
      <c r="L5" s="22" t="s">
        <v>500</v>
      </c>
      <c r="M5" s="22" t="s">
        <v>499</v>
      </c>
      <c r="N5" s="22" t="s">
        <v>496</v>
      </c>
      <c r="O5" s="22"/>
      <c r="P5" s="22"/>
      <c r="Q5" s="22" t="s">
        <v>496</v>
      </c>
      <c r="R5" s="22" t="s">
        <v>496</v>
      </c>
      <c r="S5" s="22" t="s">
        <v>501</v>
      </c>
      <c r="T5" s="22" t="s">
        <v>514</v>
      </c>
      <c r="U5" s="22" t="s">
        <v>501</v>
      </c>
      <c r="V5" s="22" t="s">
        <v>510</v>
      </c>
      <c r="W5" s="22" t="s">
        <v>504</v>
      </c>
      <c r="X5" s="22" t="s">
        <v>518</v>
      </c>
      <c r="Y5" s="22" t="s">
        <v>506</v>
      </c>
      <c r="Z5" s="22" t="s">
        <v>507</v>
      </c>
      <c r="AA5" s="22" t="s">
        <v>506</v>
      </c>
      <c r="AB5" s="22" t="s">
        <v>504</v>
      </c>
      <c r="AC5" s="22" t="s">
        <v>504</v>
      </c>
      <c r="AD5" s="22" t="s">
        <v>511</v>
      </c>
      <c r="AE5" s="22" t="s">
        <v>509</v>
      </c>
    </row>
    <row r="6" spans="1:31" ht="20.25" hidden="1" customHeight="1" x14ac:dyDescent="0.15">
      <c r="A6" s="27" t="s">
        <v>629</v>
      </c>
      <c r="B6" s="21">
        <v>4</v>
      </c>
      <c r="C6" s="22" t="s">
        <v>493</v>
      </c>
      <c r="D6" s="22" t="s">
        <v>494</v>
      </c>
      <c r="E6" s="22" t="s">
        <v>516</v>
      </c>
      <c r="F6" s="22" t="s">
        <v>495</v>
      </c>
      <c r="G6" s="22" t="s">
        <v>496</v>
      </c>
      <c r="H6" s="22" t="s">
        <v>519</v>
      </c>
      <c r="I6" s="22" t="s">
        <v>314</v>
      </c>
      <c r="J6" s="22" t="s">
        <v>315</v>
      </c>
      <c r="K6" s="22" t="s">
        <v>498</v>
      </c>
      <c r="L6" s="22" t="s">
        <v>499</v>
      </c>
      <c r="M6" s="22" t="s">
        <v>498</v>
      </c>
      <c r="N6" s="22" t="s">
        <v>496</v>
      </c>
      <c r="O6" s="22"/>
      <c r="P6" s="22"/>
      <c r="Q6" s="22" t="s">
        <v>496</v>
      </c>
      <c r="R6" s="22" t="s">
        <v>496</v>
      </c>
      <c r="S6" s="22" t="s">
        <v>501</v>
      </c>
      <c r="T6" s="22" t="s">
        <v>520</v>
      </c>
      <c r="U6" s="22" t="s">
        <v>501</v>
      </c>
      <c r="V6" s="22" t="s">
        <v>510</v>
      </c>
      <c r="W6" s="22" t="s">
        <v>504</v>
      </c>
      <c r="X6" s="22" t="s">
        <v>505</v>
      </c>
      <c r="Y6" s="22" t="s">
        <v>506</v>
      </c>
      <c r="Z6" s="22" t="s">
        <v>515</v>
      </c>
      <c r="AA6" s="22" t="s">
        <v>506</v>
      </c>
      <c r="AB6" s="22" t="s">
        <v>504</v>
      </c>
      <c r="AC6" s="22" t="s">
        <v>504</v>
      </c>
      <c r="AD6" s="22" t="s">
        <v>511</v>
      </c>
      <c r="AE6" s="22" t="s">
        <v>509</v>
      </c>
    </row>
    <row r="7" spans="1:31" ht="20.25" hidden="1" customHeight="1" x14ac:dyDescent="0.15">
      <c r="A7" s="27" t="s">
        <v>629</v>
      </c>
      <c r="B7" s="21">
        <v>5</v>
      </c>
      <c r="C7" s="22" t="s">
        <v>493</v>
      </c>
      <c r="D7" s="22" t="s">
        <v>494</v>
      </c>
      <c r="E7" s="22" t="s">
        <v>516</v>
      </c>
      <c r="F7" s="22" t="s">
        <v>495</v>
      </c>
      <c r="G7" s="22" t="s">
        <v>496</v>
      </c>
      <c r="H7" s="22" t="s">
        <v>521</v>
      </c>
      <c r="I7" s="22" t="s">
        <v>242</v>
      </c>
      <c r="J7" s="22" t="s">
        <v>243</v>
      </c>
      <c r="K7" s="22" t="s">
        <v>498</v>
      </c>
      <c r="L7" s="22" t="s">
        <v>499</v>
      </c>
      <c r="M7" s="22" t="s">
        <v>522</v>
      </c>
      <c r="N7" s="22" t="s">
        <v>496</v>
      </c>
      <c r="O7" s="22"/>
      <c r="P7" s="22"/>
      <c r="Q7" s="22" t="s">
        <v>496</v>
      </c>
      <c r="R7" s="22" t="s">
        <v>496</v>
      </c>
      <c r="S7" s="22" t="s">
        <v>501</v>
      </c>
      <c r="T7" s="22" t="s">
        <v>523</v>
      </c>
      <c r="U7" s="22" t="s">
        <v>501</v>
      </c>
      <c r="V7" s="22" t="s">
        <v>510</v>
      </c>
      <c r="W7" s="22" t="s">
        <v>504</v>
      </c>
      <c r="X7" s="22" t="s">
        <v>505</v>
      </c>
      <c r="Y7" s="22" t="s">
        <v>506</v>
      </c>
      <c r="Z7" s="22" t="s">
        <v>515</v>
      </c>
      <c r="AA7" s="22" t="s">
        <v>506</v>
      </c>
      <c r="AB7" s="22" t="s">
        <v>504</v>
      </c>
      <c r="AC7" s="22" t="s">
        <v>504</v>
      </c>
      <c r="AD7" s="22" t="s">
        <v>511</v>
      </c>
      <c r="AE7" s="22" t="s">
        <v>509</v>
      </c>
    </row>
    <row r="8" spans="1:31" ht="20.25" hidden="1" customHeight="1" x14ac:dyDescent="0.15">
      <c r="A8" s="27" t="s">
        <v>627</v>
      </c>
      <c r="B8" s="21">
        <v>6</v>
      </c>
      <c r="C8" s="22" t="s">
        <v>493</v>
      </c>
      <c r="D8" s="22" t="s">
        <v>512</v>
      </c>
      <c r="E8" s="22" t="s">
        <v>494</v>
      </c>
      <c r="F8" s="22" t="s">
        <v>495</v>
      </c>
      <c r="G8" s="22" t="s">
        <v>496</v>
      </c>
      <c r="H8" s="22" t="s">
        <v>524</v>
      </c>
      <c r="I8" s="22" t="s">
        <v>292</v>
      </c>
      <c r="J8" s="22" t="s">
        <v>293</v>
      </c>
      <c r="K8" s="22" t="s">
        <v>498</v>
      </c>
      <c r="L8" s="22" t="s">
        <v>498</v>
      </c>
      <c r="M8" s="22" t="s">
        <v>499</v>
      </c>
      <c r="N8" s="22" t="s">
        <v>496</v>
      </c>
      <c r="O8" s="22"/>
      <c r="P8" s="22"/>
      <c r="Q8" s="22" t="s">
        <v>496</v>
      </c>
      <c r="R8" s="22" t="s">
        <v>496</v>
      </c>
      <c r="S8" s="22" t="s">
        <v>501</v>
      </c>
      <c r="T8" s="22" t="s">
        <v>514</v>
      </c>
      <c r="U8" s="22" t="s">
        <v>501</v>
      </c>
      <c r="V8" s="22" t="s">
        <v>510</v>
      </c>
      <c r="W8" s="22" t="s">
        <v>504</v>
      </c>
      <c r="X8" s="22" t="s">
        <v>504</v>
      </c>
      <c r="Y8" s="22" t="s">
        <v>506</v>
      </c>
      <c r="Z8" s="22" t="s">
        <v>515</v>
      </c>
      <c r="AA8" s="22" t="s">
        <v>506</v>
      </c>
      <c r="AB8" s="22" t="s">
        <v>504</v>
      </c>
      <c r="AC8" s="22" t="s">
        <v>504</v>
      </c>
      <c r="AD8" s="22" t="s">
        <v>511</v>
      </c>
      <c r="AE8" s="22" t="s">
        <v>509</v>
      </c>
    </row>
    <row r="9" spans="1:31" ht="20.25" hidden="1" customHeight="1" x14ac:dyDescent="0.15">
      <c r="A9" s="27" t="s">
        <v>627</v>
      </c>
      <c r="B9" s="21">
        <v>6</v>
      </c>
      <c r="C9" s="22" t="s">
        <v>493</v>
      </c>
      <c r="D9" s="22" t="s">
        <v>512</v>
      </c>
      <c r="E9" s="22" t="s">
        <v>494</v>
      </c>
      <c r="F9" s="22" t="s">
        <v>495</v>
      </c>
      <c r="G9" s="22" t="s">
        <v>496</v>
      </c>
      <c r="H9" s="22" t="s">
        <v>524</v>
      </c>
      <c r="I9" s="22" t="s">
        <v>292</v>
      </c>
      <c r="J9" s="22" t="s">
        <v>293</v>
      </c>
      <c r="K9" s="22" t="s">
        <v>498</v>
      </c>
      <c r="L9" s="22" t="s">
        <v>498</v>
      </c>
      <c r="M9" s="22" t="s">
        <v>499</v>
      </c>
      <c r="N9" s="22" t="s">
        <v>496</v>
      </c>
      <c r="O9" s="22"/>
      <c r="P9" s="22"/>
      <c r="Q9" s="22" t="s">
        <v>496</v>
      </c>
      <c r="R9" s="22" t="s">
        <v>496</v>
      </c>
      <c r="S9" s="22" t="s">
        <v>501</v>
      </c>
      <c r="T9" s="22" t="s">
        <v>514</v>
      </c>
      <c r="U9" s="22" t="s">
        <v>514</v>
      </c>
      <c r="V9" s="22" t="s">
        <v>503</v>
      </c>
      <c r="W9" s="22" t="s">
        <v>504</v>
      </c>
      <c r="X9" s="22" t="s">
        <v>505</v>
      </c>
      <c r="Y9" s="22" t="s">
        <v>506</v>
      </c>
      <c r="Z9" s="22" t="s">
        <v>515</v>
      </c>
      <c r="AA9" s="22" t="s">
        <v>506</v>
      </c>
      <c r="AB9" s="22" t="s">
        <v>504</v>
      </c>
      <c r="AC9" s="22" t="s">
        <v>504</v>
      </c>
      <c r="AD9" s="22" t="s">
        <v>508</v>
      </c>
      <c r="AE9" s="22" t="s">
        <v>509</v>
      </c>
    </row>
    <row r="10" spans="1:31" ht="20.25" hidden="1" customHeight="1" x14ac:dyDescent="0.15">
      <c r="A10" s="27" t="s">
        <v>629</v>
      </c>
      <c r="B10" s="21">
        <v>7</v>
      </c>
      <c r="C10" s="22" t="s">
        <v>493</v>
      </c>
      <c r="D10" s="22" t="s">
        <v>512</v>
      </c>
      <c r="E10" s="22" t="s">
        <v>512</v>
      </c>
      <c r="F10" s="22" t="s">
        <v>495</v>
      </c>
      <c r="G10" s="22" t="s">
        <v>496</v>
      </c>
      <c r="H10" s="22" t="s">
        <v>525</v>
      </c>
      <c r="I10" s="22" t="s">
        <v>386</v>
      </c>
      <c r="J10" s="22" t="s">
        <v>387</v>
      </c>
      <c r="K10" s="22" t="s">
        <v>498</v>
      </c>
      <c r="L10" s="22" t="s">
        <v>498</v>
      </c>
      <c r="M10" s="22" t="s">
        <v>498</v>
      </c>
      <c r="N10" s="22" t="s">
        <v>496</v>
      </c>
      <c r="O10" s="22"/>
      <c r="P10" s="22"/>
      <c r="Q10" s="22" t="s">
        <v>496</v>
      </c>
      <c r="R10" s="22" t="s">
        <v>496</v>
      </c>
      <c r="S10" s="22" t="s">
        <v>501</v>
      </c>
      <c r="T10" s="22" t="s">
        <v>520</v>
      </c>
      <c r="U10" s="22" t="s">
        <v>501</v>
      </c>
      <c r="V10" s="22" t="s">
        <v>510</v>
      </c>
      <c r="W10" s="22" t="s">
        <v>504</v>
      </c>
      <c r="X10" s="22" t="s">
        <v>504</v>
      </c>
      <c r="Y10" s="22" t="s">
        <v>506</v>
      </c>
      <c r="Z10" s="22" t="s">
        <v>526</v>
      </c>
      <c r="AA10" s="22" t="s">
        <v>506</v>
      </c>
      <c r="AB10" s="22" t="s">
        <v>504</v>
      </c>
      <c r="AC10" s="22" t="s">
        <v>504</v>
      </c>
      <c r="AD10" s="22" t="s">
        <v>511</v>
      </c>
      <c r="AE10" s="22" t="s">
        <v>509</v>
      </c>
    </row>
    <row r="11" spans="1:31" ht="20.25" hidden="1" customHeight="1" x14ac:dyDescent="0.15">
      <c r="A11" s="27" t="s">
        <v>629</v>
      </c>
      <c r="B11" s="21">
        <v>8</v>
      </c>
      <c r="C11" s="22" t="s">
        <v>493</v>
      </c>
      <c r="D11" s="22" t="s">
        <v>512</v>
      </c>
      <c r="E11" s="22" t="s">
        <v>516</v>
      </c>
      <c r="F11" s="22" t="s">
        <v>495</v>
      </c>
      <c r="G11" s="22" t="s">
        <v>496</v>
      </c>
      <c r="H11" s="22" t="s">
        <v>527</v>
      </c>
      <c r="I11" s="22" t="s">
        <v>406</v>
      </c>
      <c r="J11" s="22" t="s">
        <v>407</v>
      </c>
      <c r="K11" s="22" t="s">
        <v>498</v>
      </c>
      <c r="L11" s="22" t="s">
        <v>498</v>
      </c>
      <c r="M11" s="22" t="s">
        <v>522</v>
      </c>
      <c r="N11" s="22" t="s">
        <v>496</v>
      </c>
      <c r="O11" s="22"/>
      <c r="P11" s="22"/>
      <c r="Q11" s="22" t="s">
        <v>496</v>
      </c>
      <c r="R11" s="22" t="s">
        <v>496</v>
      </c>
      <c r="S11" s="22" t="s">
        <v>501</v>
      </c>
      <c r="T11" s="22" t="s">
        <v>523</v>
      </c>
      <c r="U11" s="22" t="s">
        <v>501</v>
      </c>
      <c r="V11" s="22" t="s">
        <v>510</v>
      </c>
      <c r="W11" s="22" t="s">
        <v>504</v>
      </c>
      <c r="X11" s="22" t="s">
        <v>504</v>
      </c>
      <c r="Y11" s="22" t="s">
        <v>506</v>
      </c>
      <c r="Z11" s="22" t="s">
        <v>526</v>
      </c>
      <c r="AA11" s="22" t="s">
        <v>506</v>
      </c>
      <c r="AB11" s="22" t="s">
        <v>504</v>
      </c>
      <c r="AC11" s="22" t="s">
        <v>504</v>
      </c>
      <c r="AD11" s="22" t="s">
        <v>511</v>
      </c>
      <c r="AE11" s="22" t="s">
        <v>509</v>
      </c>
    </row>
    <row r="12" spans="1:31" ht="20.25" hidden="1" customHeight="1" x14ac:dyDescent="0.15">
      <c r="A12" s="27" t="s">
        <v>627</v>
      </c>
      <c r="B12" s="21">
        <v>9</v>
      </c>
      <c r="C12" s="22" t="s">
        <v>493</v>
      </c>
      <c r="D12" s="22" t="s">
        <v>516</v>
      </c>
      <c r="E12" s="22" t="s">
        <v>494</v>
      </c>
      <c r="F12" s="22" t="s">
        <v>495</v>
      </c>
      <c r="G12" s="22" t="s">
        <v>496</v>
      </c>
      <c r="H12" s="22" t="s">
        <v>528</v>
      </c>
      <c r="I12" s="22" t="s">
        <v>222</v>
      </c>
      <c r="J12" s="22" t="s">
        <v>223</v>
      </c>
      <c r="K12" s="22" t="s">
        <v>498</v>
      </c>
      <c r="L12" s="22" t="s">
        <v>498</v>
      </c>
      <c r="M12" s="22" t="s">
        <v>499</v>
      </c>
      <c r="N12" s="22" t="s">
        <v>496</v>
      </c>
      <c r="O12" s="22"/>
      <c r="P12" s="22"/>
      <c r="Q12" s="22" t="s">
        <v>496</v>
      </c>
      <c r="R12" s="22" t="s">
        <v>496</v>
      </c>
      <c r="S12" s="22" t="s">
        <v>501</v>
      </c>
      <c r="T12" s="22" t="s">
        <v>514</v>
      </c>
      <c r="U12" s="22" t="s">
        <v>501</v>
      </c>
      <c r="V12" s="22" t="s">
        <v>510</v>
      </c>
      <c r="W12" s="22" t="s">
        <v>504</v>
      </c>
      <c r="X12" s="22" t="s">
        <v>504</v>
      </c>
      <c r="Y12" s="22" t="s">
        <v>506</v>
      </c>
      <c r="Z12" s="22" t="s">
        <v>515</v>
      </c>
      <c r="AA12" s="22" t="s">
        <v>506</v>
      </c>
      <c r="AB12" s="22" t="s">
        <v>504</v>
      </c>
      <c r="AC12" s="22" t="s">
        <v>504</v>
      </c>
      <c r="AD12" s="22" t="s">
        <v>511</v>
      </c>
      <c r="AE12" s="22" t="s">
        <v>509</v>
      </c>
    </row>
    <row r="13" spans="1:31" ht="20.25" hidden="1" customHeight="1" x14ac:dyDescent="0.15">
      <c r="A13" s="27" t="s">
        <v>627</v>
      </c>
      <c r="B13" s="21">
        <v>9</v>
      </c>
      <c r="C13" s="22" t="s">
        <v>493</v>
      </c>
      <c r="D13" s="22" t="s">
        <v>516</v>
      </c>
      <c r="E13" s="22" t="s">
        <v>494</v>
      </c>
      <c r="F13" s="22" t="s">
        <v>495</v>
      </c>
      <c r="G13" s="22" t="s">
        <v>496</v>
      </c>
      <c r="H13" s="22" t="s">
        <v>528</v>
      </c>
      <c r="I13" s="22" t="s">
        <v>222</v>
      </c>
      <c r="J13" s="22" t="s">
        <v>223</v>
      </c>
      <c r="K13" s="22" t="s">
        <v>498</v>
      </c>
      <c r="L13" s="22" t="s">
        <v>498</v>
      </c>
      <c r="M13" s="22" t="s">
        <v>499</v>
      </c>
      <c r="N13" s="22" t="s">
        <v>496</v>
      </c>
      <c r="O13" s="22"/>
      <c r="P13" s="22"/>
      <c r="Q13" s="22" t="s">
        <v>496</v>
      </c>
      <c r="R13" s="22" t="s">
        <v>496</v>
      </c>
      <c r="S13" s="22" t="s">
        <v>501</v>
      </c>
      <c r="T13" s="22" t="s">
        <v>514</v>
      </c>
      <c r="U13" s="22" t="s">
        <v>514</v>
      </c>
      <c r="V13" s="22" t="s">
        <v>503</v>
      </c>
      <c r="W13" s="22" t="s">
        <v>504</v>
      </c>
      <c r="X13" s="22" t="s">
        <v>505</v>
      </c>
      <c r="Y13" s="22" t="s">
        <v>506</v>
      </c>
      <c r="Z13" s="22" t="s">
        <v>515</v>
      </c>
      <c r="AA13" s="22" t="s">
        <v>506</v>
      </c>
      <c r="AB13" s="22" t="s">
        <v>504</v>
      </c>
      <c r="AC13" s="22" t="s">
        <v>504</v>
      </c>
      <c r="AD13" s="22" t="s">
        <v>508</v>
      </c>
      <c r="AE13" s="22" t="s">
        <v>509</v>
      </c>
    </row>
    <row r="14" spans="1:31" ht="20.25" hidden="1" customHeight="1" x14ac:dyDescent="0.15">
      <c r="A14" s="27" t="s">
        <v>630</v>
      </c>
      <c r="B14" s="21">
        <v>10</v>
      </c>
      <c r="C14" s="22" t="s">
        <v>493</v>
      </c>
      <c r="D14" s="22" t="s">
        <v>516</v>
      </c>
      <c r="E14" s="22" t="s">
        <v>494</v>
      </c>
      <c r="F14" s="22" t="s">
        <v>495</v>
      </c>
      <c r="G14" s="22" t="s">
        <v>496</v>
      </c>
      <c r="H14" s="22" t="s">
        <v>529</v>
      </c>
      <c r="I14" s="22" t="s">
        <v>110</v>
      </c>
      <c r="J14" s="22" t="s">
        <v>111</v>
      </c>
      <c r="K14" s="22" t="s">
        <v>498</v>
      </c>
      <c r="L14" s="22" t="s">
        <v>522</v>
      </c>
      <c r="M14" s="22" t="s">
        <v>498</v>
      </c>
      <c r="N14" s="22" t="s">
        <v>496</v>
      </c>
      <c r="O14" s="22"/>
      <c r="P14" s="22"/>
      <c r="Q14" s="22" t="s">
        <v>496</v>
      </c>
      <c r="R14" s="22" t="s">
        <v>496</v>
      </c>
      <c r="S14" s="22" t="s">
        <v>501</v>
      </c>
      <c r="T14" s="22" t="s">
        <v>520</v>
      </c>
      <c r="U14" s="22" t="s">
        <v>496</v>
      </c>
      <c r="V14" s="22" t="s">
        <v>496</v>
      </c>
      <c r="W14" s="22" t="s">
        <v>496</v>
      </c>
      <c r="X14" s="22" t="s">
        <v>496</v>
      </c>
      <c r="Y14" s="22" t="s">
        <v>496</v>
      </c>
      <c r="Z14" s="22" t="s">
        <v>526</v>
      </c>
      <c r="AA14" s="22" t="s">
        <v>506</v>
      </c>
      <c r="AB14" s="22" t="s">
        <v>504</v>
      </c>
      <c r="AC14" s="22" t="s">
        <v>504</v>
      </c>
      <c r="AD14" s="22" t="s">
        <v>496</v>
      </c>
      <c r="AE14" s="22" t="s">
        <v>496</v>
      </c>
    </row>
    <row r="15" spans="1:31" ht="20.25" hidden="1" customHeight="1" x14ac:dyDescent="0.15">
      <c r="A15" s="27" t="s">
        <v>630</v>
      </c>
      <c r="B15" s="21">
        <v>11</v>
      </c>
      <c r="C15" s="22" t="s">
        <v>493</v>
      </c>
      <c r="D15" s="22" t="s">
        <v>516</v>
      </c>
      <c r="E15" s="22" t="s">
        <v>494</v>
      </c>
      <c r="F15" s="22" t="s">
        <v>495</v>
      </c>
      <c r="G15" s="22" t="s">
        <v>496</v>
      </c>
      <c r="H15" s="22" t="s">
        <v>530</v>
      </c>
      <c r="I15" s="22" t="s">
        <v>130</v>
      </c>
      <c r="J15" s="22" t="s">
        <v>131</v>
      </c>
      <c r="K15" s="22" t="s">
        <v>498</v>
      </c>
      <c r="L15" s="22" t="s">
        <v>531</v>
      </c>
      <c r="M15" s="22" t="s">
        <v>522</v>
      </c>
      <c r="N15" s="22" t="s">
        <v>496</v>
      </c>
      <c r="O15" s="22"/>
      <c r="P15" s="22"/>
      <c r="Q15" s="22" t="s">
        <v>496</v>
      </c>
      <c r="R15" s="22" t="s">
        <v>496</v>
      </c>
      <c r="S15" s="22" t="s">
        <v>501</v>
      </c>
      <c r="T15" s="22" t="s">
        <v>523</v>
      </c>
      <c r="U15" s="22" t="s">
        <v>496</v>
      </c>
      <c r="V15" s="22" t="s">
        <v>496</v>
      </c>
      <c r="W15" s="22" t="s">
        <v>496</v>
      </c>
      <c r="X15" s="22" t="s">
        <v>496</v>
      </c>
      <c r="Y15" s="22" t="s">
        <v>496</v>
      </c>
      <c r="Z15" s="22" t="s">
        <v>526</v>
      </c>
      <c r="AA15" s="22" t="s">
        <v>506</v>
      </c>
      <c r="AB15" s="22" t="s">
        <v>504</v>
      </c>
      <c r="AC15" s="22" t="s">
        <v>504</v>
      </c>
      <c r="AD15" s="22" t="s">
        <v>496</v>
      </c>
      <c r="AE15" s="22" t="s">
        <v>496</v>
      </c>
    </row>
    <row r="16" spans="1:31" ht="20.25" hidden="1" customHeight="1" x14ac:dyDescent="0.15">
      <c r="A16" s="27" t="s">
        <v>630</v>
      </c>
      <c r="B16" s="21">
        <v>12</v>
      </c>
      <c r="C16" s="22" t="s">
        <v>493</v>
      </c>
      <c r="D16" s="22" t="s">
        <v>516</v>
      </c>
      <c r="E16" s="22" t="s">
        <v>512</v>
      </c>
      <c r="F16" s="22" t="s">
        <v>495</v>
      </c>
      <c r="G16" s="22" t="s">
        <v>496</v>
      </c>
      <c r="H16" s="22" t="s">
        <v>532</v>
      </c>
      <c r="I16" s="22" t="s">
        <v>192</v>
      </c>
      <c r="J16" s="22" t="s">
        <v>193</v>
      </c>
      <c r="K16" s="22" t="s">
        <v>498</v>
      </c>
      <c r="L16" s="22" t="s">
        <v>522</v>
      </c>
      <c r="M16" s="22" t="s">
        <v>522</v>
      </c>
      <c r="N16" s="22" t="s">
        <v>496</v>
      </c>
      <c r="O16" s="22"/>
      <c r="P16" s="22"/>
      <c r="Q16" s="22" t="s">
        <v>496</v>
      </c>
      <c r="R16" s="22" t="s">
        <v>496</v>
      </c>
      <c r="S16" s="22" t="s">
        <v>501</v>
      </c>
      <c r="T16" s="22" t="s">
        <v>523</v>
      </c>
      <c r="U16" s="22" t="s">
        <v>496</v>
      </c>
      <c r="V16" s="22" t="s">
        <v>496</v>
      </c>
      <c r="W16" s="22" t="s">
        <v>496</v>
      </c>
      <c r="X16" s="22" t="s">
        <v>496</v>
      </c>
      <c r="Y16" s="22" t="s">
        <v>496</v>
      </c>
      <c r="Z16" s="22" t="s">
        <v>526</v>
      </c>
      <c r="AA16" s="22" t="s">
        <v>506</v>
      </c>
      <c r="AB16" s="22" t="s">
        <v>504</v>
      </c>
      <c r="AC16" s="22" t="s">
        <v>504</v>
      </c>
      <c r="AD16" s="22" t="s">
        <v>496</v>
      </c>
      <c r="AE16" s="22" t="s">
        <v>496</v>
      </c>
    </row>
    <row r="17" spans="1:31" ht="20.25" hidden="1" customHeight="1" x14ac:dyDescent="0.15">
      <c r="A17" s="27" t="s">
        <v>630</v>
      </c>
      <c r="B17" s="21">
        <v>13</v>
      </c>
      <c r="C17" s="22" t="s">
        <v>493</v>
      </c>
      <c r="D17" s="22" t="s">
        <v>516</v>
      </c>
      <c r="E17" s="22" t="s">
        <v>516</v>
      </c>
      <c r="F17" s="22" t="s">
        <v>495</v>
      </c>
      <c r="G17" s="22" t="s">
        <v>496</v>
      </c>
      <c r="H17" s="22" t="s">
        <v>533</v>
      </c>
      <c r="I17" s="22" t="s">
        <v>190</v>
      </c>
      <c r="J17" s="22" t="s">
        <v>191</v>
      </c>
      <c r="K17" s="22" t="s">
        <v>498</v>
      </c>
      <c r="L17" s="22" t="s">
        <v>531</v>
      </c>
      <c r="M17" s="22" t="s">
        <v>531</v>
      </c>
      <c r="N17" s="22" t="s">
        <v>496</v>
      </c>
      <c r="O17" s="22"/>
      <c r="P17" s="22"/>
      <c r="Q17" s="22" t="s">
        <v>496</v>
      </c>
      <c r="R17" s="22" t="s">
        <v>496</v>
      </c>
      <c r="S17" s="22" t="s">
        <v>501</v>
      </c>
      <c r="T17" s="22" t="s">
        <v>534</v>
      </c>
      <c r="U17" s="22" t="s">
        <v>496</v>
      </c>
      <c r="V17" s="22" t="s">
        <v>496</v>
      </c>
      <c r="W17" s="22" t="s">
        <v>496</v>
      </c>
      <c r="X17" s="22" t="s">
        <v>496</v>
      </c>
      <c r="Y17" s="22" t="s">
        <v>496</v>
      </c>
      <c r="Z17" s="22" t="s">
        <v>526</v>
      </c>
      <c r="AA17" s="22" t="s">
        <v>506</v>
      </c>
      <c r="AB17" s="22" t="s">
        <v>504</v>
      </c>
      <c r="AC17" s="22" t="s">
        <v>504</v>
      </c>
      <c r="AD17" s="22" t="s">
        <v>496</v>
      </c>
      <c r="AE17" s="22" t="s">
        <v>496</v>
      </c>
    </row>
    <row r="18" spans="1:31" ht="20.25" hidden="1" customHeight="1" x14ac:dyDescent="0.15">
      <c r="A18" s="24" t="s">
        <v>627</v>
      </c>
      <c r="B18" s="21">
        <v>14</v>
      </c>
      <c r="C18" s="22" t="s">
        <v>535</v>
      </c>
      <c r="D18" s="22" t="s">
        <v>494</v>
      </c>
      <c r="E18" s="22" t="s">
        <v>494</v>
      </c>
      <c r="F18" s="22" t="s">
        <v>495</v>
      </c>
      <c r="G18" s="22" t="s">
        <v>496</v>
      </c>
      <c r="H18" s="22" t="s">
        <v>497</v>
      </c>
      <c r="I18" s="22" t="s">
        <v>196</v>
      </c>
      <c r="J18" s="22" t="s">
        <v>197</v>
      </c>
      <c r="K18" s="22" t="s">
        <v>498</v>
      </c>
      <c r="L18" s="22" t="s">
        <v>536</v>
      </c>
      <c r="M18" s="22" t="s">
        <v>500</v>
      </c>
      <c r="N18" s="22" t="s">
        <v>496</v>
      </c>
      <c r="O18" s="22"/>
      <c r="P18" s="22"/>
      <c r="Q18" s="22" t="s">
        <v>496</v>
      </c>
      <c r="R18" s="22" t="s">
        <v>496</v>
      </c>
      <c r="S18" s="22" t="s">
        <v>501</v>
      </c>
      <c r="T18" s="22" t="s">
        <v>502</v>
      </c>
      <c r="U18" s="22" t="s">
        <v>501</v>
      </c>
      <c r="V18" s="22" t="s">
        <v>510</v>
      </c>
      <c r="W18" s="22" t="s">
        <v>504</v>
      </c>
      <c r="X18" s="22" t="s">
        <v>505</v>
      </c>
      <c r="Y18" s="22" t="s">
        <v>506</v>
      </c>
      <c r="Z18" s="22" t="s">
        <v>507</v>
      </c>
      <c r="AA18" s="22" t="s">
        <v>506</v>
      </c>
      <c r="AB18" s="22" t="s">
        <v>504</v>
      </c>
      <c r="AC18" s="22" t="s">
        <v>504</v>
      </c>
      <c r="AD18" s="22" t="s">
        <v>511</v>
      </c>
      <c r="AE18" s="22" t="s">
        <v>509</v>
      </c>
    </row>
    <row r="19" spans="1:31" ht="20.25" hidden="1" customHeight="1" x14ac:dyDescent="0.15">
      <c r="A19" s="24" t="s">
        <v>627</v>
      </c>
      <c r="B19" s="21">
        <v>14</v>
      </c>
      <c r="C19" s="22" t="s">
        <v>535</v>
      </c>
      <c r="D19" s="22" t="s">
        <v>494</v>
      </c>
      <c r="E19" s="22" t="s">
        <v>494</v>
      </c>
      <c r="F19" s="22" t="s">
        <v>495</v>
      </c>
      <c r="G19" s="22" t="s">
        <v>496</v>
      </c>
      <c r="H19" s="22" t="s">
        <v>497</v>
      </c>
      <c r="I19" s="22" t="s">
        <v>196</v>
      </c>
      <c r="J19" s="22" t="s">
        <v>197</v>
      </c>
      <c r="K19" s="22" t="s">
        <v>498</v>
      </c>
      <c r="L19" s="22" t="s">
        <v>536</v>
      </c>
      <c r="M19" s="22" t="s">
        <v>500</v>
      </c>
      <c r="N19" s="22" t="s">
        <v>496</v>
      </c>
      <c r="O19" s="22"/>
      <c r="P19" s="22"/>
      <c r="Q19" s="22" t="s">
        <v>496</v>
      </c>
      <c r="R19" s="22" t="s">
        <v>496</v>
      </c>
      <c r="S19" s="22" t="s">
        <v>501</v>
      </c>
      <c r="T19" s="22" t="s">
        <v>502</v>
      </c>
      <c r="U19" s="22" t="s">
        <v>502</v>
      </c>
      <c r="V19" s="22" t="s">
        <v>503</v>
      </c>
      <c r="W19" s="22" t="s">
        <v>504</v>
      </c>
      <c r="X19" s="22" t="s">
        <v>505</v>
      </c>
      <c r="Y19" s="22" t="s">
        <v>506</v>
      </c>
      <c r="Z19" s="22" t="s">
        <v>507</v>
      </c>
      <c r="AA19" s="22" t="s">
        <v>506</v>
      </c>
      <c r="AB19" s="22" t="s">
        <v>504</v>
      </c>
      <c r="AC19" s="22" t="s">
        <v>504</v>
      </c>
      <c r="AD19" s="22" t="s">
        <v>508</v>
      </c>
      <c r="AE19" s="22" t="s">
        <v>509</v>
      </c>
    </row>
    <row r="20" spans="1:31" ht="20.25" hidden="1" customHeight="1" x14ac:dyDescent="0.15">
      <c r="A20" s="24" t="s">
        <v>628</v>
      </c>
      <c r="B20" s="21">
        <v>15</v>
      </c>
      <c r="C20" s="22" t="s">
        <v>535</v>
      </c>
      <c r="D20" s="22" t="s">
        <v>494</v>
      </c>
      <c r="E20" s="22" t="s">
        <v>512</v>
      </c>
      <c r="F20" s="22" t="s">
        <v>495</v>
      </c>
      <c r="G20" s="22" t="s">
        <v>496</v>
      </c>
      <c r="H20" s="22" t="s">
        <v>513</v>
      </c>
      <c r="I20" s="22" t="s">
        <v>198</v>
      </c>
      <c r="J20" s="22" t="s">
        <v>199</v>
      </c>
      <c r="K20" s="22" t="s">
        <v>498</v>
      </c>
      <c r="L20" s="22" t="s">
        <v>536</v>
      </c>
      <c r="M20" s="22" t="s">
        <v>499</v>
      </c>
      <c r="N20" s="22" t="s">
        <v>496</v>
      </c>
      <c r="O20" s="22"/>
      <c r="P20" s="22"/>
      <c r="Q20" s="22" t="s">
        <v>496</v>
      </c>
      <c r="R20" s="22" t="s">
        <v>496</v>
      </c>
      <c r="S20" s="22" t="s">
        <v>501</v>
      </c>
      <c r="T20" s="22" t="s">
        <v>514</v>
      </c>
      <c r="U20" s="22" t="s">
        <v>501</v>
      </c>
      <c r="V20" s="22" t="s">
        <v>510</v>
      </c>
      <c r="W20" s="22" t="s">
        <v>504</v>
      </c>
      <c r="X20" s="22" t="s">
        <v>505</v>
      </c>
      <c r="Y20" s="22" t="s">
        <v>506</v>
      </c>
      <c r="Z20" s="22" t="s">
        <v>515</v>
      </c>
      <c r="AA20" s="22" t="s">
        <v>506</v>
      </c>
      <c r="AB20" s="22" t="s">
        <v>504</v>
      </c>
      <c r="AC20" s="22" t="s">
        <v>504</v>
      </c>
      <c r="AD20" s="22" t="s">
        <v>511</v>
      </c>
      <c r="AE20" s="22" t="s">
        <v>509</v>
      </c>
    </row>
    <row r="21" spans="1:31" ht="20.25" hidden="1" customHeight="1" x14ac:dyDescent="0.15">
      <c r="A21" s="24" t="s">
        <v>628</v>
      </c>
      <c r="B21" s="21">
        <v>16</v>
      </c>
      <c r="C21" s="22" t="s">
        <v>535</v>
      </c>
      <c r="D21" s="22" t="s">
        <v>494</v>
      </c>
      <c r="E21" s="22" t="s">
        <v>516</v>
      </c>
      <c r="F21" s="22" t="s">
        <v>495</v>
      </c>
      <c r="G21" s="22" t="s">
        <v>496</v>
      </c>
      <c r="H21" s="22" t="s">
        <v>517</v>
      </c>
      <c r="I21" s="22" t="s">
        <v>184</v>
      </c>
      <c r="J21" s="22" t="s">
        <v>185</v>
      </c>
      <c r="K21" s="22" t="s">
        <v>498</v>
      </c>
      <c r="L21" s="22" t="s">
        <v>536</v>
      </c>
      <c r="M21" s="22" t="s">
        <v>499</v>
      </c>
      <c r="N21" s="22" t="s">
        <v>496</v>
      </c>
      <c r="O21" s="22"/>
      <c r="P21" s="22"/>
      <c r="Q21" s="22" t="s">
        <v>496</v>
      </c>
      <c r="R21" s="22" t="s">
        <v>496</v>
      </c>
      <c r="S21" s="22" t="s">
        <v>501</v>
      </c>
      <c r="T21" s="22" t="s">
        <v>514</v>
      </c>
      <c r="U21" s="22" t="s">
        <v>501</v>
      </c>
      <c r="V21" s="22" t="s">
        <v>510</v>
      </c>
      <c r="W21" s="22" t="s">
        <v>504</v>
      </c>
      <c r="X21" s="22" t="s">
        <v>505</v>
      </c>
      <c r="Y21" s="22" t="s">
        <v>506</v>
      </c>
      <c r="Z21" s="22" t="s">
        <v>515</v>
      </c>
      <c r="AA21" s="22" t="s">
        <v>506</v>
      </c>
      <c r="AB21" s="22" t="s">
        <v>504</v>
      </c>
      <c r="AC21" s="22" t="s">
        <v>504</v>
      </c>
      <c r="AD21" s="22" t="s">
        <v>511</v>
      </c>
      <c r="AE21" s="22" t="s">
        <v>509</v>
      </c>
    </row>
    <row r="22" spans="1:31" ht="20.25" hidden="1" customHeight="1" x14ac:dyDescent="0.15">
      <c r="A22" s="27" t="s">
        <v>629</v>
      </c>
      <c r="B22" s="21">
        <v>17</v>
      </c>
      <c r="C22" s="22" t="s">
        <v>535</v>
      </c>
      <c r="D22" s="22" t="s">
        <v>494</v>
      </c>
      <c r="E22" s="22" t="s">
        <v>516</v>
      </c>
      <c r="F22" s="22" t="s">
        <v>495</v>
      </c>
      <c r="G22" s="22" t="s">
        <v>496</v>
      </c>
      <c r="H22" s="22" t="s">
        <v>519</v>
      </c>
      <c r="I22" s="22" t="s">
        <v>194</v>
      </c>
      <c r="J22" s="22" t="s">
        <v>195</v>
      </c>
      <c r="K22" s="22" t="s">
        <v>498</v>
      </c>
      <c r="L22" s="22" t="s">
        <v>536</v>
      </c>
      <c r="M22" s="22" t="s">
        <v>498</v>
      </c>
      <c r="N22" s="22" t="s">
        <v>496</v>
      </c>
      <c r="O22" s="22"/>
      <c r="P22" s="22"/>
      <c r="Q22" s="22" t="s">
        <v>496</v>
      </c>
      <c r="R22" s="22" t="s">
        <v>496</v>
      </c>
      <c r="S22" s="22" t="s">
        <v>501</v>
      </c>
      <c r="T22" s="22" t="s">
        <v>520</v>
      </c>
      <c r="U22" s="22" t="s">
        <v>501</v>
      </c>
      <c r="V22" s="22" t="s">
        <v>510</v>
      </c>
      <c r="W22" s="22" t="s">
        <v>504</v>
      </c>
      <c r="X22" s="22" t="s">
        <v>505</v>
      </c>
      <c r="Y22" s="22" t="s">
        <v>506</v>
      </c>
      <c r="Z22" s="22" t="s">
        <v>515</v>
      </c>
      <c r="AA22" s="22" t="s">
        <v>506</v>
      </c>
      <c r="AB22" s="22" t="s">
        <v>504</v>
      </c>
      <c r="AC22" s="22" t="s">
        <v>504</v>
      </c>
      <c r="AD22" s="22" t="s">
        <v>511</v>
      </c>
      <c r="AE22" s="22" t="s">
        <v>509</v>
      </c>
    </row>
    <row r="23" spans="1:31" ht="20.25" hidden="1" customHeight="1" x14ac:dyDescent="0.15">
      <c r="A23" s="27" t="s">
        <v>629</v>
      </c>
      <c r="B23" s="21">
        <v>18</v>
      </c>
      <c r="C23" s="22" t="s">
        <v>535</v>
      </c>
      <c r="D23" s="22" t="s">
        <v>494</v>
      </c>
      <c r="E23" s="22" t="s">
        <v>516</v>
      </c>
      <c r="F23" s="22" t="s">
        <v>495</v>
      </c>
      <c r="G23" s="22" t="s">
        <v>496</v>
      </c>
      <c r="H23" s="22" t="s">
        <v>521</v>
      </c>
      <c r="I23" s="22" t="s">
        <v>114</v>
      </c>
      <c r="J23" s="22" t="s">
        <v>115</v>
      </c>
      <c r="K23" s="22" t="s">
        <v>498</v>
      </c>
      <c r="L23" s="22" t="s">
        <v>536</v>
      </c>
      <c r="M23" s="22" t="s">
        <v>522</v>
      </c>
      <c r="N23" s="22" t="s">
        <v>496</v>
      </c>
      <c r="O23" s="22"/>
      <c r="P23" s="22"/>
      <c r="Q23" s="22" t="s">
        <v>496</v>
      </c>
      <c r="R23" s="22" t="s">
        <v>496</v>
      </c>
      <c r="S23" s="22" t="s">
        <v>501</v>
      </c>
      <c r="T23" s="22" t="s">
        <v>523</v>
      </c>
      <c r="U23" s="22" t="s">
        <v>501</v>
      </c>
      <c r="V23" s="22" t="s">
        <v>510</v>
      </c>
      <c r="W23" s="22" t="s">
        <v>504</v>
      </c>
      <c r="X23" s="22" t="s">
        <v>505</v>
      </c>
      <c r="Y23" s="22" t="s">
        <v>506</v>
      </c>
      <c r="Z23" s="22" t="s">
        <v>515</v>
      </c>
      <c r="AA23" s="22" t="s">
        <v>506</v>
      </c>
      <c r="AB23" s="22" t="s">
        <v>504</v>
      </c>
      <c r="AC23" s="22" t="s">
        <v>504</v>
      </c>
      <c r="AD23" s="22" t="s">
        <v>511</v>
      </c>
      <c r="AE23" s="22" t="s">
        <v>509</v>
      </c>
    </row>
    <row r="24" spans="1:31" ht="20.25" hidden="1" customHeight="1" x14ac:dyDescent="0.15">
      <c r="A24" s="24" t="s">
        <v>627</v>
      </c>
      <c r="B24" s="21">
        <v>19</v>
      </c>
      <c r="C24" s="22" t="s">
        <v>567</v>
      </c>
      <c r="D24" s="22" t="s">
        <v>494</v>
      </c>
      <c r="E24" s="22" t="s">
        <v>494</v>
      </c>
      <c r="F24" s="22" t="s">
        <v>495</v>
      </c>
      <c r="G24" s="22" t="s">
        <v>496</v>
      </c>
      <c r="H24" s="22" t="s">
        <v>497</v>
      </c>
      <c r="I24" s="22" t="s">
        <v>174</v>
      </c>
      <c r="J24" s="22" t="s">
        <v>175</v>
      </c>
      <c r="K24" s="22" t="s">
        <v>498</v>
      </c>
      <c r="L24" s="22" t="s">
        <v>541</v>
      </c>
      <c r="M24" s="22" t="s">
        <v>500</v>
      </c>
      <c r="N24" s="22" t="s">
        <v>496</v>
      </c>
      <c r="O24" s="22"/>
      <c r="P24" s="22"/>
      <c r="Q24" s="22" t="s">
        <v>496</v>
      </c>
      <c r="R24" s="22" t="s">
        <v>496</v>
      </c>
      <c r="S24" s="22" t="s">
        <v>501</v>
      </c>
      <c r="T24" s="22" t="s">
        <v>502</v>
      </c>
      <c r="U24" s="22" t="s">
        <v>501</v>
      </c>
      <c r="V24" s="22" t="s">
        <v>510</v>
      </c>
      <c r="W24" s="22" t="s">
        <v>504</v>
      </c>
      <c r="X24" s="22" t="s">
        <v>505</v>
      </c>
      <c r="Y24" s="22" t="s">
        <v>506</v>
      </c>
      <c r="Z24" s="22" t="s">
        <v>507</v>
      </c>
      <c r="AA24" s="22" t="s">
        <v>506</v>
      </c>
      <c r="AB24" s="22" t="s">
        <v>504</v>
      </c>
      <c r="AC24" s="22" t="s">
        <v>504</v>
      </c>
      <c r="AD24" s="22" t="s">
        <v>511</v>
      </c>
      <c r="AE24" s="22" t="s">
        <v>509</v>
      </c>
    </row>
    <row r="25" spans="1:31" ht="20.25" hidden="1" customHeight="1" x14ac:dyDescent="0.15">
      <c r="A25" s="24" t="s">
        <v>627</v>
      </c>
      <c r="B25" s="21">
        <v>19</v>
      </c>
      <c r="C25" s="22" t="s">
        <v>567</v>
      </c>
      <c r="D25" s="22" t="s">
        <v>494</v>
      </c>
      <c r="E25" s="22" t="s">
        <v>494</v>
      </c>
      <c r="F25" s="22" t="s">
        <v>495</v>
      </c>
      <c r="G25" s="22" t="s">
        <v>496</v>
      </c>
      <c r="H25" s="22" t="s">
        <v>497</v>
      </c>
      <c r="I25" s="22" t="s">
        <v>174</v>
      </c>
      <c r="J25" s="22" t="s">
        <v>175</v>
      </c>
      <c r="K25" s="22" t="s">
        <v>498</v>
      </c>
      <c r="L25" s="22" t="s">
        <v>541</v>
      </c>
      <c r="M25" s="22" t="s">
        <v>500</v>
      </c>
      <c r="N25" s="22" t="s">
        <v>496</v>
      </c>
      <c r="O25" s="22"/>
      <c r="P25" s="22"/>
      <c r="Q25" s="22" t="s">
        <v>496</v>
      </c>
      <c r="R25" s="22" t="s">
        <v>496</v>
      </c>
      <c r="S25" s="22" t="s">
        <v>501</v>
      </c>
      <c r="T25" s="22" t="s">
        <v>502</v>
      </c>
      <c r="U25" s="22" t="s">
        <v>502</v>
      </c>
      <c r="V25" s="22" t="s">
        <v>503</v>
      </c>
      <c r="W25" s="22" t="s">
        <v>504</v>
      </c>
      <c r="X25" s="22" t="s">
        <v>505</v>
      </c>
      <c r="Y25" s="22" t="s">
        <v>506</v>
      </c>
      <c r="Z25" s="22" t="s">
        <v>507</v>
      </c>
      <c r="AA25" s="22" t="s">
        <v>506</v>
      </c>
      <c r="AB25" s="22" t="s">
        <v>504</v>
      </c>
      <c r="AC25" s="22" t="s">
        <v>504</v>
      </c>
      <c r="AD25" s="22" t="s">
        <v>508</v>
      </c>
      <c r="AE25" s="22" t="s">
        <v>509</v>
      </c>
    </row>
    <row r="26" spans="1:31" ht="20.25" hidden="1" customHeight="1" x14ac:dyDescent="0.15">
      <c r="A26" s="24" t="s">
        <v>628</v>
      </c>
      <c r="B26" s="21">
        <v>20</v>
      </c>
      <c r="C26" s="22" t="s">
        <v>567</v>
      </c>
      <c r="D26" s="22" t="s">
        <v>494</v>
      </c>
      <c r="E26" s="22" t="s">
        <v>512</v>
      </c>
      <c r="F26" s="22" t="s">
        <v>495</v>
      </c>
      <c r="G26" s="22" t="s">
        <v>496</v>
      </c>
      <c r="H26" s="22" t="s">
        <v>513</v>
      </c>
      <c r="I26" s="22" t="s">
        <v>220</v>
      </c>
      <c r="J26" s="22" t="s">
        <v>221</v>
      </c>
      <c r="K26" s="22" t="s">
        <v>498</v>
      </c>
      <c r="L26" s="22" t="s">
        <v>541</v>
      </c>
      <c r="M26" s="22" t="s">
        <v>499</v>
      </c>
      <c r="N26" s="22" t="s">
        <v>496</v>
      </c>
      <c r="O26" s="22"/>
      <c r="P26" s="22"/>
      <c r="Q26" s="22" t="s">
        <v>496</v>
      </c>
      <c r="R26" s="22" t="s">
        <v>496</v>
      </c>
      <c r="S26" s="22" t="s">
        <v>501</v>
      </c>
      <c r="T26" s="22" t="s">
        <v>514</v>
      </c>
      <c r="U26" s="22" t="s">
        <v>501</v>
      </c>
      <c r="V26" s="22" t="s">
        <v>510</v>
      </c>
      <c r="W26" s="22" t="s">
        <v>504</v>
      </c>
      <c r="X26" s="22" t="s">
        <v>505</v>
      </c>
      <c r="Y26" s="22" t="s">
        <v>506</v>
      </c>
      <c r="Z26" s="22" t="s">
        <v>515</v>
      </c>
      <c r="AA26" s="22" t="s">
        <v>506</v>
      </c>
      <c r="AB26" s="22" t="s">
        <v>504</v>
      </c>
      <c r="AC26" s="22" t="s">
        <v>504</v>
      </c>
      <c r="AD26" s="22" t="s">
        <v>511</v>
      </c>
      <c r="AE26" s="22" t="s">
        <v>509</v>
      </c>
    </row>
    <row r="27" spans="1:31" ht="20.25" hidden="1" customHeight="1" x14ac:dyDescent="0.15">
      <c r="A27" s="24" t="s">
        <v>628</v>
      </c>
      <c r="B27" s="21">
        <v>21</v>
      </c>
      <c r="C27" s="22" t="s">
        <v>567</v>
      </c>
      <c r="D27" s="22" t="s">
        <v>494</v>
      </c>
      <c r="E27" s="22" t="s">
        <v>516</v>
      </c>
      <c r="F27" s="22" t="s">
        <v>495</v>
      </c>
      <c r="G27" s="22" t="s">
        <v>496</v>
      </c>
      <c r="H27" s="22" t="s">
        <v>517</v>
      </c>
      <c r="I27" s="22" t="s">
        <v>180</v>
      </c>
      <c r="J27" s="22" t="s">
        <v>181</v>
      </c>
      <c r="K27" s="22" t="s">
        <v>498</v>
      </c>
      <c r="L27" s="22" t="s">
        <v>541</v>
      </c>
      <c r="M27" s="22" t="s">
        <v>499</v>
      </c>
      <c r="N27" s="22" t="s">
        <v>496</v>
      </c>
      <c r="O27" s="22"/>
      <c r="P27" s="22"/>
      <c r="Q27" s="22" t="s">
        <v>496</v>
      </c>
      <c r="R27" s="22" t="s">
        <v>496</v>
      </c>
      <c r="S27" s="22" t="s">
        <v>501</v>
      </c>
      <c r="T27" s="22" t="s">
        <v>514</v>
      </c>
      <c r="U27" s="22" t="s">
        <v>501</v>
      </c>
      <c r="V27" s="22" t="s">
        <v>510</v>
      </c>
      <c r="W27" s="22" t="s">
        <v>504</v>
      </c>
      <c r="X27" s="22" t="s">
        <v>505</v>
      </c>
      <c r="Y27" s="22" t="s">
        <v>506</v>
      </c>
      <c r="Z27" s="22" t="s">
        <v>515</v>
      </c>
      <c r="AA27" s="22" t="s">
        <v>506</v>
      </c>
      <c r="AB27" s="22" t="s">
        <v>504</v>
      </c>
      <c r="AC27" s="22" t="s">
        <v>504</v>
      </c>
      <c r="AD27" s="22" t="s">
        <v>511</v>
      </c>
      <c r="AE27" s="22" t="s">
        <v>509</v>
      </c>
    </row>
    <row r="28" spans="1:31" ht="20.25" hidden="1" customHeight="1" x14ac:dyDescent="0.15">
      <c r="A28" s="27" t="s">
        <v>629</v>
      </c>
      <c r="B28" s="21">
        <v>22</v>
      </c>
      <c r="C28" s="22" t="s">
        <v>567</v>
      </c>
      <c r="D28" s="22" t="s">
        <v>494</v>
      </c>
      <c r="E28" s="22" t="s">
        <v>516</v>
      </c>
      <c r="F28" s="22" t="s">
        <v>495</v>
      </c>
      <c r="G28" s="22" t="s">
        <v>496</v>
      </c>
      <c r="H28" s="22" t="s">
        <v>519</v>
      </c>
      <c r="I28" s="22" t="s">
        <v>182</v>
      </c>
      <c r="J28" s="22" t="s">
        <v>183</v>
      </c>
      <c r="K28" s="22" t="s">
        <v>498</v>
      </c>
      <c r="L28" s="22" t="s">
        <v>541</v>
      </c>
      <c r="M28" s="22" t="s">
        <v>498</v>
      </c>
      <c r="N28" s="22" t="s">
        <v>496</v>
      </c>
      <c r="O28" s="22"/>
      <c r="P28" s="22"/>
      <c r="Q28" s="22" t="s">
        <v>496</v>
      </c>
      <c r="R28" s="22" t="s">
        <v>496</v>
      </c>
      <c r="S28" s="22" t="s">
        <v>501</v>
      </c>
      <c r="T28" s="22" t="s">
        <v>520</v>
      </c>
      <c r="U28" s="22" t="s">
        <v>501</v>
      </c>
      <c r="V28" s="22" t="s">
        <v>510</v>
      </c>
      <c r="W28" s="22" t="s">
        <v>504</v>
      </c>
      <c r="X28" s="22" t="s">
        <v>505</v>
      </c>
      <c r="Y28" s="22" t="s">
        <v>506</v>
      </c>
      <c r="Z28" s="22" t="s">
        <v>515</v>
      </c>
      <c r="AA28" s="22" t="s">
        <v>506</v>
      </c>
      <c r="AB28" s="22" t="s">
        <v>504</v>
      </c>
      <c r="AC28" s="22" t="s">
        <v>504</v>
      </c>
      <c r="AD28" s="22" t="s">
        <v>511</v>
      </c>
      <c r="AE28" s="22" t="s">
        <v>509</v>
      </c>
    </row>
    <row r="29" spans="1:31" ht="20.25" hidden="1" customHeight="1" x14ac:dyDescent="0.15">
      <c r="A29" s="27" t="s">
        <v>629</v>
      </c>
      <c r="B29" s="21">
        <v>23</v>
      </c>
      <c r="C29" s="22" t="s">
        <v>567</v>
      </c>
      <c r="D29" s="22" t="s">
        <v>494</v>
      </c>
      <c r="E29" s="22" t="s">
        <v>516</v>
      </c>
      <c r="F29" s="22" t="s">
        <v>495</v>
      </c>
      <c r="G29" s="22" t="s">
        <v>496</v>
      </c>
      <c r="H29" s="22" t="s">
        <v>521</v>
      </c>
      <c r="I29" s="22" t="s">
        <v>172</v>
      </c>
      <c r="J29" s="22" t="s">
        <v>173</v>
      </c>
      <c r="K29" s="22" t="s">
        <v>498</v>
      </c>
      <c r="L29" s="22" t="s">
        <v>541</v>
      </c>
      <c r="M29" s="22" t="s">
        <v>522</v>
      </c>
      <c r="N29" s="22" t="s">
        <v>496</v>
      </c>
      <c r="O29" s="22"/>
      <c r="P29" s="22"/>
      <c r="Q29" s="22" t="s">
        <v>496</v>
      </c>
      <c r="R29" s="22" t="s">
        <v>496</v>
      </c>
      <c r="S29" s="22" t="s">
        <v>501</v>
      </c>
      <c r="T29" s="22" t="s">
        <v>523</v>
      </c>
      <c r="U29" s="22" t="s">
        <v>501</v>
      </c>
      <c r="V29" s="22" t="s">
        <v>510</v>
      </c>
      <c r="W29" s="22" t="s">
        <v>504</v>
      </c>
      <c r="X29" s="22" t="s">
        <v>505</v>
      </c>
      <c r="Y29" s="22" t="s">
        <v>506</v>
      </c>
      <c r="Z29" s="22" t="s">
        <v>515</v>
      </c>
      <c r="AA29" s="22" t="s">
        <v>506</v>
      </c>
      <c r="AB29" s="22" t="s">
        <v>504</v>
      </c>
      <c r="AC29" s="22" t="s">
        <v>504</v>
      </c>
      <c r="AD29" s="22" t="s">
        <v>511</v>
      </c>
      <c r="AE29" s="22" t="s">
        <v>509</v>
      </c>
    </row>
    <row r="30" spans="1:31" ht="20.25" hidden="1" customHeight="1" x14ac:dyDescent="0.15">
      <c r="A30" s="24" t="s">
        <v>631</v>
      </c>
      <c r="B30" s="21">
        <v>24</v>
      </c>
      <c r="C30" s="22" t="s">
        <v>38</v>
      </c>
      <c r="D30" s="22" t="s">
        <v>494</v>
      </c>
      <c r="E30" s="22" t="s">
        <v>494</v>
      </c>
      <c r="F30" s="22" t="s">
        <v>495</v>
      </c>
      <c r="G30" s="22" t="s">
        <v>496</v>
      </c>
      <c r="H30" s="22" t="s">
        <v>497</v>
      </c>
      <c r="I30" s="22" t="s">
        <v>200</v>
      </c>
      <c r="J30" s="22" t="s">
        <v>201</v>
      </c>
      <c r="K30" s="22" t="s">
        <v>498</v>
      </c>
      <c r="L30" s="22" t="s">
        <v>499</v>
      </c>
      <c r="M30" s="22" t="s">
        <v>500</v>
      </c>
      <c r="N30" s="22" t="s">
        <v>496</v>
      </c>
      <c r="O30" s="22"/>
      <c r="P30" s="22"/>
      <c r="Q30" s="22" t="s">
        <v>496</v>
      </c>
      <c r="R30" s="22" t="s">
        <v>496</v>
      </c>
      <c r="S30" s="22" t="s">
        <v>537</v>
      </c>
      <c r="T30" s="22" t="s">
        <v>502</v>
      </c>
      <c r="U30" s="22" t="s">
        <v>502</v>
      </c>
      <c r="V30" s="22" t="s">
        <v>503</v>
      </c>
      <c r="W30" s="22" t="s">
        <v>504</v>
      </c>
      <c r="X30" s="22" t="s">
        <v>505</v>
      </c>
      <c r="Y30" s="22" t="s">
        <v>506</v>
      </c>
      <c r="Z30" s="22" t="s">
        <v>507</v>
      </c>
      <c r="AA30" s="22" t="s">
        <v>506</v>
      </c>
      <c r="AB30" s="22" t="s">
        <v>504</v>
      </c>
      <c r="AC30" s="22" t="s">
        <v>504</v>
      </c>
      <c r="AD30" s="22" t="s">
        <v>508</v>
      </c>
      <c r="AE30" s="22" t="s">
        <v>509</v>
      </c>
    </row>
    <row r="31" spans="1:31" ht="20.25" hidden="1" customHeight="1" x14ac:dyDescent="0.15">
      <c r="A31" s="24" t="s">
        <v>631</v>
      </c>
      <c r="B31" s="21">
        <v>24</v>
      </c>
      <c r="C31" s="22" t="s">
        <v>38</v>
      </c>
      <c r="D31" s="22" t="s">
        <v>494</v>
      </c>
      <c r="E31" s="22" t="s">
        <v>494</v>
      </c>
      <c r="F31" s="22" t="s">
        <v>495</v>
      </c>
      <c r="G31" s="22" t="s">
        <v>496</v>
      </c>
      <c r="H31" s="22" t="s">
        <v>497</v>
      </c>
      <c r="I31" s="22" t="s">
        <v>200</v>
      </c>
      <c r="J31" s="22" t="s">
        <v>201</v>
      </c>
      <c r="K31" s="22" t="s">
        <v>498</v>
      </c>
      <c r="L31" s="22" t="s">
        <v>499</v>
      </c>
      <c r="M31" s="22" t="s">
        <v>500</v>
      </c>
      <c r="N31" s="22" t="s">
        <v>496</v>
      </c>
      <c r="O31" s="22"/>
      <c r="P31" s="22"/>
      <c r="Q31" s="22" t="s">
        <v>496</v>
      </c>
      <c r="R31" s="22" t="s">
        <v>496</v>
      </c>
      <c r="S31" s="22" t="s">
        <v>537</v>
      </c>
      <c r="T31" s="22" t="s">
        <v>502</v>
      </c>
      <c r="U31" s="22" t="s">
        <v>537</v>
      </c>
      <c r="V31" s="22" t="s">
        <v>538</v>
      </c>
      <c r="W31" s="22" t="s">
        <v>504</v>
      </c>
      <c r="X31" s="22" t="s">
        <v>505</v>
      </c>
      <c r="Y31" s="22" t="s">
        <v>506</v>
      </c>
      <c r="Z31" s="22" t="s">
        <v>507</v>
      </c>
      <c r="AA31" s="22" t="s">
        <v>506</v>
      </c>
      <c r="AB31" s="22" t="s">
        <v>504</v>
      </c>
      <c r="AC31" s="22" t="s">
        <v>504</v>
      </c>
      <c r="AD31" s="22" t="s">
        <v>476</v>
      </c>
      <c r="AE31" s="22" t="s">
        <v>509</v>
      </c>
    </row>
    <row r="32" spans="1:31" ht="20.25" hidden="1" customHeight="1" x14ac:dyDescent="0.15">
      <c r="A32" s="27" t="s">
        <v>632</v>
      </c>
      <c r="B32" s="21">
        <v>25</v>
      </c>
      <c r="C32" s="22" t="s">
        <v>38</v>
      </c>
      <c r="D32" s="22" t="s">
        <v>494</v>
      </c>
      <c r="E32" s="22" t="s">
        <v>512</v>
      </c>
      <c r="F32" s="22" t="s">
        <v>495</v>
      </c>
      <c r="G32" s="22" t="s">
        <v>496</v>
      </c>
      <c r="H32" s="22" t="s">
        <v>513</v>
      </c>
      <c r="I32" s="22" t="s">
        <v>370</v>
      </c>
      <c r="J32" s="22" t="s">
        <v>371</v>
      </c>
      <c r="K32" s="22" t="s">
        <v>498</v>
      </c>
      <c r="L32" s="22" t="s">
        <v>499</v>
      </c>
      <c r="M32" s="22" t="s">
        <v>499</v>
      </c>
      <c r="N32" s="22" t="s">
        <v>496</v>
      </c>
      <c r="O32" s="22"/>
      <c r="P32" s="22"/>
      <c r="Q32" s="22" t="s">
        <v>496</v>
      </c>
      <c r="R32" s="22" t="s">
        <v>496</v>
      </c>
      <c r="S32" s="22" t="s">
        <v>537</v>
      </c>
      <c r="T32" s="22" t="s">
        <v>514</v>
      </c>
      <c r="U32" s="22" t="s">
        <v>537</v>
      </c>
      <c r="V32" s="22" t="s">
        <v>538</v>
      </c>
      <c r="W32" s="22" t="s">
        <v>504</v>
      </c>
      <c r="X32" s="22" t="s">
        <v>505</v>
      </c>
      <c r="Y32" s="22" t="s">
        <v>506</v>
      </c>
      <c r="Z32" s="22" t="s">
        <v>515</v>
      </c>
      <c r="AA32" s="22" t="s">
        <v>506</v>
      </c>
      <c r="AB32" s="22" t="s">
        <v>504</v>
      </c>
      <c r="AC32" s="22" t="s">
        <v>504</v>
      </c>
      <c r="AD32" s="22" t="s">
        <v>476</v>
      </c>
      <c r="AE32" s="22" t="s">
        <v>509</v>
      </c>
    </row>
    <row r="33" spans="1:31" ht="20.25" hidden="1" customHeight="1" x14ac:dyDescent="0.15">
      <c r="A33" s="24" t="s">
        <v>628</v>
      </c>
      <c r="B33" s="21">
        <v>26</v>
      </c>
      <c r="C33" s="22" t="s">
        <v>38</v>
      </c>
      <c r="D33" s="22" t="s">
        <v>494</v>
      </c>
      <c r="E33" s="22" t="s">
        <v>516</v>
      </c>
      <c r="F33" s="22" t="s">
        <v>495</v>
      </c>
      <c r="G33" s="22" t="s">
        <v>496</v>
      </c>
      <c r="H33" s="22" t="s">
        <v>517</v>
      </c>
      <c r="I33" s="22" t="s">
        <v>460</v>
      </c>
      <c r="J33" s="22" t="s">
        <v>461</v>
      </c>
      <c r="K33" s="22" t="s">
        <v>498</v>
      </c>
      <c r="L33" s="22" t="s">
        <v>500</v>
      </c>
      <c r="M33" s="22" t="s">
        <v>499</v>
      </c>
      <c r="N33" s="22" t="s">
        <v>496</v>
      </c>
      <c r="O33" s="22"/>
      <c r="P33" s="22"/>
      <c r="Q33" s="22" t="s">
        <v>496</v>
      </c>
      <c r="R33" s="22" t="s">
        <v>496</v>
      </c>
      <c r="S33" s="22" t="s">
        <v>537</v>
      </c>
      <c r="T33" s="22" t="s">
        <v>514</v>
      </c>
      <c r="U33" s="22" t="s">
        <v>537</v>
      </c>
      <c r="V33" s="22" t="s">
        <v>538</v>
      </c>
      <c r="W33" s="22" t="s">
        <v>504</v>
      </c>
      <c r="X33" s="22" t="s">
        <v>518</v>
      </c>
      <c r="Y33" s="22" t="s">
        <v>506</v>
      </c>
      <c r="Z33" s="22" t="s">
        <v>507</v>
      </c>
      <c r="AA33" s="22" t="s">
        <v>506</v>
      </c>
      <c r="AB33" s="22" t="s">
        <v>504</v>
      </c>
      <c r="AC33" s="22" t="s">
        <v>504</v>
      </c>
      <c r="AD33" s="22" t="s">
        <v>476</v>
      </c>
      <c r="AE33" s="22" t="s">
        <v>509</v>
      </c>
    </row>
    <row r="34" spans="1:31" ht="20.25" hidden="1" customHeight="1" x14ac:dyDescent="0.15">
      <c r="A34" s="27" t="s">
        <v>633</v>
      </c>
      <c r="B34" s="21">
        <v>27</v>
      </c>
      <c r="C34" s="22" t="s">
        <v>38</v>
      </c>
      <c r="D34" s="22" t="s">
        <v>494</v>
      </c>
      <c r="E34" s="22" t="s">
        <v>516</v>
      </c>
      <c r="F34" s="22" t="s">
        <v>495</v>
      </c>
      <c r="G34" s="22" t="s">
        <v>496</v>
      </c>
      <c r="H34" s="22" t="s">
        <v>519</v>
      </c>
      <c r="I34" s="22" t="s">
        <v>324</v>
      </c>
      <c r="J34" s="22" t="s">
        <v>325</v>
      </c>
      <c r="K34" s="22" t="s">
        <v>498</v>
      </c>
      <c r="L34" s="22" t="s">
        <v>499</v>
      </c>
      <c r="M34" s="22" t="s">
        <v>498</v>
      </c>
      <c r="N34" s="22" t="s">
        <v>496</v>
      </c>
      <c r="O34" s="22"/>
      <c r="P34" s="22"/>
      <c r="Q34" s="22" t="s">
        <v>496</v>
      </c>
      <c r="R34" s="22" t="s">
        <v>496</v>
      </c>
      <c r="S34" s="22" t="s">
        <v>537</v>
      </c>
      <c r="T34" s="22" t="s">
        <v>520</v>
      </c>
      <c r="U34" s="22" t="s">
        <v>537</v>
      </c>
      <c r="V34" s="22" t="s">
        <v>538</v>
      </c>
      <c r="W34" s="22" t="s">
        <v>504</v>
      </c>
      <c r="X34" s="22" t="s">
        <v>505</v>
      </c>
      <c r="Y34" s="22" t="s">
        <v>506</v>
      </c>
      <c r="Z34" s="22" t="s">
        <v>515</v>
      </c>
      <c r="AA34" s="22" t="s">
        <v>506</v>
      </c>
      <c r="AB34" s="22" t="s">
        <v>504</v>
      </c>
      <c r="AC34" s="22" t="s">
        <v>504</v>
      </c>
      <c r="AD34" s="22" t="s">
        <v>476</v>
      </c>
      <c r="AE34" s="22" t="s">
        <v>509</v>
      </c>
    </row>
    <row r="35" spans="1:31" ht="20.25" hidden="1" customHeight="1" x14ac:dyDescent="0.15">
      <c r="A35" s="27" t="s">
        <v>633</v>
      </c>
      <c r="B35" s="21">
        <v>28</v>
      </c>
      <c r="C35" s="22" t="s">
        <v>38</v>
      </c>
      <c r="D35" s="22" t="s">
        <v>494</v>
      </c>
      <c r="E35" s="22" t="s">
        <v>516</v>
      </c>
      <c r="F35" s="22" t="s">
        <v>495</v>
      </c>
      <c r="G35" s="22" t="s">
        <v>496</v>
      </c>
      <c r="H35" s="22" t="s">
        <v>521</v>
      </c>
      <c r="I35" s="22" t="s">
        <v>186</v>
      </c>
      <c r="J35" s="22" t="s">
        <v>187</v>
      </c>
      <c r="K35" s="22" t="s">
        <v>498</v>
      </c>
      <c r="L35" s="22" t="s">
        <v>499</v>
      </c>
      <c r="M35" s="22" t="s">
        <v>522</v>
      </c>
      <c r="N35" s="22" t="s">
        <v>496</v>
      </c>
      <c r="O35" s="22"/>
      <c r="P35" s="22"/>
      <c r="Q35" s="22" t="s">
        <v>496</v>
      </c>
      <c r="R35" s="22" t="s">
        <v>496</v>
      </c>
      <c r="S35" s="22" t="s">
        <v>537</v>
      </c>
      <c r="T35" s="22" t="s">
        <v>523</v>
      </c>
      <c r="U35" s="22" t="s">
        <v>537</v>
      </c>
      <c r="V35" s="22" t="s">
        <v>538</v>
      </c>
      <c r="W35" s="22" t="s">
        <v>504</v>
      </c>
      <c r="X35" s="22" t="s">
        <v>505</v>
      </c>
      <c r="Y35" s="22" t="s">
        <v>506</v>
      </c>
      <c r="Z35" s="22" t="s">
        <v>515</v>
      </c>
      <c r="AA35" s="22" t="s">
        <v>506</v>
      </c>
      <c r="AB35" s="22" t="s">
        <v>504</v>
      </c>
      <c r="AC35" s="22" t="s">
        <v>504</v>
      </c>
      <c r="AD35" s="22" t="s">
        <v>476</v>
      </c>
      <c r="AE35" s="22" t="s">
        <v>509</v>
      </c>
    </row>
    <row r="36" spans="1:31" ht="20.25" hidden="1" customHeight="1" x14ac:dyDescent="0.15">
      <c r="A36" s="27" t="s">
        <v>627</v>
      </c>
      <c r="B36" s="21">
        <v>29</v>
      </c>
      <c r="C36" s="22" t="s">
        <v>38</v>
      </c>
      <c r="D36" s="22" t="s">
        <v>512</v>
      </c>
      <c r="E36" s="22" t="s">
        <v>494</v>
      </c>
      <c r="F36" s="22" t="s">
        <v>495</v>
      </c>
      <c r="G36" s="22" t="s">
        <v>496</v>
      </c>
      <c r="H36" s="22" t="s">
        <v>524</v>
      </c>
      <c r="I36" s="22" t="s">
        <v>188</v>
      </c>
      <c r="J36" s="22" t="s">
        <v>189</v>
      </c>
      <c r="K36" s="22" t="s">
        <v>498</v>
      </c>
      <c r="L36" s="22" t="s">
        <v>498</v>
      </c>
      <c r="M36" s="22" t="s">
        <v>499</v>
      </c>
      <c r="N36" s="22" t="s">
        <v>496</v>
      </c>
      <c r="O36" s="22"/>
      <c r="P36" s="22"/>
      <c r="Q36" s="22" t="s">
        <v>496</v>
      </c>
      <c r="R36" s="22" t="s">
        <v>496</v>
      </c>
      <c r="S36" s="22" t="s">
        <v>537</v>
      </c>
      <c r="T36" s="22" t="s">
        <v>514</v>
      </c>
      <c r="U36" s="22" t="s">
        <v>537</v>
      </c>
      <c r="V36" s="22" t="s">
        <v>538</v>
      </c>
      <c r="W36" s="22" t="s">
        <v>504</v>
      </c>
      <c r="X36" s="22" t="s">
        <v>504</v>
      </c>
      <c r="Y36" s="22" t="s">
        <v>506</v>
      </c>
      <c r="Z36" s="22" t="s">
        <v>515</v>
      </c>
      <c r="AA36" s="22" t="s">
        <v>506</v>
      </c>
      <c r="AB36" s="22" t="s">
        <v>504</v>
      </c>
      <c r="AC36" s="22" t="s">
        <v>504</v>
      </c>
      <c r="AD36" s="22" t="s">
        <v>476</v>
      </c>
      <c r="AE36" s="22" t="s">
        <v>509</v>
      </c>
    </row>
    <row r="37" spans="1:31" ht="20.25" hidden="1" customHeight="1" x14ac:dyDescent="0.15">
      <c r="A37" s="27" t="s">
        <v>627</v>
      </c>
      <c r="B37" s="21">
        <v>29</v>
      </c>
      <c r="C37" s="22" t="s">
        <v>38</v>
      </c>
      <c r="D37" s="22" t="s">
        <v>512</v>
      </c>
      <c r="E37" s="22" t="s">
        <v>494</v>
      </c>
      <c r="F37" s="22" t="s">
        <v>495</v>
      </c>
      <c r="G37" s="22" t="s">
        <v>496</v>
      </c>
      <c r="H37" s="22" t="s">
        <v>524</v>
      </c>
      <c r="I37" s="22" t="s">
        <v>188</v>
      </c>
      <c r="J37" s="22" t="s">
        <v>189</v>
      </c>
      <c r="K37" s="22" t="s">
        <v>498</v>
      </c>
      <c r="L37" s="22" t="s">
        <v>498</v>
      </c>
      <c r="M37" s="22" t="s">
        <v>499</v>
      </c>
      <c r="N37" s="22" t="s">
        <v>496</v>
      </c>
      <c r="O37" s="22"/>
      <c r="P37" s="22"/>
      <c r="Q37" s="22" t="s">
        <v>496</v>
      </c>
      <c r="R37" s="22" t="s">
        <v>496</v>
      </c>
      <c r="S37" s="22" t="s">
        <v>537</v>
      </c>
      <c r="T37" s="22" t="s">
        <v>514</v>
      </c>
      <c r="U37" s="22" t="s">
        <v>514</v>
      </c>
      <c r="V37" s="22" t="s">
        <v>503</v>
      </c>
      <c r="W37" s="22" t="s">
        <v>504</v>
      </c>
      <c r="X37" s="22" t="s">
        <v>505</v>
      </c>
      <c r="Y37" s="22" t="s">
        <v>506</v>
      </c>
      <c r="Z37" s="22" t="s">
        <v>515</v>
      </c>
      <c r="AA37" s="22" t="s">
        <v>506</v>
      </c>
      <c r="AB37" s="22" t="s">
        <v>504</v>
      </c>
      <c r="AC37" s="22" t="s">
        <v>504</v>
      </c>
      <c r="AD37" s="22" t="s">
        <v>508</v>
      </c>
      <c r="AE37" s="22" t="s">
        <v>509</v>
      </c>
    </row>
    <row r="38" spans="1:31" ht="20.25" hidden="1" customHeight="1" x14ac:dyDescent="0.15">
      <c r="A38" s="27" t="s">
        <v>633</v>
      </c>
      <c r="B38" s="21">
        <v>30</v>
      </c>
      <c r="C38" s="22" t="s">
        <v>38</v>
      </c>
      <c r="D38" s="22" t="s">
        <v>512</v>
      </c>
      <c r="E38" s="22" t="s">
        <v>512</v>
      </c>
      <c r="F38" s="22" t="s">
        <v>495</v>
      </c>
      <c r="G38" s="22" t="s">
        <v>496</v>
      </c>
      <c r="H38" s="22" t="s">
        <v>525</v>
      </c>
      <c r="I38" s="22" t="s">
        <v>212</v>
      </c>
      <c r="J38" s="22" t="s">
        <v>213</v>
      </c>
      <c r="K38" s="22" t="s">
        <v>498</v>
      </c>
      <c r="L38" s="22" t="s">
        <v>498</v>
      </c>
      <c r="M38" s="22" t="s">
        <v>498</v>
      </c>
      <c r="N38" s="22" t="s">
        <v>496</v>
      </c>
      <c r="O38" s="22"/>
      <c r="P38" s="22"/>
      <c r="Q38" s="22" t="s">
        <v>496</v>
      </c>
      <c r="R38" s="22" t="s">
        <v>496</v>
      </c>
      <c r="S38" s="22" t="s">
        <v>537</v>
      </c>
      <c r="T38" s="22" t="s">
        <v>520</v>
      </c>
      <c r="U38" s="22" t="s">
        <v>537</v>
      </c>
      <c r="V38" s="22" t="s">
        <v>538</v>
      </c>
      <c r="W38" s="22" t="s">
        <v>504</v>
      </c>
      <c r="X38" s="22" t="s">
        <v>504</v>
      </c>
      <c r="Y38" s="22" t="s">
        <v>506</v>
      </c>
      <c r="Z38" s="22" t="s">
        <v>526</v>
      </c>
      <c r="AA38" s="22" t="s">
        <v>506</v>
      </c>
      <c r="AB38" s="22" t="s">
        <v>504</v>
      </c>
      <c r="AC38" s="22" t="s">
        <v>504</v>
      </c>
      <c r="AD38" s="22" t="s">
        <v>476</v>
      </c>
      <c r="AE38" s="22" t="s">
        <v>509</v>
      </c>
    </row>
    <row r="39" spans="1:31" ht="20.25" hidden="1" customHeight="1" x14ac:dyDescent="0.15">
      <c r="A39" s="27" t="s">
        <v>633</v>
      </c>
      <c r="B39" s="21">
        <v>31</v>
      </c>
      <c r="C39" s="22" t="s">
        <v>38</v>
      </c>
      <c r="D39" s="22" t="s">
        <v>512</v>
      </c>
      <c r="E39" s="22" t="s">
        <v>516</v>
      </c>
      <c r="F39" s="22" t="s">
        <v>495</v>
      </c>
      <c r="G39" s="22" t="s">
        <v>496</v>
      </c>
      <c r="H39" s="22" t="s">
        <v>527</v>
      </c>
      <c r="I39" s="22" t="s">
        <v>258</v>
      </c>
      <c r="J39" s="22" t="s">
        <v>259</v>
      </c>
      <c r="K39" s="22" t="s">
        <v>498</v>
      </c>
      <c r="L39" s="22" t="s">
        <v>498</v>
      </c>
      <c r="M39" s="22" t="s">
        <v>522</v>
      </c>
      <c r="N39" s="22" t="s">
        <v>496</v>
      </c>
      <c r="O39" s="22"/>
      <c r="P39" s="22"/>
      <c r="Q39" s="22" t="s">
        <v>496</v>
      </c>
      <c r="R39" s="22" t="s">
        <v>496</v>
      </c>
      <c r="S39" s="22" t="s">
        <v>537</v>
      </c>
      <c r="T39" s="22" t="s">
        <v>523</v>
      </c>
      <c r="U39" s="22" t="s">
        <v>537</v>
      </c>
      <c r="V39" s="22" t="s">
        <v>538</v>
      </c>
      <c r="W39" s="22" t="s">
        <v>504</v>
      </c>
      <c r="X39" s="22" t="s">
        <v>504</v>
      </c>
      <c r="Y39" s="22" t="s">
        <v>506</v>
      </c>
      <c r="Z39" s="22" t="s">
        <v>526</v>
      </c>
      <c r="AA39" s="22" t="s">
        <v>506</v>
      </c>
      <c r="AB39" s="22" t="s">
        <v>504</v>
      </c>
      <c r="AC39" s="22" t="s">
        <v>504</v>
      </c>
      <c r="AD39" s="22" t="s">
        <v>476</v>
      </c>
      <c r="AE39" s="22" t="s">
        <v>509</v>
      </c>
    </row>
    <row r="40" spans="1:31" ht="20.25" hidden="1" customHeight="1" x14ac:dyDescent="0.15">
      <c r="A40" s="24" t="s">
        <v>631</v>
      </c>
      <c r="B40" s="21">
        <v>32</v>
      </c>
      <c r="C40" s="22" t="s">
        <v>38</v>
      </c>
      <c r="D40" s="22" t="s">
        <v>516</v>
      </c>
      <c r="E40" s="22" t="s">
        <v>494</v>
      </c>
      <c r="F40" s="22" t="s">
        <v>495</v>
      </c>
      <c r="G40" s="22" t="s">
        <v>496</v>
      </c>
      <c r="H40" s="22" t="s">
        <v>528</v>
      </c>
      <c r="I40" s="22" t="s">
        <v>118</v>
      </c>
      <c r="J40" s="22" t="s">
        <v>119</v>
      </c>
      <c r="K40" s="22" t="s">
        <v>498</v>
      </c>
      <c r="L40" s="22" t="s">
        <v>498</v>
      </c>
      <c r="M40" s="22" t="s">
        <v>499</v>
      </c>
      <c r="N40" s="22" t="s">
        <v>496</v>
      </c>
      <c r="O40" s="22"/>
      <c r="P40" s="22"/>
      <c r="Q40" s="22" t="s">
        <v>496</v>
      </c>
      <c r="R40" s="22" t="s">
        <v>496</v>
      </c>
      <c r="S40" s="22" t="s">
        <v>537</v>
      </c>
      <c r="T40" s="22" t="s">
        <v>514</v>
      </c>
      <c r="U40" s="22" t="s">
        <v>537</v>
      </c>
      <c r="V40" s="22" t="s">
        <v>538</v>
      </c>
      <c r="W40" s="22" t="s">
        <v>504</v>
      </c>
      <c r="X40" s="22" t="s">
        <v>504</v>
      </c>
      <c r="Y40" s="22" t="s">
        <v>506</v>
      </c>
      <c r="Z40" s="22" t="s">
        <v>515</v>
      </c>
      <c r="AA40" s="22" t="s">
        <v>506</v>
      </c>
      <c r="AB40" s="22" t="s">
        <v>504</v>
      </c>
      <c r="AC40" s="22" t="s">
        <v>504</v>
      </c>
      <c r="AD40" s="22" t="s">
        <v>476</v>
      </c>
      <c r="AE40" s="22" t="s">
        <v>509</v>
      </c>
    </row>
    <row r="41" spans="1:31" ht="20.25" hidden="1" customHeight="1" x14ac:dyDescent="0.15">
      <c r="A41" s="24" t="s">
        <v>631</v>
      </c>
      <c r="B41" s="21">
        <v>32</v>
      </c>
      <c r="C41" s="22" t="s">
        <v>38</v>
      </c>
      <c r="D41" s="22" t="s">
        <v>516</v>
      </c>
      <c r="E41" s="22" t="s">
        <v>494</v>
      </c>
      <c r="F41" s="22" t="s">
        <v>495</v>
      </c>
      <c r="G41" s="22" t="s">
        <v>496</v>
      </c>
      <c r="H41" s="22" t="s">
        <v>528</v>
      </c>
      <c r="I41" s="22" t="s">
        <v>118</v>
      </c>
      <c r="J41" s="22" t="s">
        <v>119</v>
      </c>
      <c r="K41" s="22" t="s">
        <v>498</v>
      </c>
      <c r="L41" s="22" t="s">
        <v>498</v>
      </c>
      <c r="M41" s="22" t="s">
        <v>499</v>
      </c>
      <c r="N41" s="22" t="s">
        <v>496</v>
      </c>
      <c r="O41" s="22"/>
      <c r="P41" s="22"/>
      <c r="Q41" s="22" t="s">
        <v>496</v>
      </c>
      <c r="R41" s="22" t="s">
        <v>496</v>
      </c>
      <c r="S41" s="22" t="s">
        <v>537</v>
      </c>
      <c r="T41" s="22" t="s">
        <v>514</v>
      </c>
      <c r="U41" s="22" t="s">
        <v>514</v>
      </c>
      <c r="V41" s="22" t="s">
        <v>503</v>
      </c>
      <c r="W41" s="22" t="s">
        <v>504</v>
      </c>
      <c r="X41" s="22" t="s">
        <v>505</v>
      </c>
      <c r="Y41" s="22" t="s">
        <v>506</v>
      </c>
      <c r="Z41" s="22" t="s">
        <v>515</v>
      </c>
      <c r="AA41" s="22" t="s">
        <v>506</v>
      </c>
      <c r="AB41" s="22" t="s">
        <v>504</v>
      </c>
      <c r="AC41" s="22" t="s">
        <v>504</v>
      </c>
      <c r="AD41" s="22" t="s">
        <v>508</v>
      </c>
      <c r="AE41" s="22" t="s">
        <v>509</v>
      </c>
    </row>
    <row r="42" spans="1:31" ht="20.25" hidden="1" customHeight="1" x14ac:dyDescent="0.15">
      <c r="A42" s="27" t="s">
        <v>633</v>
      </c>
      <c r="B42" s="21">
        <v>33</v>
      </c>
      <c r="C42" s="22" t="s">
        <v>38</v>
      </c>
      <c r="D42" s="22" t="s">
        <v>516</v>
      </c>
      <c r="E42" s="22" t="s">
        <v>494</v>
      </c>
      <c r="F42" s="22" t="s">
        <v>495</v>
      </c>
      <c r="G42" s="22" t="s">
        <v>496</v>
      </c>
      <c r="H42" s="22" t="s">
        <v>529</v>
      </c>
      <c r="I42" s="22" t="s">
        <v>122</v>
      </c>
      <c r="J42" s="22" t="s">
        <v>123</v>
      </c>
      <c r="K42" s="22" t="s">
        <v>498</v>
      </c>
      <c r="L42" s="22" t="s">
        <v>522</v>
      </c>
      <c r="M42" s="22" t="s">
        <v>498</v>
      </c>
      <c r="N42" s="22" t="s">
        <v>496</v>
      </c>
      <c r="O42" s="22"/>
      <c r="P42" s="22"/>
      <c r="Q42" s="22" t="s">
        <v>496</v>
      </c>
      <c r="R42" s="22" t="s">
        <v>496</v>
      </c>
      <c r="S42" s="22" t="s">
        <v>537</v>
      </c>
      <c r="T42" s="22" t="s">
        <v>520</v>
      </c>
      <c r="U42" s="22" t="s">
        <v>496</v>
      </c>
      <c r="V42" s="22" t="s">
        <v>496</v>
      </c>
      <c r="W42" s="22" t="s">
        <v>496</v>
      </c>
      <c r="X42" s="22" t="s">
        <v>496</v>
      </c>
      <c r="Y42" s="22" t="s">
        <v>496</v>
      </c>
      <c r="Z42" s="22" t="s">
        <v>526</v>
      </c>
      <c r="AA42" s="22" t="s">
        <v>506</v>
      </c>
      <c r="AB42" s="22" t="s">
        <v>504</v>
      </c>
      <c r="AC42" s="22" t="s">
        <v>504</v>
      </c>
      <c r="AD42" s="22" t="s">
        <v>496</v>
      </c>
      <c r="AE42" s="22" t="s">
        <v>496</v>
      </c>
    </row>
    <row r="43" spans="1:31" ht="20.25" hidden="1" customHeight="1" x14ac:dyDescent="0.15">
      <c r="A43" s="24" t="s">
        <v>634</v>
      </c>
      <c r="B43" s="21">
        <v>34</v>
      </c>
      <c r="C43" s="22" t="s">
        <v>38</v>
      </c>
      <c r="D43" s="22" t="s">
        <v>516</v>
      </c>
      <c r="E43" s="22" t="s">
        <v>494</v>
      </c>
      <c r="F43" s="22" t="s">
        <v>495</v>
      </c>
      <c r="G43" s="22" t="s">
        <v>496</v>
      </c>
      <c r="H43" s="22" t="s">
        <v>530</v>
      </c>
      <c r="I43" s="22" t="s">
        <v>158</v>
      </c>
      <c r="J43" s="22" t="s">
        <v>159</v>
      </c>
      <c r="K43" s="22" t="s">
        <v>498</v>
      </c>
      <c r="L43" s="22" t="s">
        <v>531</v>
      </c>
      <c r="M43" s="22" t="s">
        <v>522</v>
      </c>
      <c r="N43" s="22" t="s">
        <v>496</v>
      </c>
      <c r="O43" s="22"/>
      <c r="P43" s="22"/>
      <c r="Q43" s="22" t="s">
        <v>496</v>
      </c>
      <c r="R43" s="22" t="s">
        <v>496</v>
      </c>
      <c r="S43" s="22" t="s">
        <v>537</v>
      </c>
      <c r="T43" s="22" t="s">
        <v>523</v>
      </c>
      <c r="U43" s="22" t="s">
        <v>496</v>
      </c>
      <c r="V43" s="22" t="s">
        <v>496</v>
      </c>
      <c r="W43" s="22" t="s">
        <v>496</v>
      </c>
      <c r="X43" s="22" t="s">
        <v>496</v>
      </c>
      <c r="Y43" s="22" t="s">
        <v>496</v>
      </c>
      <c r="Z43" s="22" t="s">
        <v>526</v>
      </c>
      <c r="AA43" s="22" t="s">
        <v>506</v>
      </c>
      <c r="AB43" s="22" t="s">
        <v>504</v>
      </c>
      <c r="AC43" s="22" t="s">
        <v>504</v>
      </c>
      <c r="AD43" s="22" t="s">
        <v>496</v>
      </c>
      <c r="AE43" s="22" t="s">
        <v>496</v>
      </c>
    </row>
    <row r="44" spans="1:31" ht="20.25" hidden="1" customHeight="1" x14ac:dyDescent="0.15">
      <c r="A44" s="27" t="s">
        <v>630</v>
      </c>
      <c r="B44" s="21">
        <v>35</v>
      </c>
      <c r="C44" s="22" t="s">
        <v>38</v>
      </c>
      <c r="D44" s="22" t="s">
        <v>516</v>
      </c>
      <c r="E44" s="22" t="s">
        <v>512</v>
      </c>
      <c r="F44" s="22" t="s">
        <v>495</v>
      </c>
      <c r="G44" s="22" t="s">
        <v>496</v>
      </c>
      <c r="H44" s="22" t="s">
        <v>532</v>
      </c>
      <c r="I44" s="22" t="s">
        <v>162</v>
      </c>
      <c r="J44" s="22" t="s">
        <v>163</v>
      </c>
      <c r="K44" s="22" t="s">
        <v>498</v>
      </c>
      <c r="L44" s="22" t="s">
        <v>522</v>
      </c>
      <c r="M44" s="22" t="s">
        <v>522</v>
      </c>
      <c r="N44" s="22" t="s">
        <v>496</v>
      </c>
      <c r="O44" s="22"/>
      <c r="P44" s="22"/>
      <c r="Q44" s="22" t="s">
        <v>496</v>
      </c>
      <c r="R44" s="22" t="s">
        <v>496</v>
      </c>
      <c r="S44" s="22" t="s">
        <v>537</v>
      </c>
      <c r="T44" s="22" t="s">
        <v>523</v>
      </c>
      <c r="U44" s="22" t="s">
        <v>496</v>
      </c>
      <c r="V44" s="22" t="s">
        <v>496</v>
      </c>
      <c r="W44" s="22" t="s">
        <v>496</v>
      </c>
      <c r="X44" s="22" t="s">
        <v>496</v>
      </c>
      <c r="Y44" s="22" t="s">
        <v>496</v>
      </c>
      <c r="Z44" s="22" t="s">
        <v>526</v>
      </c>
      <c r="AA44" s="22" t="s">
        <v>506</v>
      </c>
      <c r="AB44" s="22" t="s">
        <v>504</v>
      </c>
      <c r="AC44" s="22" t="s">
        <v>504</v>
      </c>
      <c r="AD44" s="22" t="s">
        <v>496</v>
      </c>
      <c r="AE44" s="22" t="s">
        <v>496</v>
      </c>
    </row>
    <row r="45" spans="1:31" ht="20.25" hidden="1" customHeight="1" x14ac:dyDescent="0.15">
      <c r="A45" s="27" t="s">
        <v>630</v>
      </c>
      <c r="B45" s="21">
        <v>36</v>
      </c>
      <c r="C45" s="22" t="s">
        <v>38</v>
      </c>
      <c r="D45" s="22" t="s">
        <v>516</v>
      </c>
      <c r="E45" s="22" t="s">
        <v>516</v>
      </c>
      <c r="F45" s="22" t="s">
        <v>495</v>
      </c>
      <c r="G45" s="22" t="s">
        <v>496</v>
      </c>
      <c r="H45" s="22" t="s">
        <v>533</v>
      </c>
      <c r="I45" s="22" t="s">
        <v>166</v>
      </c>
      <c r="J45" s="22" t="s">
        <v>167</v>
      </c>
      <c r="K45" s="22" t="s">
        <v>498</v>
      </c>
      <c r="L45" s="22" t="s">
        <v>531</v>
      </c>
      <c r="M45" s="22" t="s">
        <v>531</v>
      </c>
      <c r="N45" s="22" t="s">
        <v>496</v>
      </c>
      <c r="O45" s="22"/>
      <c r="P45" s="22"/>
      <c r="Q45" s="22" t="s">
        <v>496</v>
      </c>
      <c r="R45" s="22" t="s">
        <v>496</v>
      </c>
      <c r="S45" s="22" t="s">
        <v>537</v>
      </c>
      <c r="T45" s="22" t="s">
        <v>534</v>
      </c>
      <c r="U45" s="22" t="s">
        <v>496</v>
      </c>
      <c r="V45" s="22" t="s">
        <v>496</v>
      </c>
      <c r="W45" s="22" t="s">
        <v>496</v>
      </c>
      <c r="X45" s="22" t="s">
        <v>496</v>
      </c>
      <c r="Y45" s="22" t="s">
        <v>496</v>
      </c>
      <c r="Z45" s="22" t="s">
        <v>526</v>
      </c>
      <c r="AA45" s="22" t="s">
        <v>506</v>
      </c>
      <c r="AB45" s="22" t="s">
        <v>504</v>
      </c>
      <c r="AC45" s="22" t="s">
        <v>504</v>
      </c>
      <c r="AD45" s="22" t="s">
        <v>496</v>
      </c>
      <c r="AE45" s="22" t="s">
        <v>496</v>
      </c>
    </row>
    <row r="46" spans="1:31" ht="20.25" hidden="1" customHeight="1" x14ac:dyDescent="0.15">
      <c r="A46" s="24" t="s">
        <v>631</v>
      </c>
      <c r="B46" s="21">
        <v>37</v>
      </c>
      <c r="C46" s="22" t="s">
        <v>539</v>
      </c>
      <c r="D46" s="22" t="s">
        <v>494</v>
      </c>
      <c r="E46" s="22" t="s">
        <v>494</v>
      </c>
      <c r="F46" s="22" t="s">
        <v>495</v>
      </c>
      <c r="G46" s="22" t="s">
        <v>496</v>
      </c>
      <c r="H46" s="22" t="s">
        <v>497</v>
      </c>
      <c r="I46" s="22" t="s">
        <v>228</v>
      </c>
      <c r="J46" s="22" t="s">
        <v>229</v>
      </c>
      <c r="K46" s="22" t="s">
        <v>498</v>
      </c>
      <c r="L46" s="22" t="s">
        <v>536</v>
      </c>
      <c r="M46" s="22" t="s">
        <v>500</v>
      </c>
      <c r="N46" s="22" t="s">
        <v>496</v>
      </c>
      <c r="O46" s="22"/>
      <c r="P46" s="22"/>
      <c r="Q46" s="22" t="s">
        <v>496</v>
      </c>
      <c r="R46" s="22" t="s">
        <v>496</v>
      </c>
      <c r="S46" s="22" t="s">
        <v>537</v>
      </c>
      <c r="T46" s="22" t="s">
        <v>502</v>
      </c>
      <c r="U46" s="22" t="s">
        <v>537</v>
      </c>
      <c r="V46" s="22" t="s">
        <v>538</v>
      </c>
      <c r="W46" s="22" t="s">
        <v>504</v>
      </c>
      <c r="X46" s="22" t="s">
        <v>505</v>
      </c>
      <c r="Y46" s="22" t="s">
        <v>506</v>
      </c>
      <c r="Z46" s="22" t="s">
        <v>507</v>
      </c>
      <c r="AA46" s="22" t="s">
        <v>506</v>
      </c>
      <c r="AB46" s="22" t="s">
        <v>504</v>
      </c>
      <c r="AC46" s="22" t="s">
        <v>504</v>
      </c>
      <c r="AD46" s="22" t="s">
        <v>476</v>
      </c>
      <c r="AE46" s="22" t="s">
        <v>509</v>
      </c>
    </row>
    <row r="47" spans="1:31" ht="20.25" hidden="1" customHeight="1" x14ac:dyDescent="0.15">
      <c r="A47" s="24" t="s">
        <v>631</v>
      </c>
      <c r="B47" s="21">
        <v>37</v>
      </c>
      <c r="C47" s="22" t="s">
        <v>539</v>
      </c>
      <c r="D47" s="22" t="s">
        <v>494</v>
      </c>
      <c r="E47" s="22" t="s">
        <v>494</v>
      </c>
      <c r="F47" s="22" t="s">
        <v>495</v>
      </c>
      <c r="G47" s="22" t="s">
        <v>496</v>
      </c>
      <c r="H47" s="22" t="s">
        <v>497</v>
      </c>
      <c r="I47" s="22" t="s">
        <v>228</v>
      </c>
      <c r="J47" s="22" t="s">
        <v>229</v>
      </c>
      <c r="K47" s="22" t="s">
        <v>498</v>
      </c>
      <c r="L47" s="22" t="s">
        <v>536</v>
      </c>
      <c r="M47" s="22" t="s">
        <v>500</v>
      </c>
      <c r="N47" s="22" t="s">
        <v>496</v>
      </c>
      <c r="O47" s="22"/>
      <c r="P47" s="22"/>
      <c r="Q47" s="22" t="s">
        <v>496</v>
      </c>
      <c r="R47" s="22" t="s">
        <v>496</v>
      </c>
      <c r="S47" s="22" t="s">
        <v>537</v>
      </c>
      <c r="T47" s="22" t="s">
        <v>502</v>
      </c>
      <c r="U47" s="22" t="s">
        <v>502</v>
      </c>
      <c r="V47" s="22" t="s">
        <v>503</v>
      </c>
      <c r="W47" s="22" t="s">
        <v>504</v>
      </c>
      <c r="X47" s="22" t="s">
        <v>505</v>
      </c>
      <c r="Y47" s="22" t="s">
        <v>506</v>
      </c>
      <c r="Z47" s="22" t="s">
        <v>507</v>
      </c>
      <c r="AA47" s="22" t="s">
        <v>506</v>
      </c>
      <c r="AB47" s="22" t="s">
        <v>504</v>
      </c>
      <c r="AC47" s="22" t="s">
        <v>504</v>
      </c>
      <c r="AD47" s="22" t="s">
        <v>508</v>
      </c>
      <c r="AE47" s="22" t="s">
        <v>509</v>
      </c>
    </row>
    <row r="48" spans="1:31" ht="20.25" hidden="1" customHeight="1" x14ac:dyDescent="0.15">
      <c r="A48" s="27" t="s">
        <v>632</v>
      </c>
      <c r="B48" s="21">
        <v>38</v>
      </c>
      <c r="C48" s="22" t="s">
        <v>539</v>
      </c>
      <c r="D48" s="22" t="s">
        <v>494</v>
      </c>
      <c r="E48" s="22" t="s">
        <v>512</v>
      </c>
      <c r="F48" s="22" t="s">
        <v>495</v>
      </c>
      <c r="G48" s="22" t="s">
        <v>496</v>
      </c>
      <c r="H48" s="22" t="s">
        <v>513</v>
      </c>
      <c r="I48" s="22" t="s">
        <v>226</v>
      </c>
      <c r="J48" s="22" t="s">
        <v>227</v>
      </c>
      <c r="K48" s="22" t="s">
        <v>498</v>
      </c>
      <c r="L48" s="22" t="s">
        <v>536</v>
      </c>
      <c r="M48" s="22" t="s">
        <v>499</v>
      </c>
      <c r="N48" s="22" t="s">
        <v>496</v>
      </c>
      <c r="O48" s="22"/>
      <c r="P48" s="22"/>
      <c r="Q48" s="22" t="s">
        <v>496</v>
      </c>
      <c r="R48" s="22" t="s">
        <v>496</v>
      </c>
      <c r="S48" s="22" t="s">
        <v>537</v>
      </c>
      <c r="T48" s="22" t="s">
        <v>514</v>
      </c>
      <c r="U48" s="22" t="s">
        <v>537</v>
      </c>
      <c r="V48" s="22" t="s">
        <v>538</v>
      </c>
      <c r="W48" s="22" t="s">
        <v>504</v>
      </c>
      <c r="X48" s="22" t="s">
        <v>505</v>
      </c>
      <c r="Y48" s="22" t="s">
        <v>506</v>
      </c>
      <c r="Z48" s="22" t="s">
        <v>515</v>
      </c>
      <c r="AA48" s="22" t="s">
        <v>506</v>
      </c>
      <c r="AB48" s="22" t="s">
        <v>504</v>
      </c>
      <c r="AC48" s="22" t="s">
        <v>504</v>
      </c>
      <c r="AD48" s="22" t="s">
        <v>476</v>
      </c>
      <c r="AE48" s="22" t="s">
        <v>509</v>
      </c>
    </row>
    <row r="49" spans="1:31" ht="20.25" hidden="1" customHeight="1" x14ac:dyDescent="0.15">
      <c r="A49" s="27" t="s">
        <v>632</v>
      </c>
      <c r="B49" s="21">
        <v>39</v>
      </c>
      <c r="C49" s="22" t="s">
        <v>539</v>
      </c>
      <c r="D49" s="22" t="s">
        <v>494</v>
      </c>
      <c r="E49" s="22" t="s">
        <v>516</v>
      </c>
      <c r="F49" s="22" t="s">
        <v>495</v>
      </c>
      <c r="G49" s="22" t="s">
        <v>496</v>
      </c>
      <c r="H49" s="22" t="s">
        <v>517</v>
      </c>
      <c r="I49" s="22" t="s">
        <v>442</v>
      </c>
      <c r="J49" s="22" t="s">
        <v>443</v>
      </c>
      <c r="K49" s="22" t="s">
        <v>498</v>
      </c>
      <c r="L49" s="22" t="s">
        <v>536</v>
      </c>
      <c r="M49" s="22" t="s">
        <v>499</v>
      </c>
      <c r="N49" s="22" t="s">
        <v>496</v>
      </c>
      <c r="O49" s="22"/>
      <c r="P49" s="22"/>
      <c r="Q49" s="22" t="s">
        <v>496</v>
      </c>
      <c r="R49" s="22" t="s">
        <v>496</v>
      </c>
      <c r="S49" s="22" t="s">
        <v>537</v>
      </c>
      <c r="T49" s="22" t="s">
        <v>514</v>
      </c>
      <c r="U49" s="22" t="s">
        <v>537</v>
      </c>
      <c r="V49" s="22" t="s">
        <v>538</v>
      </c>
      <c r="W49" s="22" t="s">
        <v>504</v>
      </c>
      <c r="X49" s="22" t="s">
        <v>505</v>
      </c>
      <c r="Y49" s="22" t="s">
        <v>506</v>
      </c>
      <c r="Z49" s="22" t="s">
        <v>515</v>
      </c>
      <c r="AA49" s="22" t="s">
        <v>506</v>
      </c>
      <c r="AB49" s="22" t="s">
        <v>504</v>
      </c>
      <c r="AC49" s="22" t="s">
        <v>504</v>
      </c>
      <c r="AD49" s="22" t="s">
        <v>476</v>
      </c>
      <c r="AE49" s="22" t="s">
        <v>509</v>
      </c>
    </row>
    <row r="50" spans="1:31" ht="20.25" hidden="1" customHeight="1" x14ac:dyDescent="0.15">
      <c r="A50" s="27" t="s">
        <v>633</v>
      </c>
      <c r="B50" s="21">
        <v>40</v>
      </c>
      <c r="C50" s="22" t="s">
        <v>539</v>
      </c>
      <c r="D50" s="22" t="s">
        <v>494</v>
      </c>
      <c r="E50" s="22" t="s">
        <v>516</v>
      </c>
      <c r="F50" s="22" t="s">
        <v>495</v>
      </c>
      <c r="G50" s="22" t="s">
        <v>496</v>
      </c>
      <c r="H50" s="22" t="s">
        <v>519</v>
      </c>
      <c r="I50" s="22" t="s">
        <v>450</v>
      </c>
      <c r="J50" s="22" t="s">
        <v>451</v>
      </c>
      <c r="K50" s="22" t="s">
        <v>498</v>
      </c>
      <c r="L50" s="22" t="s">
        <v>536</v>
      </c>
      <c r="M50" s="22" t="s">
        <v>498</v>
      </c>
      <c r="N50" s="22" t="s">
        <v>496</v>
      </c>
      <c r="O50" s="22"/>
      <c r="P50" s="22"/>
      <c r="Q50" s="22" t="s">
        <v>496</v>
      </c>
      <c r="R50" s="22" t="s">
        <v>496</v>
      </c>
      <c r="S50" s="22" t="s">
        <v>537</v>
      </c>
      <c r="T50" s="22" t="s">
        <v>520</v>
      </c>
      <c r="U50" s="22" t="s">
        <v>537</v>
      </c>
      <c r="V50" s="22" t="s">
        <v>538</v>
      </c>
      <c r="W50" s="22" t="s">
        <v>504</v>
      </c>
      <c r="X50" s="22" t="s">
        <v>505</v>
      </c>
      <c r="Y50" s="22" t="s">
        <v>506</v>
      </c>
      <c r="Z50" s="22" t="s">
        <v>515</v>
      </c>
      <c r="AA50" s="22" t="s">
        <v>506</v>
      </c>
      <c r="AB50" s="22" t="s">
        <v>504</v>
      </c>
      <c r="AC50" s="22" t="s">
        <v>504</v>
      </c>
      <c r="AD50" s="22" t="s">
        <v>476</v>
      </c>
      <c r="AE50" s="22" t="s">
        <v>509</v>
      </c>
    </row>
    <row r="51" spans="1:31" ht="20.25" hidden="1" customHeight="1" x14ac:dyDescent="0.15">
      <c r="A51" s="27" t="s">
        <v>633</v>
      </c>
      <c r="B51" s="21">
        <v>41</v>
      </c>
      <c r="C51" s="22" t="s">
        <v>539</v>
      </c>
      <c r="D51" s="22" t="s">
        <v>494</v>
      </c>
      <c r="E51" s="22" t="s">
        <v>516</v>
      </c>
      <c r="F51" s="22" t="s">
        <v>495</v>
      </c>
      <c r="G51" s="22" t="s">
        <v>496</v>
      </c>
      <c r="H51" s="22" t="s">
        <v>521</v>
      </c>
      <c r="I51" s="22" t="s">
        <v>106</v>
      </c>
      <c r="J51" s="22" t="s">
        <v>107</v>
      </c>
      <c r="K51" s="22" t="s">
        <v>498</v>
      </c>
      <c r="L51" s="22" t="s">
        <v>536</v>
      </c>
      <c r="M51" s="22" t="s">
        <v>522</v>
      </c>
      <c r="N51" s="22" t="s">
        <v>496</v>
      </c>
      <c r="O51" s="22"/>
      <c r="P51" s="22"/>
      <c r="Q51" s="22" t="s">
        <v>496</v>
      </c>
      <c r="R51" s="22" t="s">
        <v>496</v>
      </c>
      <c r="S51" s="22" t="s">
        <v>537</v>
      </c>
      <c r="T51" s="22" t="s">
        <v>523</v>
      </c>
      <c r="U51" s="22" t="s">
        <v>537</v>
      </c>
      <c r="V51" s="22" t="s">
        <v>538</v>
      </c>
      <c r="W51" s="22" t="s">
        <v>504</v>
      </c>
      <c r="X51" s="22" t="s">
        <v>505</v>
      </c>
      <c r="Y51" s="22" t="s">
        <v>506</v>
      </c>
      <c r="Z51" s="22" t="s">
        <v>515</v>
      </c>
      <c r="AA51" s="22" t="s">
        <v>506</v>
      </c>
      <c r="AB51" s="22" t="s">
        <v>504</v>
      </c>
      <c r="AC51" s="22" t="s">
        <v>504</v>
      </c>
      <c r="AD51" s="22" t="s">
        <v>476</v>
      </c>
      <c r="AE51" s="22" t="s">
        <v>509</v>
      </c>
    </row>
    <row r="52" spans="1:31" ht="20.25" hidden="1" customHeight="1" x14ac:dyDescent="0.15">
      <c r="A52" s="24" t="s">
        <v>631</v>
      </c>
      <c r="B52" s="21">
        <v>42</v>
      </c>
      <c r="C52" s="22" t="s">
        <v>540</v>
      </c>
      <c r="D52" s="22" t="s">
        <v>494</v>
      </c>
      <c r="E52" s="22" t="s">
        <v>494</v>
      </c>
      <c r="F52" s="22" t="s">
        <v>495</v>
      </c>
      <c r="G52" s="22" t="s">
        <v>496</v>
      </c>
      <c r="H52" s="22" t="s">
        <v>497</v>
      </c>
      <c r="I52" s="22" t="s">
        <v>210</v>
      </c>
      <c r="J52" s="22" t="s">
        <v>211</v>
      </c>
      <c r="K52" s="22" t="s">
        <v>498</v>
      </c>
      <c r="L52" s="22" t="s">
        <v>541</v>
      </c>
      <c r="M52" s="22" t="s">
        <v>500</v>
      </c>
      <c r="N52" s="22" t="s">
        <v>496</v>
      </c>
      <c r="O52" s="22"/>
      <c r="P52" s="22"/>
      <c r="Q52" s="22" t="s">
        <v>496</v>
      </c>
      <c r="R52" s="22" t="s">
        <v>496</v>
      </c>
      <c r="S52" s="22" t="s">
        <v>537</v>
      </c>
      <c r="T52" s="22" t="s">
        <v>502</v>
      </c>
      <c r="U52" s="22" t="s">
        <v>502</v>
      </c>
      <c r="V52" s="22" t="s">
        <v>503</v>
      </c>
      <c r="W52" s="22" t="s">
        <v>504</v>
      </c>
      <c r="X52" s="22" t="s">
        <v>505</v>
      </c>
      <c r="Y52" s="22" t="s">
        <v>506</v>
      </c>
      <c r="Z52" s="22" t="s">
        <v>507</v>
      </c>
      <c r="AA52" s="22" t="s">
        <v>506</v>
      </c>
      <c r="AB52" s="22" t="s">
        <v>504</v>
      </c>
      <c r="AC52" s="22" t="s">
        <v>504</v>
      </c>
      <c r="AD52" s="22" t="s">
        <v>508</v>
      </c>
      <c r="AE52" s="22" t="s">
        <v>509</v>
      </c>
    </row>
    <row r="53" spans="1:31" ht="20.25" hidden="1" customHeight="1" x14ac:dyDescent="0.15">
      <c r="A53" s="24" t="s">
        <v>631</v>
      </c>
      <c r="B53" s="21">
        <v>42</v>
      </c>
      <c r="C53" s="22" t="s">
        <v>540</v>
      </c>
      <c r="D53" s="22" t="s">
        <v>494</v>
      </c>
      <c r="E53" s="22" t="s">
        <v>494</v>
      </c>
      <c r="F53" s="22" t="s">
        <v>495</v>
      </c>
      <c r="G53" s="22" t="s">
        <v>496</v>
      </c>
      <c r="H53" s="22" t="s">
        <v>497</v>
      </c>
      <c r="I53" s="22" t="s">
        <v>210</v>
      </c>
      <c r="J53" s="22" t="s">
        <v>211</v>
      </c>
      <c r="K53" s="22" t="s">
        <v>498</v>
      </c>
      <c r="L53" s="22" t="s">
        <v>541</v>
      </c>
      <c r="M53" s="22" t="s">
        <v>500</v>
      </c>
      <c r="N53" s="22" t="s">
        <v>496</v>
      </c>
      <c r="O53" s="22"/>
      <c r="P53" s="22"/>
      <c r="Q53" s="22" t="s">
        <v>496</v>
      </c>
      <c r="R53" s="22" t="s">
        <v>496</v>
      </c>
      <c r="S53" s="22" t="s">
        <v>537</v>
      </c>
      <c r="T53" s="22" t="s">
        <v>502</v>
      </c>
      <c r="U53" s="22" t="s">
        <v>537</v>
      </c>
      <c r="V53" s="22" t="s">
        <v>538</v>
      </c>
      <c r="W53" s="22" t="s">
        <v>504</v>
      </c>
      <c r="X53" s="22" t="s">
        <v>505</v>
      </c>
      <c r="Y53" s="22" t="s">
        <v>506</v>
      </c>
      <c r="Z53" s="22" t="s">
        <v>507</v>
      </c>
      <c r="AA53" s="22" t="s">
        <v>506</v>
      </c>
      <c r="AB53" s="22" t="s">
        <v>504</v>
      </c>
      <c r="AC53" s="22" t="s">
        <v>504</v>
      </c>
      <c r="AD53" s="22" t="s">
        <v>476</v>
      </c>
      <c r="AE53" s="22" t="s">
        <v>509</v>
      </c>
    </row>
    <row r="54" spans="1:31" ht="20.25" hidden="1" customHeight="1" x14ac:dyDescent="0.15">
      <c r="A54" s="27" t="s">
        <v>632</v>
      </c>
      <c r="B54" s="21">
        <v>43</v>
      </c>
      <c r="C54" s="22" t="s">
        <v>540</v>
      </c>
      <c r="D54" s="22" t="s">
        <v>494</v>
      </c>
      <c r="E54" s="22" t="s">
        <v>512</v>
      </c>
      <c r="F54" s="22" t="s">
        <v>495</v>
      </c>
      <c r="G54" s="22" t="s">
        <v>496</v>
      </c>
      <c r="H54" s="22" t="s">
        <v>513</v>
      </c>
      <c r="I54" s="22" t="s">
        <v>208</v>
      </c>
      <c r="J54" s="22" t="s">
        <v>209</v>
      </c>
      <c r="K54" s="22" t="s">
        <v>498</v>
      </c>
      <c r="L54" s="22" t="s">
        <v>541</v>
      </c>
      <c r="M54" s="22" t="s">
        <v>499</v>
      </c>
      <c r="N54" s="22" t="s">
        <v>496</v>
      </c>
      <c r="O54" s="22"/>
      <c r="P54" s="22"/>
      <c r="Q54" s="22" t="s">
        <v>496</v>
      </c>
      <c r="R54" s="22" t="s">
        <v>496</v>
      </c>
      <c r="S54" s="22" t="s">
        <v>537</v>
      </c>
      <c r="T54" s="22" t="s">
        <v>514</v>
      </c>
      <c r="U54" s="22" t="s">
        <v>537</v>
      </c>
      <c r="V54" s="22" t="s">
        <v>538</v>
      </c>
      <c r="W54" s="22" t="s">
        <v>504</v>
      </c>
      <c r="X54" s="22" t="s">
        <v>505</v>
      </c>
      <c r="Y54" s="22" t="s">
        <v>506</v>
      </c>
      <c r="Z54" s="22" t="s">
        <v>515</v>
      </c>
      <c r="AA54" s="22" t="s">
        <v>506</v>
      </c>
      <c r="AB54" s="22" t="s">
        <v>504</v>
      </c>
      <c r="AC54" s="22" t="s">
        <v>504</v>
      </c>
      <c r="AD54" s="22" t="s">
        <v>476</v>
      </c>
      <c r="AE54" s="22" t="s">
        <v>509</v>
      </c>
    </row>
    <row r="55" spans="1:31" ht="20.25" hidden="1" customHeight="1" x14ac:dyDescent="0.15">
      <c r="A55" s="27" t="s">
        <v>632</v>
      </c>
      <c r="B55" s="21">
        <v>44</v>
      </c>
      <c r="C55" s="22" t="s">
        <v>540</v>
      </c>
      <c r="D55" s="22" t="s">
        <v>494</v>
      </c>
      <c r="E55" s="22" t="s">
        <v>516</v>
      </c>
      <c r="F55" s="22" t="s">
        <v>495</v>
      </c>
      <c r="G55" s="22" t="s">
        <v>496</v>
      </c>
      <c r="H55" s="22" t="s">
        <v>517</v>
      </c>
      <c r="I55" s="22" t="s">
        <v>412</v>
      </c>
      <c r="J55" s="22" t="s">
        <v>413</v>
      </c>
      <c r="K55" s="22" t="s">
        <v>498</v>
      </c>
      <c r="L55" s="22" t="s">
        <v>541</v>
      </c>
      <c r="M55" s="22" t="s">
        <v>499</v>
      </c>
      <c r="N55" s="22" t="s">
        <v>496</v>
      </c>
      <c r="O55" s="22"/>
      <c r="P55" s="22"/>
      <c r="Q55" s="22" t="s">
        <v>496</v>
      </c>
      <c r="R55" s="22" t="s">
        <v>496</v>
      </c>
      <c r="S55" s="22" t="s">
        <v>537</v>
      </c>
      <c r="T55" s="22" t="s">
        <v>514</v>
      </c>
      <c r="U55" s="22" t="s">
        <v>537</v>
      </c>
      <c r="V55" s="22" t="s">
        <v>538</v>
      </c>
      <c r="W55" s="22" t="s">
        <v>504</v>
      </c>
      <c r="X55" s="22" t="s">
        <v>505</v>
      </c>
      <c r="Y55" s="22" t="s">
        <v>506</v>
      </c>
      <c r="Z55" s="22" t="s">
        <v>515</v>
      </c>
      <c r="AA55" s="22" t="s">
        <v>506</v>
      </c>
      <c r="AB55" s="22" t="s">
        <v>504</v>
      </c>
      <c r="AC55" s="22" t="s">
        <v>504</v>
      </c>
      <c r="AD55" s="22" t="s">
        <v>476</v>
      </c>
      <c r="AE55" s="22" t="s">
        <v>509</v>
      </c>
    </row>
    <row r="56" spans="1:31" ht="20.25" hidden="1" customHeight="1" x14ac:dyDescent="0.15">
      <c r="A56" s="27" t="s">
        <v>633</v>
      </c>
      <c r="B56" s="21">
        <v>45</v>
      </c>
      <c r="C56" s="22" t="s">
        <v>540</v>
      </c>
      <c r="D56" s="22" t="s">
        <v>494</v>
      </c>
      <c r="E56" s="22" t="s">
        <v>516</v>
      </c>
      <c r="F56" s="22" t="s">
        <v>495</v>
      </c>
      <c r="G56" s="22" t="s">
        <v>496</v>
      </c>
      <c r="H56" s="22" t="s">
        <v>519</v>
      </c>
      <c r="I56" s="22" t="s">
        <v>216</v>
      </c>
      <c r="J56" s="22" t="s">
        <v>217</v>
      </c>
      <c r="K56" s="22" t="s">
        <v>498</v>
      </c>
      <c r="L56" s="22" t="s">
        <v>541</v>
      </c>
      <c r="M56" s="22" t="s">
        <v>498</v>
      </c>
      <c r="N56" s="22" t="s">
        <v>496</v>
      </c>
      <c r="O56" s="22"/>
      <c r="P56" s="22"/>
      <c r="Q56" s="22" t="s">
        <v>496</v>
      </c>
      <c r="R56" s="22" t="s">
        <v>496</v>
      </c>
      <c r="S56" s="22" t="s">
        <v>537</v>
      </c>
      <c r="T56" s="22" t="s">
        <v>520</v>
      </c>
      <c r="U56" s="22" t="s">
        <v>537</v>
      </c>
      <c r="V56" s="22" t="s">
        <v>538</v>
      </c>
      <c r="W56" s="22" t="s">
        <v>504</v>
      </c>
      <c r="X56" s="22" t="s">
        <v>505</v>
      </c>
      <c r="Y56" s="22" t="s">
        <v>506</v>
      </c>
      <c r="Z56" s="22" t="s">
        <v>515</v>
      </c>
      <c r="AA56" s="22" t="s">
        <v>506</v>
      </c>
      <c r="AB56" s="22" t="s">
        <v>504</v>
      </c>
      <c r="AC56" s="22" t="s">
        <v>504</v>
      </c>
      <c r="AD56" s="22" t="s">
        <v>476</v>
      </c>
      <c r="AE56" s="22" t="s">
        <v>509</v>
      </c>
    </row>
    <row r="57" spans="1:31" ht="20.25" hidden="1" customHeight="1" x14ac:dyDescent="0.15">
      <c r="A57" s="27" t="s">
        <v>633</v>
      </c>
      <c r="B57" s="21">
        <v>46</v>
      </c>
      <c r="C57" s="22" t="s">
        <v>540</v>
      </c>
      <c r="D57" s="22" t="s">
        <v>494</v>
      </c>
      <c r="E57" s="22" t="s">
        <v>516</v>
      </c>
      <c r="F57" s="22" t="s">
        <v>495</v>
      </c>
      <c r="G57" s="22" t="s">
        <v>496</v>
      </c>
      <c r="H57" s="22" t="s">
        <v>521</v>
      </c>
      <c r="I57" s="22" t="s">
        <v>318</v>
      </c>
      <c r="J57" s="22" t="s">
        <v>319</v>
      </c>
      <c r="K57" s="22" t="s">
        <v>498</v>
      </c>
      <c r="L57" s="22" t="s">
        <v>541</v>
      </c>
      <c r="M57" s="22" t="s">
        <v>522</v>
      </c>
      <c r="N57" s="22" t="s">
        <v>496</v>
      </c>
      <c r="O57" s="22"/>
      <c r="P57" s="22"/>
      <c r="Q57" s="22" t="s">
        <v>496</v>
      </c>
      <c r="R57" s="22" t="s">
        <v>496</v>
      </c>
      <c r="S57" s="22" t="s">
        <v>537</v>
      </c>
      <c r="T57" s="22" t="s">
        <v>523</v>
      </c>
      <c r="U57" s="22" t="s">
        <v>537</v>
      </c>
      <c r="V57" s="22" t="s">
        <v>538</v>
      </c>
      <c r="W57" s="22" t="s">
        <v>504</v>
      </c>
      <c r="X57" s="22" t="s">
        <v>505</v>
      </c>
      <c r="Y57" s="22" t="s">
        <v>506</v>
      </c>
      <c r="Z57" s="22" t="s">
        <v>515</v>
      </c>
      <c r="AA57" s="22" t="s">
        <v>506</v>
      </c>
      <c r="AB57" s="22" t="s">
        <v>504</v>
      </c>
      <c r="AC57" s="22" t="s">
        <v>504</v>
      </c>
      <c r="AD57" s="22" t="s">
        <v>476</v>
      </c>
      <c r="AE57" s="22" t="s">
        <v>509</v>
      </c>
    </row>
    <row r="58" spans="1:31" ht="20.25" hidden="1" customHeight="1" x14ac:dyDescent="0.15">
      <c r="A58" s="27" t="s">
        <v>603</v>
      </c>
      <c r="B58" s="21">
        <v>47</v>
      </c>
      <c r="C58" s="22" t="s">
        <v>493</v>
      </c>
      <c r="D58" s="22" t="s">
        <v>494</v>
      </c>
      <c r="E58" s="22" t="s">
        <v>494</v>
      </c>
      <c r="F58" s="22" t="s">
        <v>542</v>
      </c>
      <c r="G58" s="22" t="s">
        <v>496</v>
      </c>
      <c r="H58" s="22" t="s">
        <v>543</v>
      </c>
      <c r="I58" s="22" t="s">
        <v>328</v>
      </c>
      <c r="J58" s="22" t="s">
        <v>329</v>
      </c>
      <c r="K58" s="22" t="s">
        <v>498</v>
      </c>
      <c r="L58" s="22" t="s">
        <v>499</v>
      </c>
      <c r="M58" s="22" t="s">
        <v>496</v>
      </c>
      <c r="N58" s="22" t="s">
        <v>541</v>
      </c>
      <c r="O58" s="22">
        <v>450</v>
      </c>
      <c r="P58" s="22"/>
      <c r="Q58" s="22" t="s">
        <v>496</v>
      </c>
      <c r="R58" s="22" t="s">
        <v>496</v>
      </c>
      <c r="S58" s="22" t="s">
        <v>501</v>
      </c>
      <c r="T58" s="22" t="s">
        <v>496</v>
      </c>
      <c r="U58" s="22" t="s">
        <v>496</v>
      </c>
      <c r="V58" s="22" t="s">
        <v>544</v>
      </c>
      <c r="W58" s="22" t="s">
        <v>545</v>
      </c>
      <c r="X58" s="22" t="s">
        <v>541</v>
      </c>
      <c r="Y58" s="22" t="s">
        <v>545</v>
      </c>
      <c r="Z58" s="22" t="s">
        <v>500</v>
      </c>
      <c r="AA58" s="22" t="s">
        <v>545</v>
      </c>
      <c r="AB58" s="22" t="s">
        <v>541</v>
      </c>
      <c r="AC58" s="22" t="s">
        <v>545</v>
      </c>
      <c r="AD58" s="22" t="s">
        <v>546</v>
      </c>
      <c r="AE58" s="22" t="s">
        <v>547</v>
      </c>
    </row>
    <row r="59" spans="1:31" ht="20.25" hidden="1" customHeight="1" x14ac:dyDescent="0.15">
      <c r="A59" s="27" t="s">
        <v>605</v>
      </c>
      <c r="B59" s="21">
        <v>47</v>
      </c>
      <c r="C59" s="22" t="s">
        <v>493</v>
      </c>
      <c r="D59" s="22" t="s">
        <v>494</v>
      </c>
      <c r="E59" s="22" t="s">
        <v>494</v>
      </c>
      <c r="F59" s="22" t="s">
        <v>542</v>
      </c>
      <c r="G59" s="22" t="s">
        <v>496</v>
      </c>
      <c r="H59" s="22" t="s">
        <v>543</v>
      </c>
      <c r="I59" s="22" t="s">
        <v>328</v>
      </c>
      <c r="J59" s="22" t="s">
        <v>329</v>
      </c>
      <c r="K59" s="22" t="s">
        <v>498</v>
      </c>
      <c r="L59" s="22" t="s">
        <v>499</v>
      </c>
      <c r="M59" s="22" t="s">
        <v>496</v>
      </c>
      <c r="N59" s="22" t="s">
        <v>541</v>
      </c>
      <c r="O59" s="22">
        <v>450</v>
      </c>
      <c r="P59" s="22"/>
      <c r="Q59" s="22" t="s">
        <v>496</v>
      </c>
      <c r="R59" s="22" t="s">
        <v>496</v>
      </c>
      <c r="S59" s="22" t="s">
        <v>501</v>
      </c>
      <c r="T59" s="22" t="s">
        <v>496</v>
      </c>
      <c r="U59" s="22" t="s">
        <v>501</v>
      </c>
      <c r="V59" s="22">
        <v>91121</v>
      </c>
      <c r="W59" s="22" t="s">
        <v>504</v>
      </c>
      <c r="X59" s="22" t="s">
        <v>541</v>
      </c>
      <c r="Y59" s="22" t="s">
        <v>545</v>
      </c>
      <c r="Z59" s="22" t="s">
        <v>500</v>
      </c>
      <c r="AA59" s="22" t="s">
        <v>545</v>
      </c>
      <c r="AB59" s="22" t="s">
        <v>541</v>
      </c>
      <c r="AC59" s="22" t="s">
        <v>545</v>
      </c>
      <c r="AD59" s="22" t="s">
        <v>511</v>
      </c>
      <c r="AE59" s="22" t="s">
        <v>509</v>
      </c>
    </row>
    <row r="60" spans="1:31" ht="20.25" hidden="1" customHeight="1" x14ac:dyDescent="0.15">
      <c r="A60" s="27" t="s">
        <v>605</v>
      </c>
      <c r="B60" s="21">
        <v>48</v>
      </c>
      <c r="C60" s="22" t="s">
        <v>493</v>
      </c>
      <c r="D60" s="22" t="s">
        <v>512</v>
      </c>
      <c r="E60" s="22" t="s">
        <v>494</v>
      </c>
      <c r="F60" s="22" t="s">
        <v>542</v>
      </c>
      <c r="G60" s="22" t="s">
        <v>496</v>
      </c>
      <c r="H60" s="22" t="s">
        <v>548</v>
      </c>
      <c r="I60" s="22" t="s">
        <v>436</v>
      </c>
      <c r="J60" s="22" t="s">
        <v>437</v>
      </c>
      <c r="K60" s="22" t="s">
        <v>498</v>
      </c>
      <c r="L60" s="22" t="s">
        <v>498</v>
      </c>
      <c r="M60" s="22" t="s">
        <v>496</v>
      </c>
      <c r="N60" s="22" t="s">
        <v>541</v>
      </c>
      <c r="O60" s="22">
        <v>450</v>
      </c>
      <c r="P60" s="22"/>
      <c r="Q60" s="22" t="s">
        <v>496</v>
      </c>
      <c r="R60" s="22" t="s">
        <v>496</v>
      </c>
      <c r="S60" s="22" t="s">
        <v>501</v>
      </c>
      <c r="T60" s="22" t="s">
        <v>496</v>
      </c>
      <c r="U60" s="22" t="s">
        <v>501</v>
      </c>
      <c r="V60" s="22" t="s">
        <v>510</v>
      </c>
      <c r="W60" s="22" t="s">
        <v>504</v>
      </c>
      <c r="X60" s="22" t="s">
        <v>504</v>
      </c>
      <c r="Y60" s="22" t="s">
        <v>545</v>
      </c>
      <c r="Z60" s="22" t="s">
        <v>499</v>
      </c>
      <c r="AA60" s="22" t="s">
        <v>545</v>
      </c>
      <c r="AB60" s="22" t="s">
        <v>541</v>
      </c>
      <c r="AC60" s="22" t="s">
        <v>545</v>
      </c>
      <c r="AD60" s="22" t="s">
        <v>511</v>
      </c>
      <c r="AE60" s="22" t="s">
        <v>509</v>
      </c>
    </row>
    <row r="61" spans="1:31" ht="20.25" hidden="1" customHeight="1" x14ac:dyDescent="0.15">
      <c r="A61" s="27" t="s">
        <v>603</v>
      </c>
      <c r="B61" s="21">
        <v>48</v>
      </c>
      <c r="C61" s="22" t="s">
        <v>493</v>
      </c>
      <c r="D61" s="22" t="s">
        <v>512</v>
      </c>
      <c r="E61" s="22" t="s">
        <v>494</v>
      </c>
      <c r="F61" s="22" t="s">
        <v>542</v>
      </c>
      <c r="G61" s="22" t="s">
        <v>496</v>
      </c>
      <c r="H61" s="22" t="s">
        <v>548</v>
      </c>
      <c r="I61" s="22" t="s">
        <v>436</v>
      </c>
      <c r="J61" s="22" t="s">
        <v>437</v>
      </c>
      <c r="K61" s="22" t="s">
        <v>498</v>
      </c>
      <c r="L61" s="22" t="s">
        <v>498</v>
      </c>
      <c r="M61" s="22" t="s">
        <v>496</v>
      </c>
      <c r="N61" s="22" t="s">
        <v>541</v>
      </c>
      <c r="O61" s="22">
        <v>450</v>
      </c>
      <c r="P61" s="22"/>
      <c r="Q61" s="22" t="s">
        <v>496</v>
      </c>
      <c r="R61" s="22" t="s">
        <v>496</v>
      </c>
      <c r="S61" s="22" t="s">
        <v>501</v>
      </c>
      <c r="T61" s="22" t="s">
        <v>496</v>
      </c>
      <c r="U61" s="22" t="s">
        <v>496</v>
      </c>
      <c r="V61" s="22" t="s">
        <v>544</v>
      </c>
      <c r="W61" s="22" t="s">
        <v>545</v>
      </c>
      <c r="X61" s="22" t="s">
        <v>541</v>
      </c>
      <c r="Y61" s="22" t="s">
        <v>545</v>
      </c>
      <c r="Z61" s="22" t="s">
        <v>499</v>
      </c>
      <c r="AA61" s="22" t="s">
        <v>545</v>
      </c>
      <c r="AB61" s="22" t="s">
        <v>541</v>
      </c>
      <c r="AC61" s="22" t="s">
        <v>545</v>
      </c>
      <c r="AD61" s="22" t="s">
        <v>546</v>
      </c>
      <c r="AE61" s="22" t="s">
        <v>547</v>
      </c>
    </row>
    <row r="62" spans="1:31" ht="20.25" hidden="1" customHeight="1" x14ac:dyDescent="0.15">
      <c r="A62" s="27" t="s">
        <v>603</v>
      </c>
      <c r="B62" s="21">
        <v>49</v>
      </c>
      <c r="C62" s="22" t="s">
        <v>493</v>
      </c>
      <c r="D62" s="22" t="s">
        <v>516</v>
      </c>
      <c r="E62" s="22" t="s">
        <v>494</v>
      </c>
      <c r="F62" s="22" t="s">
        <v>542</v>
      </c>
      <c r="G62" s="22" t="s">
        <v>496</v>
      </c>
      <c r="H62" s="22" t="s">
        <v>549</v>
      </c>
      <c r="I62" s="22" t="s">
        <v>346</v>
      </c>
      <c r="J62" s="22" t="s">
        <v>347</v>
      </c>
      <c r="K62" s="22" t="s">
        <v>498</v>
      </c>
      <c r="L62" s="22" t="s">
        <v>522</v>
      </c>
      <c r="M62" s="22" t="s">
        <v>496</v>
      </c>
      <c r="N62" s="22" t="s">
        <v>505</v>
      </c>
      <c r="O62" s="22" t="s">
        <v>536</v>
      </c>
      <c r="P62" s="22"/>
      <c r="Q62" s="22" t="s">
        <v>496</v>
      </c>
      <c r="R62" s="22" t="s">
        <v>496</v>
      </c>
      <c r="S62" s="22" t="s">
        <v>501</v>
      </c>
      <c r="T62" s="22" t="s">
        <v>496</v>
      </c>
      <c r="U62" s="22" t="s">
        <v>496</v>
      </c>
      <c r="V62" s="22" t="s">
        <v>544</v>
      </c>
      <c r="W62" s="22" t="s">
        <v>545</v>
      </c>
      <c r="X62" s="22" t="s">
        <v>505</v>
      </c>
      <c r="Y62" s="22" t="s">
        <v>545</v>
      </c>
      <c r="Z62" s="22" t="s">
        <v>500</v>
      </c>
      <c r="AA62" s="22" t="s">
        <v>545</v>
      </c>
      <c r="AB62" s="22" t="s">
        <v>505</v>
      </c>
      <c r="AC62" s="22" t="s">
        <v>545</v>
      </c>
      <c r="AD62" s="22" t="s">
        <v>546</v>
      </c>
      <c r="AE62" s="22" t="s">
        <v>547</v>
      </c>
    </row>
    <row r="63" spans="1:31" ht="20.25" hidden="1" customHeight="1" x14ac:dyDescent="0.15">
      <c r="A63" s="27" t="s">
        <v>605</v>
      </c>
      <c r="B63" s="21">
        <v>50</v>
      </c>
      <c r="C63" s="22" t="s">
        <v>493</v>
      </c>
      <c r="D63" s="22" t="s">
        <v>494</v>
      </c>
      <c r="E63" s="22" t="s">
        <v>494</v>
      </c>
      <c r="F63" s="22" t="s">
        <v>550</v>
      </c>
      <c r="G63" s="22" t="s">
        <v>496</v>
      </c>
      <c r="H63" s="22" t="s">
        <v>606</v>
      </c>
      <c r="I63" s="22" t="s">
        <v>404</v>
      </c>
      <c r="J63" s="22" t="s">
        <v>405</v>
      </c>
      <c r="K63" s="22" t="s">
        <v>498</v>
      </c>
      <c r="L63" s="22" t="s">
        <v>499</v>
      </c>
      <c r="M63" s="22" t="s">
        <v>496</v>
      </c>
      <c r="N63" s="22" t="s">
        <v>536</v>
      </c>
      <c r="O63" s="22">
        <v>450</v>
      </c>
      <c r="P63" s="22"/>
      <c r="Q63" s="22" t="s">
        <v>496</v>
      </c>
      <c r="R63" s="22" t="s">
        <v>496</v>
      </c>
      <c r="S63" s="22" t="s">
        <v>501</v>
      </c>
      <c r="T63" s="22" t="s">
        <v>496</v>
      </c>
      <c r="U63" s="22" t="s">
        <v>501</v>
      </c>
      <c r="V63" s="22" t="s">
        <v>510</v>
      </c>
      <c r="W63" s="22" t="s">
        <v>504</v>
      </c>
      <c r="X63" s="22" t="s">
        <v>541</v>
      </c>
      <c r="Y63" s="22" t="s">
        <v>545</v>
      </c>
      <c r="Z63" s="22" t="s">
        <v>552</v>
      </c>
      <c r="AA63" s="22" t="s">
        <v>545</v>
      </c>
      <c r="AB63" s="22" t="s">
        <v>553</v>
      </c>
      <c r="AC63" s="22" t="s">
        <v>545</v>
      </c>
      <c r="AD63" s="22" t="s">
        <v>511</v>
      </c>
      <c r="AE63" s="22" t="s">
        <v>509</v>
      </c>
    </row>
    <row r="64" spans="1:31" ht="20.25" hidden="1" customHeight="1" x14ac:dyDescent="0.15">
      <c r="A64" s="24" t="s">
        <v>604</v>
      </c>
      <c r="B64" s="21">
        <v>50</v>
      </c>
      <c r="C64" s="22" t="s">
        <v>493</v>
      </c>
      <c r="D64" s="22" t="s">
        <v>494</v>
      </c>
      <c r="E64" s="22" t="s">
        <v>494</v>
      </c>
      <c r="F64" s="22" t="s">
        <v>550</v>
      </c>
      <c r="G64" s="22" t="s">
        <v>496</v>
      </c>
      <c r="H64" s="22" t="s">
        <v>551</v>
      </c>
      <c r="I64" s="22" t="s">
        <v>404</v>
      </c>
      <c r="J64" s="22" t="s">
        <v>405</v>
      </c>
      <c r="K64" s="22" t="s">
        <v>498</v>
      </c>
      <c r="L64" s="22" t="s">
        <v>499</v>
      </c>
      <c r="M64" s="22" t="s">
        <v>496</v>
      </c>
      <c r="N64" s="22" t="s">
        <v>536</v>
      </c>
      <c r="O64" s="22">
        <v>450</v>
      </c>
      <c r="P64" s="22"/>
      <c r="Q64" s="22" t="s">
        <v>496</v>
      </c>
      <c r="R64" s="22" t="s">
        <v>496</v>
      </c>
      <c r="S64" s="22" t="s">
        <v>501</v>
      </c>
      <c r="T64" s="22" t="s">
        <v>496</v>
      </c>
      <c r="U64" s="22" t="s">
        <v>496</v>
      </c>
      <c r="V64" s="22" t="s">
        <v>544</v>
      </c>
      <c r="W64" s="22" t="s">
        <v>506</v>
      </c>
      <c r="X64" s="22" t="s">
        <v>553</v>
      </c>
      <c r="Y64" s="22" t="s">
        <v>545</v>
      </c>
      <c r="Z64" s="22" t="s">
        <v>552</v>
      </c>
      <c r="AA64" s="22" t="s">
        <v>545</v>
      </c>
      <c r="AB64" s="22" t="s">
        <v>553</v>
      </c>
      <c r="AC64" s="22" t="s">
        <v>545</v>
      </c>
      <c r="AD64" s="22" t="s">
        <v>546</v>
      </c>
      <c r="AE64" s="22" t="s">
        <v>554</v>
      </c>
    </row>
    <row r="65" spans="1:31" ht="20.25" hidden="1" customHeight="1" x14ac:dyDescent="0.15">
      <c r="A65" s="24" t="s">
        <v>607</v>
      </c>
      <c r="B65" s="21">
        <v>51</v>
      </c>
      <c r="C65" s="22" t="s">
        <v>493</v>
      </c>
      <c r="D65" s="22" t="s">
        <v>512</v>
      </c>
      <c r="E65" s="22" t="s">
        <v>494</v>
      </c>
      <c r="F65" s="22" t="s">
        <v>550</v>
      </c>
      <c r="G65" s="22" t="s">
        <v>496</v>
      </c>
      <c r="H65" s="22" t="s">
        <v>555</v>
      </c>
      <c r="I65" s="22" t="s">
        <v>334</v>
      </c>
      <c r="J65" s="22" t="s">
        <v>335</v>
      </c>
      <c r="K65" s="22" t="s">
        <v>498</v>
      </c>
      <c r="L65" s="22" t="s">
        <v>498</v>
      </c>
      <c r="M65" s="22" t="s">
        <v>496</v>
      </c>
      <c r="N65" s="22" t="s">
        <v>536</v>
      </c>
      <c r="O65" s="22">
        <v>450</v>
      </c>
      <c r="P65" s="22"/>
      <c r="Q65" s="22" t="s">
        <v>496</v>
      </c>
      <c r="R65" s="22" t="s">
        <v>496</v>
      </c>
      <c r="S65" s="22" t="s">
        <v>501</v>
      </c>
      <c r="T65" s="22" t="s">
        <v>496</v>
      </c>
      <c r="U65" s="22" t="s">
        <v>496</v>
      </c>
      <c r="V65" s="22" t="s">
        <v>544</v>
      </c>
      <c r="W65" s="22" t="s">
        <v>506</v>
      </c>
      <c r="X65" s="22" t="s">
        <v>541</v>
      </c>
      <c r="Y65" s="22" t="s">
        <v>545</v>
      </c>
      <c r="Z65" s="22" t="s">
        <v>499</v>
      </c>
      <c r="AA65" s="22" t="s">
        <v>545</v>
      </c>
      <c r="AB65" s="22" t="s">
        <v>541</v>
      </c>
      <c r="AC65" s="22" t="s">
        <v>545</v>
      </c>
      <c r="AD65" s="22" t="s">
        <v>546</v>
      </c>
      <c r="AE65" s="22" t="s">
        <v>554</v>
      </c>
    </row>
    <row r="66" spans="1:31" ht="20.25" hidden="1" customHeight="1" x14ac:dyDescent="0.15">
      <c r="A66" s="27" t="s">
        <v>605</v>
      </c>
      <c r="B66" s="21">
        <v>51</v>
      </c>
      <c r="C66" s="22" t="s">
        <v>493</v>
      </c>
      <c r="D66" s="22" t="s">
        <v>512</v>
      </c>
      <c r="E66" s="22" t="s">
        <v>494</v>
      </c>
      <c r="F66" s="22" t="s">
        <v>550</v>
      </c>
      <c r="G66" s="22" t="s">
        <v>496</v>
      </c>
      <c r="H66" s="22" t="s">
        <v>555</v>
      </c>
      <c r="I66" s="22" t="s">
        <v>334</v>
      </c>
      <c r="J66" s="22" t="s">
        <v>335</v>
      </c>
      <c r="K66" s="22" t="s">
        <v>498</v>
      </c>
      <c r="L66" s="22" t="s">
        <v>498</v>
      </c>
      <c r="M66" s="22" t="s">
        <v>496</v>
      </c>
      <c r="N66" s="22" t="s">
        <v>536</v>
      </c>
      <c r="O66" s="22" t="s">
        <v>500</v>
      </c>
      <c r="P66" s="22"/>
      <c r="Q66" s="22" t="s">
        <v>496</v>
      </c>
      <c r="R66" s="22" t="s">
        <v>496</v>
      </c>
      <c r="S66" s="22" t="s">
        <v>501</v>
      </c>
      <c r="T66" s="22" t="s">
        <v>496</v>
      </c>
      <c r="U66" s="22" t="s">
        <v>501</v>
      </c>
      <c r="V66" s="22" t="s">
        <v>510</v>
      </c>
      <c r="W66" s="22" t="s">
        <v>504</v>
      </c>
      <c r="X66" s="22" t="s">
        <v>504</v>
      </c>
      <c r="Y66" s="22" t="s">
        <v>545</v>
      </c>
      <c r="Z66" s="22" t="s">
        <v>499</v>
      </c>
      <c r="AA66" s="22" t="s">
        <v>545</v>
      </c>
      <c r="AB66" s="22" t="s">
        <v>541</v>
      </c>
      <c r="AC66" s="22" t="s">
        <v>545</v>
      </c>
      <c r="AD66" s="22" t="s">
        <v>511</v>
      </c>
      <c r="AE66" s="22" t="s">
        <v>509</v>
      </c>
    </row>
    <row r="67" spans="1:31" ht="20.25" hidden="1" customHeight="1" x14ac:dyDescent="0.15">
      <c r="A67" s="24" t="s">
        <v>607</v>
      </c>
      <c r="B67" s="21">
        <v>52</v>
      </c>
      <c r="C67" s="22" t="s">
        <v>493</v>
      </c>
      <c r="D67" s="22" t="s">
        <v>516</v>
      </c>
      <c r="E67" s="22" t="s">
        <v>494</v>
      </c>
      <c r="F67" s="22" t="s">
        <v>550</v>
      </c>
      <c r="G67" s="22" t="s">
        <v>496</v>
      </c>
      <c r="H67" s="22" t="s">
        <v>556</v>
      </c>
      <c r="I67" s="22" t="s">
        <v>440</v>
      </c>
      <c r="J67" s="22" t="s">
        <v>441</v>
      </c>
      <c r="K67" s="22" t="s">
        <v>498</v>
      </c>
      <c r="L67" s="22" t="s">
        <v>522</v>
      </c>
      <c r="M67" s="22" t="s">
        <v>496</v>
      </c>
      <c r="N67" s="22" t="s">
        <v>557</v>
      </c>
      <c r="O67" s="22" t="s">
        <v>500</v>
      </c>
      <c r="P67" s="22"/>
      <c r="Q67" s="22" t="s">
        <v>496</v>
      </c>
      <c r="R67" s="22" t="s">
        <v>496</v>
      </c>
      <c r="S67" s="22" t="s">
        <v>501</v>
      </c>
      <c r="T67" s="22" t="s">
        <v>496</v>
      </c>
      <c r="U67" s="22" t="s">
        <v>496</v>
      </c>
      <c r="V67" s="22" t="s">
        <v>544</v>
      </c>
      <c r="W67" s="22" t="s">
        <v>506</v>
      </c>
      <c r="X67" s="22" t="s">
        <v>505</v>
      </c>
      <c r="Y67" s="22" t="s">
        <v>545</v>
      </c>
      <c r="Z67" s="22" t="s">
        <v>500</v>
      </c>
      <c r="AA67" s="22" t="s">
        <v>545</v>
      </c>
      <c r="AB67" s="22" t="s">
        <v>505</v>
      </c>
      <c r="AC67" s="22" t="s">
        <v>545</v>
      </c>
      <c r="AD67" s="22" t="s">
        <v>546</v>
      </c>
      <c r="AE67" s="22" t="s">
        <v>554</v>
      </c>
    </row>
    <row r="68" spans="1:31" ht="20.25" hidden="1" customHeight="1" x14ac:dyDescent="0.15">
      <c r="A68" s="46" t="s">
        <v>609</v>
      </c>
      <c r="B68" s="21">
        <v>53</v>
      </c>
      <c r="C68" s="22" t="s">
        <v>493</v>
      </c>
      <c r="D68" s="22" t="s">
        <v>494</v>
      </c>
      <c r="E68" s="22" t="s">
        <v>494</v>
      </c>
      <c r="F68" s="22" t="s">
        <v>558</v>
      </c>
      <c r="G68" s="22" t="s">
        <v>496</v>
      </c>
      <c r="H68" s="22" t="s">
        <v>608</v>
      </c>
      <c r="I68" s="22" t="s">
        <v>152</v>
      </c>
      <c r="J68" s="22" t="s">
        <v>153</v>
      </c>
      <c r="K68" s="22" t="s">
        <v>498</v>
      </c>
      <c r="L68" s="22" t="s">
        <v>499</v>
      </c>
      <c r="M68" s="22" t="s">
        <v>496</v>
      </c>
      <c r="N68" s="22" t="s">
        <v>500</v>
      </c>
      <c r="O68" s="22" t="s">
        <v>499</v>
      </c>
      <c r="P68" s="22"/>
      <c r="Q68" s="22" t="s">
        <v>496</v>
      </c>
      <c r="R68" s="22" t="s">
        <v>496</v>
      </c>
      <c r="S68" s="22" t="s">
        <v>501</v>
      </c>
      <c r="T68" s="22" t="s">
        <v>496</v>
      </c>
      <c r="U68" s="22" t="s">
        <v>496</v>
      </c>
      <c r="V68" s="22" t="s">
        <v>544</v>
      </c>
      <c r="W68" s="22" t="s">
        <v>545</v>
      </c>
      <c r="X68" s="22" t="s">
        <v>541</v>
      </c>
      <c r="Y68" s="22" t="s">
        <v>545</v>
      </c>
      <c r="Z68" s="22" t="s">
        <v>500</v>
      </c>
      <c r="AA68" s="22" t="s">
        <v>545</v>
      </c>
      <c r="AB68" s="22" t="s">
        <v>541</v>
      </c>
      <c r="AC68" s="22" t="s">
        <v>545</v>
      </c>
      <c r="AD68" s="22" t="s">
        <v>546</v>
      </c>
      <c r="AE68" s="22" t="s">
        <v>610</v>
      </c>
    </row>
    <row r="69" spans="1:31" ht="20.25" hidden="1" customHeight="1" x14ac:dyDescent="0.15">
      <c r="A69" s="46" t="s">
        <v>609</v>
      </c>
      <c r="B69" s="21">
        <v>53</v>
      </c>
      <c r="C69" s="22" t="s">
        <v>493</v>
      </c>
      <c r="D69" s="22" t="s">
        <v>494</v>
      </c>
      <c r="E69" s="22" t="s">
        <v>494</v>
      </c>
      <c r="F69" s="22" t="s">
        <v>558</v>
      </c>
      <c r="G69" s="22" t="s">
        <v>496</v>
      </c>
      <c r="H69" s="22" t="s">
        <v>559</v>
      </c>
      <c r="I69" s="22" t="s">
        <v>152</v>
      </c>
      <c r="J69" s="22" t="s">
        <v>153</v>
      </c>
      <c r="K69" s="22" t="s">
        <v>498</v>
      </c>
      <c r="L69" s="22" t="s">
        <v>499</v>
      </c>
      <c r="M69" s="22" t="s">
        <v>496</v>
      </c>
      <c r="N69" s="22" t="s">
        <v>500</v>
      </c>
      <c r="O69" s="22" t="s">
        <v>499</v>
      </c>
      <c r="P69" s="22"/>
      <c r="Q69" s="22" t="s">
        <v>496</v>
      </c>
      <c r="R69" s="22" t="s">
        <v>496</v>
      </c>
      <c r="S69" s="22" t="s">
        <v>501</v>
      </c>
      <c r="T69" s="22" t="s">
        <v>496</v>
      </c>
      <c r="U69" s="22" t="s">
        <v>501</v>
      </c>
      <c r="V69" s="22" t="s">
        <v>510</v>
      </c>
      <c r="W69" s="22" t="s">
        <v>504</v>
      </c>
      <c r="X69" s="22" t="s">
        <v>541</v>
      </c>
      <c r="Y69" s="22" t="s">
        <v>545</v>
      </c>
      <c r="Z69" s="22" t="s">
        <v>500</v>
      </c>
      <c r="AA69" s="22" t="s">
        <v>545</v>
      </c>
      <c r="AB69" s="22" t="s">
        <v>541</v>
      </c>
      <c r="AC69" s="22" t="s">
        <v>545</v>
      </c>
      <c r="AD69" s="22" t="s">
        <v>511</v>
      </c>
      <c r="AE69" s="22" t="s">
        <v>509</v>
      </c>
    </row>
    <row r="70" spans="1:31" ht="20.25" hidden="1" customHeight="1" x14ac:dyDescent="0.15">
      <c r="A70" s="46" t="s">
        <v>611</v>
      </c>
      <c r="B70" s="21">
        <v>54</v>
      </c>
      <c r="C70" s="22" t="s">
        <v>493</v>
      </c>
      <c r="D70" s="22" t="s">
        <v>494</v>
      </c>
      <c r="E70" s="22" t="s">
        <v>512</v>
      </c>
      <c r="F70" s="22" t="s">
        <v>558</v>
      </c>
      <c r="G70" s="22" t="s">
        <v>496</v>
      </c>
      <c r="H70" s="22" t="s">
        <v>602</v>
      </c>
      <c r="I70" s="22" t="s">
        <v>374</v>
      </c>
      <c r="J70" s="22" t="s">
        <v>375</v>
      </c>
      <c r="K70" s="22" t="s">
        <v>498</v>
      </c>
      <c r="L70" s="22" t="s">
        <v>499</v>
      </c>
      <c r="M70" s="22" t="s">
        <v>496</v>
      </c>
      <c r="N70" s="22" t="s">
        <v>499</v>
      </c>
      <c r="O70" s="22" t="s">
        <v>498</v>
      </c>
      <c r="P70" s="22"/>
      <c r="Q70" s="22" t="s">
        <v>496</v>
      </c>
      <c r="R70" s="22" t="s">
        <v>496</v>
      </c>
      <c r="S70" s="22" t="s">
        <v>501</v>
      </c>
      <c r="T70" s="22" t="s">
        <v>496</v>
      </c>
      <c r="U70" s="22" t="s">
        <v>501</v>
      </c>
      <c r="V70" s="22" t="s">
        <v>510</v>
      </c>
      <c r="W70" s="22" t="s">
        <v>504</v>
      </c>
      <c r="X70" s="22" t="s">
        <v>541</v>
      </c>
      <c r="Y70" s="22" t="s">
        <v>545</v>
      </c>
      <c r="Z70" s="22" t="s">
        <v>499</v>
      </c>
      <c r="AA70" s="22" t="s">
        <v>545</v>
      </c>
      <c r="AB70" s="22" t="s">
        <v>504</v>
      </c>
      <c r="AC70" s="22" t="s">
        <v>504</v>
      </c>
      <c r="AD70" s="22" t="s">
        <v>511</v>
      </c>
      <c r="AE70" s="22" t="s">
        <v>509</v>
      </c>
    </row>
    <row r="71" spans="1:31" ht="20.25" hidden="1" customHeight="1" x14ac:dyDescent="0.15">
      <c r="A71" s="46" t="s">
        <v>612</v>
      </c>
      <c r="B71" s="21">
        <v>55</v>
      </c>
      <c r="C71" s="22" t="s">
        <v>493</v>
      </c>
      <c r="D71" s="22" t="s">
        <v>494</v>
      </c>
      <c r="E71" s="22" t="s">
        <v>516</v>
      </c>
      <c r="F71" s="22" t="s">
        <v>558</v>
      </c>
      <c r="G71" s="22" t="s">
        <v>496</v>
      </c>
      <c r="H71" s="22" t="s">
        <v>561</v>
      </c>
      <c r="I71" s="22" t="s">
        <v>372</v>
      </c>
      <c r="J71" s="22" t="s">
        <v>373</v>
      </c>
      <c r="K71" s="22" t="s">
        <v>498</v>
      </c>
      <c r="L71" s="22" t="s">
        <v>500</v>
      </c>
      <c r="M71" s="22" t="s">
        <v>496</v>
      </c>
      <c r="N71" s="22" t="s">
        <v>499</v>
      </c>
      <c r="O71" s="22" t="s">
        <v>522</v>
      </c>
      <c r="P71" s="22"/>
      <c r="Q71" s="22" t="s">
        <v>496</v>
      </c>
      <c r="R71" s="22" t="s">
        <v>496</v>
      </c>
      <c r="S71" s="22" t="s">
        <v>501</v>
      </c>
      <c r="T71" s="22" t="s">
        <v>496</v>
      </c>
      <c r="U71" s="22" t="s">
        <v>501</v>
      </c>
      <c r="V71" s="22" t="s">
        <v>510</v>
      </c>
      <c r="W71" s="22" t="s">
        <v>504</v>
      </c>
      <c r="X71" s="22" t="s">
        <v>541</v>
      </c>
      <c r="Y71" s="22" t="s">
        <v>545</v>
      </c>
      <c r="Z71" s="22" t="s">
        <v>499</v>
      </c>
      <c r="AA71" s="22" t="s">
        <v>545</v>
      </c>
      <c r="AB71" s="22" t="s">
        <v>504</v>
      </c>
      <c r="AC71" s="22" t="s">
        <v>504</v>
      </c>
      <c r="AD71" s="22" t="s">
        <v>511</v>
      </c>
      <c r="AE71" s="22" t="s">
        <v>509</v>
      </c>
    </row>
    <row r="72" spans="1:31" ht="20.25" hidden="1" customHeight="1" x14ac:dyDescent="0.15">
      <c r="A72" s="46" t="s">
        <v>612</v>
      </c>
      <c r="B72" s="21">
        <v>56</v>
      </c>
      <c r="C72" s="22" t="s">
        <v>493</v>
      </c>
      <c r="D72" s="22" t="s">
        <v>494</v>
      </c>
      <c r="E72" s="22" t="s">
        <v>516</v>
      </c>
      <c r="F72" s="22" t="s">
        <v>558</v>
      </c>
      <c r="G72" s="22" t="s">
        <v>496</v>
      </c>
      <c r="H72" s="22" t="s">
        <v>562</v>
      </c>
      <c r="I72" s="22" t="s">
        <v>206</v>
      </c>
      <c r="J72" s="22" t="s">
        <v>207</v>
      </c>
      <c r="K72" s="22" t="s">
        <v>498</v>
      </c>
      <c r="L72" s="22" t="s">
        <v>499</v>
      </c>
      <c r="M72" s="22" t="s">
        <v>496</v>
      </c>
      <c r="N72" s="22" t="s">
        <v>498</v>
      </c>
      <c r="O72" s="22" t="s">
        <v>522</v>
      </c>
      <c r="P72" s="22"/>
      <c r="Q72" s="22" t="s">
        <v>496</v>
      </c>
      <c r="R72" s="22" t="s">
        <v>496</v>
      </c>
      <c r="S72" s="22" t="s">
        <v>501</v>
      </c>
      <c r="T72" s="22" t="s">
        <v>496</v>
      </c>
      <c r="U72" s="22" t="s">
        <v>501</v>
      </c>
      <c r="V72" s="22" t="s">
        <v>510</v>
      </c>
      <c r="W72" s="22" t="s">
        <v>504</v>
      </c>
      <c r="X72" s="22" t="s">
        <v>504</v>
      </c>
      <c r="Y72" s="22" t="s">
        <v>545</v>
      </c>
      <c r="Z72" s="22" t="s">
        <v>498</v>
      </c>
      <c r="AA72" s="22" t="s">
        <v>545</v>
      </c>
      <c r="AB72" s="22" t="s">
        <v>504</v>
      </c>
      <c r="AC72" s="22" t="s">
        <v>504</v>
      </c>
      <c r="AD72" s="22" t="s">
        <v>625</v>
      </c>
      <c r="AE72" s="22" t="s">
        <v>509</v>
      </c>
    </row>
    <row r="73" spans="1:31" ht="20.25" hidden="1" customHeight="1" x14ac:dyDescent="0.15">
      <c r="A73" s="46" t="s">
        <v>612</v>
      </c>
      <c r="B73" s="21">
        <v>57</v>
      </c>
      <c r="C73" s="22" t="s">
        <v>493</v>
      </c>
      <c r="D73" s="22" t="s">
        <v>494</v>
      </c>
      <c r="E73" s="22" t="s">
        <v>516</v>
      </c>
      <c r="F73" s="22" t="s">
        <v>558</v>
      </c>
      <c r="G73" s="22" t="s">
        <v>496</v>
      </c>
      <c r="H73" s="22" t="s">
        <v>563</v>
      </c>
      <c r="I73" s="22" t="s">
        <v>204</v>
      </c>
      <c r="J73" s="22" t="s">
        <v>205</v>
      </c>
      <c r="K73" s="22" t="s">
        <v>498</v>
      </c>
      <c r="L73" s="22" t="s">
        <v>499</v>
      </c>
      <c r="M73" s="22" t="s">
        <v>496</v>
      </c>
      <c r="N73" s="22" t="s">
        <v>522</v>
      </c>
      <c r="O73" s="22" t="s">
        <v>498</v>
      </c>
      <c r="P73" s="22"/>
      <c r="Q73" s="22" t="s">
        <v>496</v>
      </c>
      <c r="R73" s="22" t="s">
        <v>496</v>
      </c>
      <c r="S73" s="22" t="s">
        <v>501</v>
      </c>
      <c r="T73" s="22" t="s">
        <v>496</v>
      </c>
      <c r="U73" s="22" t="s">
        <v>501</v>
      </c>
      <c r="V73" s="22" t="s">
        <v>510</v>
      </c>
      <c r="W73" s="22" t="s">
        <v>504</v>
      </c>
      <c r="X73" s="22" t="s">
        <v>564</v>
      </c>
      <c r="Y73" s="22" t="s">
        <v>545</v>
      </c>
      <c r="Z73" s="22" t="s">
        <v>522</v>
      </c>
      <c r="AA73" s="22" t="s">
        <v>545</v>
      </c>
      <c r="AB73" s="22" t="s">
        <v>504</v>
      </c>
      <c r="AC73" s="22" t="s">
        <v>504</v>
      </c>
      <c r="AD73" s="22" t="s">
        <v>511</v>
      </c>
      <c r="AE73" s="22" t="s">
        <v>509</v>
      </c>
    </row>
    <row r="74" spans="1:31" ht="20.25" customHeight="1" x14ac:dyDescent="0.15">
      <c r="A74" s="46" t="s">
        <v>612</v>
      </c>
      <c r="B74" s="21">
        <v>58</v>
      </c>
      <c r="C74" s="22" t="s">
        <v>493</v>
      </c>
      <c r="D74" s="22" t="s">
        <v>512</v>
      </c>
      <c r="E74" s="22" t="s">
        <v>494</v>
      </c>
      <c r="F74" s="22" t="s">
        <v>558</v>
      </c>
      <c r="G74" s="22" t="s">
        <v>496</v>
      </c>
      <c r="H74" s="22" t="s">
        <v>565</v>
      </c>
      <c r="I74" s="22" t="s">
        <v>276</v>
      </c>
      <c r="J74" s="123">
        <v>4935552335408</v>
      </c>
      <c r="K74" s="22" t="s">
        <v>498</v>
      </c>
      <c r="L74" s="22" t="s">
        <v>498</v>
      </c>
      <c r="M74" s="22" t="s">
        <v>496</v>
      </c>
      <c r="N74" s="22" t="s">
        <v>522</v>
      </c>
      <c r="O74" s="22" t="s">
        <v>498</v>
      </c>
      <c r="P74" s="22"/>
      <c r="Q74" s="22" t="s">
        <v>496</v>
      </c>
      <c r="R74" s="22" t="s">
        <v>496</v>
      </c>
      <c r="S74" s="22" t="s">
        <v>501</v>
      </c>
      <c r="T74" s="22" t="s">
        <v>496</v>
      </c>
      <c r="U74" s="22" t="s">
        <v>501</v>
      </c>
      <c r="V74" s="22" t="s">
        <v>510</v>
      </c>
      <c r="W74" s="22" t="s">
        <v>504</v>
      </c>
      <c r="X74" s="22" t="s">
        <v>564</v>
      </c>
      <c r="Y74" s="22" t="s">
        <v>545</v>
      </c>
      <c r="Z74" s="22" t="s">
        <v>522</v>
      </c>
      <c r="AA74" s="22" t="s">
        <v>545</v>
      </c>
      <c r="AB74" s="22" t="s">
        <v>504</v>
      </c>
      <c r="AC74" s="22" t="s">
        <v>504</v>
      </c>
      <c r="AD74" s="22" t="s">
        <v>511</v>
      </c>
      <c r="AE74" s="22" t="s">
        <v>509</v>
      </c>
    </row>
    <row r="75" spans="1:31" ht="20.25" hidden="1" customHeight="1" x14ac:dyDescent="0.15">
      <c r="A75" s="46" t="s">
        <v>611</v>
      </c>
      <c r="B75" s="21">
        <v>59</v>
      </c>
      <c r="C75" s="22" t="s">
        <v>493</v>
      </c>
      <c r="D75" s="22" t="s">
        <v>512</v>
      </c>
      <c r="E75" s="22" t="s">
        <v>512</v>
      </c>
      <c r="F75" s="22" t="s">
        <v>558</v>
      </c>
      <c r="G75" s="22" t="s">
        <v>496</v>
      </c>
      <c r="H75" s="22" t="s">
        <v>566</v>
      </c>
      <c r="I75" s="22" t="s">
        <v>306</v>
      </c>
      <c r="J75" s="22" t="s">
        <v>307</v>
      </c>
      <c r="K75" s="22" t="s">
        <v>498</v>
      </c>
      <c r="L75" s="22" t="s">
        <v>498</v>
      </c>
      <c r="M75" s="22" t="s">
        <v>496</v>
      </c>
      <c r="N75" s="22" t="s">
        <v>498</v>
      </c>
      <c r="O75" s="22" t="s">
        <v>522</v>
      </c>
      <c r="P75" s="22"/>
      <c r="Q75" s="22" t="s">
        <v>496</v>
      </c>
      <c r="R75" s="22" t="s">
        <v>496</v>
      </c>
      <c r="S75" s="22" t="s">
        <v>501</v>
      </c>
      <c r="T75" s="22" t="s">
        <v>496</v>
      </c>
      <c r="U75" s="22" t="s">
        <v>501</v>
      </c>
      <c r="V75" s="22" t="s">
        <v>510</v>
      </c>
      <c r="W75" s="22" t="s">
        <v>504</v>
      </c>
      <c r="X75" s="22" t="s">
        <v>504</v>
      </c>
      <c r="Y75" s="22" t="s">
        <v>545</v>
      </c>
      <c r="Z75" s="22" t="s">
        <v>498</v>
      </c>
      <c r="AA75" s="22" t="s">
        <v>545</v>
      </c>
      <c r="AB75" s="22" t="s">
        <v>504</v>
      </c>
      <c r="AC75" s="22" t="s">
        <v>504</v>
      </c>
      <c r="AD75" s="22" t="s">
        <v>511</v>
      </c>
      <c r="AE75" s="22" t="s">
        <v>509</v>
      </c>
    </row>
    <row r="76" spans="1:31" ht="20.25" hidden="1" customHeight="1" x14ac:dyDescent="0.15">
      <c r="A76" s="46" t="s">
        <v>611</v>
      </c>
      <c r="B76" s="21">
        <v>60</v>
      </c>
      <c r="C76" s="22" t="s">
        <v>493</v>
      </c>
      <c r="D76" s="22" t="s">
        <v>512</v>
      </c>
      <c r="E76" s="22" t="s">
        <v>516</v>
      </c>
      <c r="F76" s="22" t="s">
        <v>558</v>
      </c>
      <c r="G76" s="22" t="s">
        <v>496</v>
      </c>
      <c r="H76" s="22" t="s">
        <v>568</v>
      </c>
      <c r="I76" s="22" t="s">
        <v>326</v>
      </c>
      <c r="J76" s="22" t="s">
        <v>327</v>
      </c>
      <c r="K76" s="22" t="s">
        <v>498</v>
      </c>
      <c r="L76" s="22" t="s">
        <v>498</v>
      </c>
      <c r="M76" s="22" t="s">
        <v>496</v>
      </c>
      <c r="N76" s="22" t="s">
        <v>498</v>
      </c>
      <c r="O76" s="22">
        <v>450</v>
      </c>
      <c r="P76" s="22"/>
      <c r="Q76" s="22" t="s">
        <v>496</v>
      </c>
      <c r="R76" s="22" t="s">
        <v>496</v>
      </c>
      <c r="S76" s="22" t="s">
        <v>501</v>
      </c>
      <c r="T76" s="22" t="s">
        <v>496</v>
      </c>
      <c r="U76" s="22" t="s">
        <v>501</v>
      </c>
      <c r="V76" s="22" t="s">
        <v>510</v>
      </c>
      <c r="W76" s="22" t="s">
        <v>504</v>
      </c>
      <c r="X76" s="22" t="s">
        <v>504</v>
      </c>
      <c r="Y76" s="22" t="s">
        <v>545</v>
      </c>
      <c r="Z76" s="22" t="s">
        <v>498</v>
      </c>
      <c r="AA76" s="22" t="s">
        <v>545</v>
      </c>
      <c r="AB76" s="22" t="s">
        <v>504</v>
      </c>
      <c r="AC76" s="22" t="s">
        <v>504</v>
      </c>
      <c r="AD76" s="22" t="s">
        <v>511</v>
      </c>
      <c r="AE76" s="22" t="s">
        <v>509</v>
      </c>
    </row>
    <row r="77" spans="1:31" ht="20.25" hidden="1" customHeight="1" x14ac:dyDescent="0.15">
      <c r="A77" s="46" t="s">
        <v>612</v>
      </c>
      <c r="B77" s="21">
        <v>61</v>
      </c>
      <c r="C77" s="22" t="s">
        <v>493</v>
      </c>
      <c r="D77" s="22" t="s">
        <v>516</v>
      </c>
      <c r="E77" s="22" t="s">
        <v>494</v>
      </c>
      <c r="F77" s="22" t="s">
        <v>558</v>
      </c>
      <c r="G77" s="22" t="s">
        <v>496</v>
      </c>
      <c r="H77" s="22" t="s">
        <v>569</v>
      </c>
      <c r="I77" s="22" t="s">
        <v>344</v>
      </c>
      <c r="J77" s="22" t="s">
        <v>345</v>
      </c>
      <c r="K77" s="22" t="s">
        <v>498</v>
      </c>
      <c r="L77" s="22" t="s">
        <v>498</v>
      </c>
      <c r="M77" s="22" t="s">
        <v>496</v>
      </c>
      <c r="N77" s="22" t="s">
        <v>522</v>
      </c>
      <c r="O77" s="22">
        <v>450</v>
      </c>
      <c r="P77" s="22"/>
      <c r="Q77" s="22" t="s">
        <v>496</v>
      </c>
      <c r="R77" s="22" t="s">
        <v>496</v>
      </c>
      <c r="S77" s="22" t="s">
        <v>501</v>
      </c>
      <c r="T77" s="22" t="s">
        <v>496</v>
      </c>
      <c r="U77" s="22" t="s">
        <v>501</v>
      </c>
      <c r="V77" s="22" t="s">
        <v>510</v>
      </c>
      <c r="W77" s="22" t="s">
        <v>504</v>
      </c>
      <c r="X77" s="22" t="s">
        <v>564</v>
      </c>
      <c r="Y77" s="22" t="s">
        <v>545</v>
      </c>
      <c r="Z77" s="22" t="s">
        <v>522</v>
      </c>
      <c r="AA77" s="22" t="s">
        <v>545</v>
      </c>
      <c r="AB77" s="22" t="s">
        <v>504</v>
      </c>
      <c r="AC77" s="22" t="s">
        <v>504</v>
      </c>
      <c r="AD77" s="22" t="s">
        <v>511</v>
      </c>
      <c r="AE77" s="22" t="s">
        <v>509</v>
      </c>
    </row>
    <row r="78" spans="1:31" ht="20.25" hidden="1" customHeight="1" x14ac:dyDescent="0.15">
      <c r="A78" s="46" t="s">
        <v>613</v>
      </c>
      <c r="B78" s="21">
        <v>62</v>
      </c>
      <c r="C78" s="22" t="s">
        <v>493</v>
      </c>
      <c r="D78" s="22" t="s">
        <v>516</v>
      </c>
      <c r="E78" s="22" t="s">
        <v>494</v>
      </c>
      <c r="F78" s="22" t="s">
        <v>558</v>
      </c>
      <c r="G78" s="22" t="s">
        <v>496</v>
      </c>
      <c r="H78" s="22" t="s">
        <v>570</v>
      </c>
      <c r="I78" s="22" t="s">
        <v>340</v>
      </c>
      <c r="J78" s="22" t="s">
        <v>341</v>
      </c>
      <c r="K78" s="22" t="s">
        <v>498</v>
      </c>
      <c r="L78" s="22" t="s">
        <v>522</v>
      </c>
      <c r="M78" s="22" t="s">
        <v>496</v>
      </c>
      <c r="N78" s="22" t="s">
        <v>499</v>
      </c>
      <c r="O78" s="22" t="s">
        <v>536</v>
      </c>
      <c r="P78" s="22"/>
      <c r="Q78" s="22" t="s">
        <v>496</v>
      </c>
      <c r="R78" s="22" t="s">
        <v>496</v>
      </c>
      <c r="S78" s="22" t="s">
        <v>501</v>
      </c>
      <c r="T78" s="22" t="s">
        <v>496</v>
      </c>
      <c r="U78" s="22" t="s">
        <v>496</v>
      </c>
      <c r="V78" s="22" t="s">
        <v>544</v>
      </c>
      <c r="W78" s="22" t="s">
        <v>545</v>
      </c>
      <c r="X78" s="22" t="s">
        <v>541</v>
      </c>
      <c r="Y78" s="22" t="s">
        <v>545</v>
      </c>
      <c r="Z78" s="22" t="s">
        <v>499</v>
      </c>
      <c r="AA78" s="22" t="s">
        <v>545</v>
      </c>
      <c r="AB78" s="22" t="s">
        <v>541</v>
      </c>
      <c r="AC78" s="22" t="s">
        <v>545</v>
      </c>
      <c r="AD78" s="22" t="s">
        <v>546</v>
      </c>
      <c r="AE78" s="22" t="s">
        <v>547</v>
      </c>
    </row>
    <row r="79" spans="1:31" ht="20.25" hidden="1" customHeight="1" x14ac:dyDescent="0.15">
      <c r="A79" s="46" t="s">
        <v>615</v>
      </c>
      <c r="B79" s="21">
        <v>63</v>
      </c>
      <c r="C79" s="22" t="s">
        <v>493</v>
      </c>
      <c r="D79" s="22" t="s">
        <v>516</v>
      </c>
      <c r="E79" s="22" t="s">
        <v>494</v>
      </c>
      <c r="F79" s="22" t="s">
        <v>558</v>
      </c>
      <c r="G79" s="22" t="s">
        <v>496</v>
      </c>
      <c r="H79" s="22" t="s">
        <v>571</v>
      </c>
      <c r="I79" s="22" t="s">
        <v>454</v>
      </c>
      <c r="J79" s="22" t="s">
        <v>455</v>
      </c>
      <c r="K79" s="22" t="s">
        <v>498</v>
      </c>
      <c r="L79" s="22" t="s">
        <v>522</v>
      </c>
      <c r="M79" s="22" t="s">
        <v>496</v>
      </c>
      <c r="N79" s="22" t="s">
        <v>498</v>
      </c>
      <c r="O79" s="22" t="s">
        <v>536</v>
      </c>
      <c r="P79" s="22"/>
      <c r="Q79" s="22" t="s">
        <v>496</v>
      </c>
      <c r="R79" s="22" t="s">
        <v>496</v>
      </c>
      <c r="S79" s="22" t="s">
        <v>501</v>
      </c>
      <c r="T79" s="22" t="s">
        <v>496</v>
      </c>
      <c r="U79" s="22" t="s">
        <v>496</v>
      </c>
      <c r="V79" s="22" t="s">
        <v>496</v>
      </c>
      <c r="W79" s="22" t="s">
        <v>496</v>
      </c>
      <c r="X79" s="22" t="s">
        <v>496</v>
      </c>
      <c r="Y79" s="22" t="s">
        <v>496</v>
      </c>
      <c r="Z79" s="22" t="s">
        <v>498</v>
      </c>
      <c r="AA79" s="22" t="s">
        <v>545</v>
      </c>
      <c r="AB79" s="22" t="s">
        <v>504</v>
      </c>
      <c r="AC79" s="22" t="s">
        <v>504</v>
      </c>
      <c r="AD79" s="22" t="s">
        <v>496</v>
      </c>
      <c r="AE79" s="22" t="s">
        <v>496</v>
      </c>
    </row>
    <row r="80" spans="1:31" ht="20.25" hidden="1" customHeight="1" x14ac:dyDescent="0.15">
      <c r="A80" s="46" t="s">
        <v>615</v>
      </c>
      <c r="B80" s="21">
        <v>64</v>
      </c>
      <c r="C80" s="22" t="s">
        <v>493</v>
      </c>
      <c r="D80" s="22" t="s">
        <v>516</v>
      </c>
      <c r="E80" s="22" t="s">
        <v>512</v>
      </c>
      <c r="F80" s="22" t="s">
        <v>558</v>
      </c>
      <c r="G80" s="22" t="s">
        <v>496</v>
      </c>
      <c r="H80" s="22" t="s">
        <v>572</v>
      </c>
      <c r="I80" s="22" t="s">
        <v>384</v>
      </c>
      <c r="J80" s="22" t="s">
        <v>385</v>
      </c>
      <c r="K80" s="22" t="s">
        <v>498</v>
      </c>
      <c r="L80" s="22" t="s">
        <v>522</v>
      </c>
      <c r="M80" s="22" t="s">
        <v>496</v>
      </c>
      <c r="N80" s="22" t="s">
        <v>522</v>
      </c>
      <c r="O80" s="22" t="s">
        <v>500</v>
      </c>
      <c r="P80" s="22"/>
      <c r="Q80" s="22" t="s">
        <v>496</v>
      </c>
      <c r="R80" s="22" t="s">
        <v>496</v>
      </c>
      <c r="S80" s="22" t="s">
        <v>501</v>
      </c>
      <c r="T80" s="22" t="s">
        <v>496</v>
      </c>
      <c r="U80" s="22" t="s">
        <v>496</v>
      </c>
      <c r="V80" s="22" t="s">
        <v>496</v>
      </c>
      <c r="W80" s="22" t="s">
        <v>496</v>
      </c>
      <c r="X80" s="22" t="s">
        <v>496</v>
      </c>
      <c r="Y80" s="22" t="s">
        <v>496</v>
      </c>
      <c r="Z80" s="22" t="s">
        <v>522</v>
      </c>
      <c r="AA80" s="22" t="s">
        <v>545</v>
      </c>
      <c r="AB80" s="22" t="s">
        <v>504</v>
      </c>
      <c r="AC80" s="22" t="s">
        <v>504</v>
      </c>
      <c r="AD80" s="22" t="s">
        <v>496</v>
      </c>
      <c r="AE80" s="22" t="s">
        <v>496</v>
      </c>
    </row>
    <row r="81" spans="1:31" ht="20.25" hidden="1" customHeight="1" x14ac:dyDescent="0.15">
      <c r="A81" s="46" t="s">
        <v>615</v>
      </c>
      <c r="B81" s="21">
        <v>65</v>
      </c>
      <c r="C81" s="22" t="s">
        <v>493</v>
      </c>
      <c r="D81" s="22" t="s">
        <v>516</v>
      </c>
      <c r="E81" s="22" t="s">
        <v>516</v>
      </c>
      <c r="F81" s="22" t="s">
        <v>558</v>
      </c>
      <c r="G81" s="22" t="s">
        <v>496</v>
      </c>
      <c r="H81" s="22" t="s">
        <v>573</v>
      </c>
      <c r="I81" s="22" t="s">
        <v>376</v>
      </c>
      <c r="J81" s="22" t="s">
        <v>377</v>
      </c>
      <c r="K81" s="22" t="s">
        <v>498</v>
      </c>
      <c r="L81" s="22" t="s">
        <v>522</v>
      </c>
      <c r="M81" s="22" t="s">
        <v>496</v>
      </c>
      <c r="N81" s="22" t="s">
        <v>531</v>
      </c>
      <c r="O81" s="22" t="s">
        <v>500</v>
      </c>
      <c r="P81" s="22"/>
      <c r="Q81" s="22" t="s">
        <v>496</v>
      </c>
      <c r="R81" s="22" t="s">
        <v>496</v>
      </c>
      <c r="S81" s="22" t="s">
        <v>501</v>
      </c>
      <c r="T81" s="22" t="s">
        <v>496</v>
      </c>
      <c r="U81" s="22" t="s">
        <v>496</v>
      </c>
      <c r="V81" s="22" t="s">
        <v>496</v>
      </c>
      <c r="W81" s="22" t="s">
        <v>496</v>
      </c>
      <c r="X81" s="22" t="s">
        <v>496</v>
      </c>
      <c r="Y81" s="22" t="s">
        <v>496</v>
      </c>
      <c r="Z81" s="22" t="s">
        <v>531</v>
      </c>
      <c r="AA81" s="22" t="s">
        <v>545</v>
      </c>
      <c r="AB81" s="22" t="s">
        <v>504</v>
      </c>
      <c r="AC81" s="22" t="s">
        <v>504</v>
      </c>
      <c r="AD81" s="22" t="s">
        <v>496</v>
      </c>
      <c r="AE81" s="22" t="s">
        <v>496</v>
      </c>
    </row>
    <row r="82" spans="1:31" ht="20.25" hidden="1" customHeight="1" x14ac:dyDescent="0.15">
      <c r="A82" s="27" t="s">
        <v>605</v>
      </c>
      <c r="B82" s="21">
        <v>66</v>
      </c>
      <c r="C82" s="22" t="s">
        <v>535</v>
      </c>
      <c r="D82" s="22" t="s">
        <v>494</v>
      </c>
      <c r="E82" s="22" t="s">
        <v>494</v>
      </c>
      <c r="F82" s="22" t="s">
        <v>542</v>
      </c>
      <c r="G82" s="22" t="s">
        <v>496</v>
      </c>
      <c r="H82" s="22" t="s">
        <v>543</v>
      </c>
      <c r="I82" s="22" t="s">
        <v>102</v>
      </c>
      <c r="J82" s="22" t="s">
        <v>103</v>
      </c>
      <c r="K82" s="22" t="s">
        <v>498</v>
      </c>
      <c r="L82" s="22" t="s">
        <v>536</v>
      </c>
      <c r="M82" s="22" t="s">
        <v>496</v>
      </c>
      <c r="N82" s="22" t="s">
        <v>541</v>
      </c>
      <c r="O82" s="22" t="s">
        <v>499</v>
      </c>
      <c r="P82" s="22"/>
      <c r="Q82" s="22" t="s">
        <v>496</v>
      </c>
      <c r="R82" s="22" t="s">
        <v>496</v>
      </c>
      <c r="S82" s="22" t="s">
        <v>501</v>
      </c>
      <c r="T82" s="22" t="s">
        <v>496</v>
      </c>
      <c r="U82" s="22" t="s">
        <v>501</v>
      </c>
      <c r="V82" s="22" t="s">
        <v>510</v>
      </c>
      <c r="W82" s="22" t="s">
        <v>504</v>
      </c>
      <c r="X82" s="22" t="s">
        <v>541</v>
      </c>
      <c r="Y82" s="22" t="s">
        <v>545</v>
      </c>
      <c r="Z82" s="22" t="s">
        <v>500</v>
      </c>
      <c r="AA82" s="22" t="s">
        <v>545</v>
      </c>
      <c r="AB82" s="22" t="s">
        <v>541</v>
      </c>
      <c r="AC82" s="22" t="s">
        <v>545</v>
      </c>
      <c r="AD82" s="22" t="s">
        <v>511</v>
      </c>
      <c r="AE82" s="22" t="s">
        <v>509</v>
      </c>
    </row>
    <row r="83" spans="1:31" ht="20.25" hidden="1" customHeight="1" x14ac:dyDescent="0.15">
      <c r="A83" s="27" t="s">
        <v>603</v>
      </c>
      <c r="B83" s="21">
        <v>66</v>
      </c>
      <c r="C83" s="22" t="s">
        <v>535</v>
      </c>
      <c r="D83" s="22" t="s">
        <v>494</v>
      </c>
      <c r="E83" s="22" t="s">
        <v>494</v>
      </c>
      <c r="F83" s="22" t="s">
        <v>542</v>
      </c>
      <c r="G83" s="22" t="s">
        <v>496</v>
      </c>
      <c r="H83" s="22" t="s">
        <v>543</v>
      </c>
      <c r="I83" s="22" t="s">
        <v>102</v>
      </c>
      <c r="J83" s="22" t="s">
        <v>103</v>
      </c>
      <c r="K83" s="22" t="s">
        <v>498</v>
      </c>
      <c r="L83" s="22" t="s">
        <v>536</v>
      </c>
      <c r="M83" s="22" t="s">
        <v>496</v>
      </c>
      <c r="N83" s="22" t="s">
        <v>541</v>
      </c>
      <c r="O83" s="22" t="s">
        <v>499</v>
      </c>
      <c r="P83" s="22"/>
      <c r="Q83" s="22" t="s">
        <v>496</v>
      </c>
      <c r="R83" s="22" t="s">
        <v>496</v>
      </c>
      <c r="S83" s="22" t="s">
        <v>501</v>
      </c>
      <c r="T83" s="22" t="s">
        <v>496</v>
      </c>
      <c r="U83" s="22" t="s">
        <v>496</v>
      </c>
      <c r="V83" s="22" t="s">
        <v>544</v>
      </c>
      <c r="W83" s="22" t="s">
        <v>545</v>
      </c>
      <c r="X83" s="22" t="s">
        <v>541</v>
      </c>
      <c r="Y83" s="22" t="s">
        <v>545</v>
      </c>
      <c r="Z83" s="22" t="s">
        <v>500</v>
      </c>
      <c r="AA83" s="22" t="s">
        <v>545</v>
      </c>
      <c r="AB83" s="22" t="s">
        <v>541</v>
      </c>
      <c r="AC83" s="22" t="s">
        <v>545</v>
      </c>
      <c r="AD83" s="22" t="s">
        <v>546</v>
      </c>
      <c r="AE83" s="22" t="s">
        <v>547</v>
      </c>
    </row>
    <row r="84" spans="1:31" ht="20.25" hidden="1" customHeight="1" x14ac:dyDescent="0.15">
      <c r="A84" s="27" t="s">
        <v>605</v>
      </c>
      <c r="B84" s="21">
        <v>67</v>
      </c>
      <c r="C84" s="22" t="s">
        <v>535</v>
      </c>
      <c r="D84" s="22" t="s">
        <v>494</v>
      </c>
      <c r="E84" s="22" t="s">
        <v>494</v>
      </c>
      <c r="F84" s="22" t="s">
        <v>550</v>
      </c>
      <c r="G84" s="22" t="s">
        <v>496</v>
      </c>
      <c r="H84" s="22" t="s">
        <v>551</v>
      </c>
      <c r="I84" s="22" t="s">
        <v>136</v>
      </c>
      <c r="J84" s="22" t="s">
        <v>137</v>
      </c>
      <c r="K84" s="22" t="s">
        <v>498</v>
      </c>
      <c r="L84" s="22" t="s">
        <v>536</v>
      </c>
      <c r="M84" s="22" t="s">
        <v>496</v>
      </c>
      <c r="N84" s="22" t="s">
        <v>536</v>
      </c>
      <c r="O84" s="22" t="s">
        <v>498</v>
      </c>
      <c r="P84" s="22"/>
      <c r="Q84" s="22" t="s">
        <v>496</v>
      </c>
      <c r="R84" s="22" t="s">
        <v>496</v>
      </c>
      <c r="S84" s="22" t="s">
        <v>501</v>
      </c>
      <c r="T84" s="22" t="s">
        <v>496</v>
      </c>
      <c r="U84" s="22" t="s">
        <v>501</v>
      </c>
      <c r="V84" s="22" t="s">
        <v>510</v>
      </c>
      <c r="W84" s="22" t="s">
        <v>504</v>
      </c>
      <c r="X84" s="22" t="s">
        <v>541</v>
      </c>
      <c r="Y84" s="22" t="s">
        <v>545</v>
      </c>
      <c r="Z84" s="22" t="s">
        <v>552</v>
      </c>
      <c r="AA84" s="22" t="s">
        <v>545</v>
      </c>
      <c r="AB84" s="22" t="s">
        <v>553</v>
      </c>
      <c r="AC84" s="22" t="s">
        <v>545</v>
      </c>
      <c r="AD84" s="22" t="s">
        <v>511</v>
      </c>
      <c r="AE84" s="22" t="s">
        <v>509</v>
      </c>
    </row>
    <row r="85" spans="1:31" ht="20.25" hidden="1" customHeight="1" x14ac:dyDescent="0.15">
      <c r="A85" s="24" t="s">
        <v>607</v>
      </c>
      <c r="B85" s="21">
        <v>67</v>
      </c>
      <c r="C85" s="22" t="s">
        <v>535</v>
      </c>
      <c r="D85" s="22" t="s">
        <v>494</v>
      </c>
      <c r="E85" s="22" t="s">
        <v>494</v>
      </c>
      <c r="F85" s="22" t="s">
        <v>550</v>
      </c>
      <c r="G85" s="22" t="s">
        <v>496</v>
      </c>
      <c r="H85" s="22" t="s">
        <v>551</v>
      </c>
      <c r="I85" s="22" t="s">
        <v>136</v>
      </c>
      <c r="J85" s="22" t="s">
        <v>137</v>
      </c>
      <c r="K85" s="22" t="s">
        <v>498</v>
      </c>
      <c r="L85" s="22" t="s">
        <v>536</v>
      </c>
      <c r="M85" s="22" t="s">
        <v>496</v>
      </c>
      <c r="N85" s="22" t="s">
        <v>536</v>
      </c>
      <c r="O85" s="22" t="s">
        <v>522</v>
      </c>
      <c r="P85" s="22"/>
      <c r="Q85" s="22" t="s">
        <v>496</v>
      </c>
      <c r="R85" s="22" t="s">
        <v>496</v>
      </c>
      <c r="S85" s="22" t="s">
        <v>501</v>
      </c>
      <c r="T85" s="22" t="s">
        <v>496</v>
      </c>
      <c r="U85" s="22" t="s">
        <v>496</v>
      </c>
      <c r="V85" s="22" t="s">
        <v>544</v>
      </c>
      <c r="W85" s="22" t="s">
        <v>506</v>
      </c>
      <c r="X85" s="22" t="s">
        <v>553</v>
      </c>
      <c r="Y85" s="22" t="s">
        <v>545</v>
      </c>
      <c r="Z85" s="22" t="s">
        <v>552</v>
      </c>
      <c r="AA85" s="22" t="s">
        <v>545</v>
      </c>
      <c r="AB85" s="22" t="s">
        <v>553</v>
      </c>
      <c r="AC85" s="22" t="s">
        <v>545</v>
      </c>
      <c r="AD85" s="22" t="s">
        <v>546</v>
      </c>
      <c r="AE85" s="22" t="s">
        <v>554</v>
      </c>
    </row>
    <row r="86" spans="1:31" ht="20.25" hidden="1" customHeight="1" x14ac:dyDescent="0.15">
      <c r="A86" s="46" t="s">
        <v>609</v>
      </c>
      <c r="B86" s="21">
        <v>68</v>
      </c>
      <c r="C86" s="22" t="s">
        <v>535</v>
      </c>
      <c r="D86" s="22" t="s">
        <v>494</v>
      </c>
      <c r="E86" s="22" t="s">
        <v>494</v>
      </c>
      <c r="F86" s="22" t="s">
        <v>558</v>
      </c>
      <c r="G86" s="22" t="s">
        <v>496</v>
      </c>
      <c r="H86" s="22" t="s">
        <v>574</v>
      </c>
      <c r="I86" s="22" t="s">
        <v>140</v>
      </c>
      <c r="J86" s="22" t="s">
        <v>141</v>
      </c>
      <c r="K86" s="22" t="s">
        <v>498</v>
      </c>
      <c r="L86" s="22" t="s">
        <v>536</v>
      </c>
      <c r="M86" s="22" t="s">
        <v>496</v>
      </c>
      <c r="N86" s="22" t="s">
        <v>500</v>
      </c>
      <c r="O86" s="22">
        <v>450</v>
      </c>
      <c r="P86" s="22"/>
      <c r="Q86" s="22" t="s">
        <v>496</v>
      </c>
      <c r="R86" s="22" t="s">
        <v>496</v>
      </c>
      <c r="S86" s="22" t="s">
        <v>501</v>
      </c>
      <c r="T86" s="22" t="s">
        <v>496</v>
      </c>
      <c r="U86" s="22" t="s">
        <v>501</v>
      </c>
      <c r="V86" s="22" t="s">
        <v>510</v>
      </c>
      <c r="W86" s="22" t="s">
        <v>504</v>
      </c>
      <c r="X86" s="22" t="s">
        <v>541</v>
      </c>
      <c r="Y86" s="22" t="s">
        <v>545</v>
      </c>
      <c r="Z86" s="22" t="s">
        <v>500</v>
      </c>
      <c r="AA86" s="22" t="s">
        <v>545</v>
      </c>
      <c r="AB86" s="22" t="s">
        <v>541</v>
      </c>
      <c r="AC86" s="22" t="s">
        <v>545</v>
      </c>
      <c r="AD86" s="22" t="s">
        <v>511</v>
      </c>
      <c r="AE86" s="22" t="s">
        <v>509</v>
      </c>
    </row>
    <row r="87" spans="1:31" ht="20.25" hidden="1" customHeight="1" x14ac:dyDescent="0.15">
      <c r="A87" s="46" t="s">
        <v>609</v>
      </c>
      <c r="B87" s="21">
        <v>68</v>
      </c>
      <c r="C87" s="22" t="s">
        <v>535</v>
      </c>
      <c r="D87" s="22" t="s">
        <v>494</v>
      </c>
      <c r="E87" s="22" t="s">
        <v>494</v>
      </c>
      <c r="F87" s="22" t="s">
        <v>558</v>
      </c>
      <c r="G87" s="22" t="s">
        <v>496</v>
      </c>
      <c r="H87" s="22" t="s">
        <v>574</v>
      </c>
      <c r="I87" s="22" t="s">
        <v>140</v>
      </c>
      <c r="J87" s="22" t="s">
        <v>141</v>
      </c>
      <c r="K87" s="22" t="s">
        <v>498</v>
      </c>
      <c r="L87" s="22" t="s">
        <v>536</v>
      </c>
      <c r="M87" s="22" t="s">
        <v>496</v>
      </c>
      <c r="N87" s="22" t="s">
        <v>500</v>
      </c>
      <c r="O87" s="22">
        <v>450</v>
      </c>
      <c r="P87" s="22"/>
      <c r="Q87" s="22" t="s">
        <v>496</v>
      </c>
      <c r="R87" s="22" t="s">
        <v>496</v>
      </c>
      <c r="S87" s="22" t="s">
        <v>501</v>
      </c>
      <c r="T87" s="22" t="s">
        <v>496</v>
      </c>
      <c r="U87" s="22" t="s">
        <v>496</v>
      </c>
      <c r="V87" s="22" t="s">
        <v>544</v>
      </c>
      <c r="W87" s="22" t="s">
        <v>545</v>
      </c>
      <c r="X87" s="22" t="s">
        <v>541</v>
      </c>
      <c r="Y87" s="22" t="s">
        <v>545</v>
      </c>
      <c r="Z87" s="22" t="s">
        <v>500</v>
      </c>
      <c r="AA87" s="22" t="s">
        <v>545</v>
      </c>
      <c r="AB87" s="22" t="s">
        <v>541</v>
      </c>
      <c r="AC87" s="22" t="s">
        <v>545</v>
      </c>
      <c r="AD87" s="22" t="s">
        <v>546</v>
      </c>
      <c r="AE87" s="22" t="s">
        <v>547</v>
      </c>
    </row>
    <row r="88" spans="1:31" ht="20.25" hidden="1" customHeight="1" x14ac:dyDescent="0.15">
      <c r="A88" s="46" t="s">
        <v>611</v>
      </c>
      <c r="B88" s="21">
        <v>69</v>
      </c>
      <c r="C88" s="22" t="s">
        <v>535</v>
      </c>
      <c r="D88" s="22" t="s">
        <v>494</v>
      </c>
      <c r="E88" s="22" t="s">
        <v>512</v>
      </c>
      <c r="F88" s="22" t="s">
        <v>558</v>
      </c>
      <c r="G88" s="22" t="s">
        <v>496</v>
      </c>
      <c r="H88" s="22" t="s">
        <v>575</v>
      </c>
      <c r="I88" s="22" t="s">
        <v>128</v>
      </c>
      <c r="J88" s="22" t="s">
        <v>129</v>
      </c>
      <c r="K88" s="22" t="s">
        <v>498</v>
      </c>
      <c r="L88" s="22" t="s">
        <v>536</v>
      </c>
      <c r="M88" s="22" t="s">
        <v>496</v>
      </c>
      <c r="N88" s="22" t="s">
        <v>499</v>
      </c>
      <c r="O88" s="22">
        <v>450</v>
      </c>
      <c r="P88" s="22"/>
      <c r="Q88" s="22" t="s">
        <v>496</v>
      </c>
      <c r="R88" s="22" t="s">
        <v>496</v>
      </c>
      <c r="S88" s="22" t="s">
        <v>501</v>
      </c>
      <c r="T88" s="22" t="s">
        <v>496</v>
      </c>
      <c r="U88" s="22" t="s">
        <v>501</v>
      </c>
      <c r="V88" s="22" t="s">
        <v>510</v>
      </c>
      <c r="W88" s="22" t="s">
        <v>504</v>
      </c>
      <c r="X88" s="22" t="s">
        <v>541</v>
      </c>
      <c r="Y88" s="22" t="s">
        <v>545</v>
      </c>
      <c r="Z88" s="22" t="s">
        <v>499</v>
      </c>
      <c r="AA88" s="22" t="s">
        <v>545</v>
      </c>
      <c r="AB88" s="22" t="s">
        <v>504</v>
      </c>
      <c r="AC88" s="22" t="s">
        <v>504</v>
      </c>
      <c r="AD88" s="22" t="s">
        <v>511</v>
      </c>
      <c r="AE88" s="22" t="s">
        <v>509</v>
      </c>
    </row>
    <row r="89" spans="1:31" ht="20.25" hidden="1" customHeight="1" x14ac:dyDescent="0.15">
      <c r="A89" s="46" t="s">
        <v>612</v>
      </c>
      <c r="B89" s="21">
        <v>70</v>
      </c>
      <c r="C89" s="22" t="s">
        <v>535</v>
      </c>
      <c r="D89" s="22" t="s">
        <v>494</v>
      </c>
      <c r="E89" s="22" t="s">
        <v>516</v>
      </c>
      <c r="F89" s="22" t="s">
        <v>558</v>
      </c>
      <c r="G89" s="22" t="s">
        <v>496</v>
      </c>
      <c r="H89" s="22" t="s">
        <v>576</v>
      </c>
      <c r="I89" s="22" t="s">
        <v>214</v>
      </c>
      <c r="J89" s="22" t="s">
        <v>215</v>
      </c>
      <c r="K89" s="22" t="s">
        <v>498</v>
      </c>
      <c r="L89" s="22" t="s">
        <v>557</v>
      </c>
      <c r="M89" s="22" t="s">
        <v>496</v>
      </c>
      <c r="N89" s="22" t="s">
        <v>499</v>
      </c>
      <c r="O89" s="22">
        <v>450</v>
      </c>
      <c r="P89" s="22"/>
      <c r="Q89" s="22" t="s">
        <v>496</v>
      </c>
      <c r="R89" s="22" t="s">
        <v>496</v>
      </c>
      <c r="S89" s="22" t="s">
        <v>501</v>
      </c>
      <c r="T89" s="22" t="s">
        <v>496</v>
      </c>
      <c r="U89" s="22" t="s">
        <v>501</v>
      </c>
      <c r="V89" s="22" t="s">
        <v>510</v>
      </c>
      <c r="W89" s="22" t="s">
        <v>504</v>
      </c>
      <c r="X89" s="22" t="s">
        <v>541</v>
      </c>
      <c r="Y89" s="22" t="s">
        <v>545</v>
      </c>
      <c r="Z89" s="22" t="s">
        <v>499</v>
      </c>
      <c r="AA89" s="22" t="s">
        <v>545</v>
      </c>
      <c r="AB89" s="22" t="s">
        <v>504</v>
      </c>
      <c r="AC89" s="22" t="s">
        <v>504</v>
      </c>
      <c r="AD89" s="22" t="s">
        <v>511</v>
      </c>
      <c r="AE89" s="22" t="s">
        <v>509</v>
      </c>
    </row>
    <row r="90" spans="1:31" ht="20.25" hidden="1" customHeight="1" x14ac:dyDescent="0.15">
      <c r="A90" s="46" t="s">
        <v>612</v>
      </c>
      <c r="B90" s="21">
        <v>71</v>
      </c>
      <c r="C90" s="22" t="s">
        <v>535</v>
      </c>
      <c r="D90" s="22" t="s">
        <v>494</v>
      </c>
      <c r="E90" s="22" t="s">
        <v>516</v>
      </c>
      <c r="F90" s="22" t="s">
        <v>558</v>
      </c>
      <c r="G90" s="22" t="s">
        <v>496</v>
      </c>
      <c r="H90" s="22" t="s">
        <v>577</v>
      </c>
      <c r="I90" s="22" t="s">
        <v>312</v>
      </c>
      <c r="J90" s="22" t="s">
        <v>313</v>
      </c>
      <c r="K90" s="22" t="s">
        <v>498</v>
      </c>
      <c r="L90" s="22" t="s">
        <v>536</v>
      </c>
      <c r="M90" s="22" t="s">
        <v>496</v>
      </c>
      <c r="N90" s="22" t="s">
        <v>498</v>
      </c>
      <c r="O90" s="22" t="s">
        <v>500</v>
      </c>
      <c r="P90" s="22"/>
      <c r="Q90" s="22" t="s">
        <v>496</v>
      </c>
      <c r="R90" s="22" t="s">
        <v>496</v>
      </c>
      <c r="S90" s="22" t="s">
        <v>501</v>
      </c>
      <c r="T90" s="22" t="s">
        <v>496</v>
      </c>
      <c r="U90" s="22" t="s">
        <v>501</v>
      </c>
      <c r="V90" s="22" t="s">
        <v>510</v>
      </c>
      <c r="W90" s="22" t="s">
        <v>504</v>
      </c>
      <c r="X90" s="22" t="s">
        <v>504</v>
      </c>
      <c r="Y90" s="22" t="s">
        <v>545</v>
      </c>
      <c r="Z90" s="22" t="s">
        <v>498</v>
      </c>
      <c r="AA90" s="22" t="s">
        <v>545</v>
      </c>
      <c r="AB90" s="22" t="s">
        <v>504</v>
      </c>
      <c r="AC90" s="22" t="s">
        <v>504</v>
      </c>
      <c r="AD90" s="22" t="s">
        <v>511</v>
      </c>
      <c r="AE90" s="22" t="s">
        <v>509</v>
      </c>
    </row>
    <row r="91" spans="1:31" ht="20.25" hidden="1" customHeight="1" x14ac:dyDescent="0.15">
      <c r="A91" s="46" t="s">
        <v>612</v>
      </c>
      <c r="B91" s="21">
        <v>72</v>
      </c>
      <c r="C91" s="22" t="s">
        <v>535</v>
      </c>
      <c r="D91" s="22" t="s">
        <v>494</v>
      </c>
      <c r="E91" s="22" t="s">
        <v>516</v>
      </c>
      <c r="F91" s="22" t="s">
        <v>558</v>
      </c>
      <c r="G91" s="22" t="s">
        <v>496</v>
      </c>
      <c r="H91" s="22" t="s">
        <v>578</v>
      </c>
      <c r="I91" s="22" t="s">
        <v>298</v>
      </c>
      <c r="J91" s="22" t="s">
        <v>299</v>
      </c>
      <c r="K91" s="22" t="s">
        <v>498</v>
      </c>
      <c r="L91" s="22" t="s">
        <v>536</v>
      </c>
      <c r="M91" s="22" t="s">
        <v>496</v>
      </c>
      <c r="N91" s="22" t="s">
        <v>522</v>
      </c>
      <c r="O91" s="22" t="s">
        <v>500</v>
      </c>
      <c r="P91" s="22"/>
      <c r="Q91" s="22" t="s">
        <v>496</v>
      </c>
      <c r="R91" s="22" t="s">
        <v>496</v>
      </c>
      <c r="S91" s="22" t="s">
        <v>501</v>
      </c>
      <c r="T91" s="22" t="s">
        <v>496</v>
      </c>
      <c r="U91" s="22" t="s">
        <v>501</v>
      </c>
      <c r="V91" s="22" t="s">
        <v>510</v>
      </c>
      <c r="W91" s="22" t="s">
        <v>504</v>
      </c>
      <c r="X91" s="22" t="s">
        <v>564</v>
      </c>
      <c r="Y91" s="22" t="s">
        <v>545</v>
      </c>
      <c r="Z91" s="22" t="s">
        <v>522</v>
      </c>
      <c r="AA91" s="22" t="s">
        <v>545</v>
      </c>
      <c r="AB91" s="22" t="s">
        <v>504</v>
      </c>
      <c r="AC91" s="22" t="s">
        <v>504</v>
      </c>
      <c r="AD91" s="22" t="s">
        <v>511</v>
      </c>
      <c r="AE91" s="22" t="s">
        <v>509</v>
      </c>
    </row>
    <row r="92" spans="1:31" ht="20.25" hidden="1" customHeight="1" x14ac:dyDescent="0.15">
      <c r="A92" s="27" t="s">
        <v>603</v>
      </c>
      <c r="B92" s="21">
        <v>73</v>
      </c>
      <c r="C92" s="22" t="s">
        <v>567</v>
      </c>
      <c r="D92" s="22" t="s">
        <v>494</v>
      </c>
      <c r="E92" s="22" t="s">
        <v>494</v>
      </c>
      <c r="F92" s="22" t="s">
        <v>542</v>
      </c>
      <c r="G92" s="22" t="s">
        <v>496</v>
      </c>
      <c r="H92" s="22" t="s">
        <v>543</v>
      </c>
      <c r="I92" s="22" t="s">
        <v>288</v>
      </c>
      <c r="J92" s="22" t="s">
        <v>289</v>
      </c>
      <c r="K92" s="22" t="s">
        <v>498</v>
      </c>
      <c r="L92" s="22" t="s">
        <v>541</v>
      </c>
      <c r="M92" s="22" t="s">
        <v>496</v>
      </c>
      <c r="N92" s="22" t="s">
        <v>541</v>
      </c>
      <c r="O92" s="22" t="s">
        <v>499</v>
      </c>
      <c r="P92" s="22"/>
      <c r="Q92" s="22" t="s">
        <v>496</v>
      </c>
      <c r="R92" s="22" t="s">
        <v>496</v>
      </c>
      <c r="S92" s="22" t="s">
        <v>501</v>
      </c>
      <c r="T92" s="22" t="s">
        <v>496</v>
      </c>
      <c r="U92" s="22" t="s">
        <v>496</v>
      </c>
      <c r="V92" s="22" t="s">
        <v>544</v>
      </c>
      <c r="W92" s="22" t="s">
        <v>545</v>
      </c>
      <c r="X92" s="22" t="s">
        <v>541</v>
      </c>
      <c r="Y92" s="22" t="s">
        <v>545</v>
      </c>
      <c r="Z92" s="22" t="s">
        <v>500</v>
      </c>
      <c r="AA92" s="22" t="s">
        <v>545</v>
      </c>
      <c r="AB92" s="22" t="s">
        <v>541</v>
      </c>
      <c r="AC92" s="22" t="s">
        <v>545</v>
      </c>
      <c r="AD92" s="22" t="s">
        <v>546</v>
      </c>
      <c r="AE92" s="22" t="s">
        <v>547</v>
      </c>
    </row>
    <row r="93" spans="1:31" ht="20.25" hidden="1" customHeight="1" x14ac:dyDescent="0.15">
      <c r="A93" s="27" t="s">
        <v>605</v>
      </c>
      <c r="B93" s="21">
        <v>73</v>
      </c>
      <c r="C93" s="22" t="s">
        <v>567</v>
      </c>
      <c r="D93" s="22" t="s">
        <v>494</v>
      </c>
      <c r="E93" s="22" t="s">
        <v>494</v>
      </c>
      <c r="F93" s="22" t="s">
        <v>542</v>
      </c>
      <c r="G93" s="22" t="s">
        <v>496</v>
      </c>
      <c r="H93" s="22" t="s">
        <v>543</v>
      </c>
      <c r="I93" s="22" t="s">
        <v>288</v>
      </c>
      <c r="J93" s="22" t="s">
        <v>289</v>
      </c>
      <c r="K93" s="22" t="s">
        <v>498</v>
      </c>
      <c r="L93" s="22" t="s">
        <v>541</v>
      </c>
      <c r="M93" s="22" t="s">
        <v>496</v>
      </c>
      <c r="N93" s="22" t="s">
        <v>541</v>
      </c>
      <c r="O93" s="22" t="s">
        <v>499</v>
      </c>
      <c r="P93" s="22"/>
      <c r="Q93" s="22" t="s">
        <v>496</v>
      </c>
      <c r="R93" s="22" t="s">
        <v>496</v>
      </c>
      <c r="S93" s="22" t="s">
        <v>501</v>
      </c>
      <c r="T93" s="22" t="s">
        <v>496</v>
      </c>
      <c r="U93" s="22" t="s">
        <v>501</v>
      </c>
      <c r="V93" s="22" t="s">
        <v>510</v>
      </c>
      <c r="W93" s="22" t="s">
        <v>504</v>
      </c>
      <c r="X93" s="22" t="s">
        <v>541</v>
      </c>
      <c r="Y93" s="22" t="s">
        <v>545</v>
      </c>
      <c r="Z93" s="22" t="s">
        <v>500</v>
      </c>
      <c r="AA93" s="22" t="s">
        <v>545</v>
      </c>
      <c r="AB93" s="22" t="s">
        <v>541</v>
      </c>
      <c r="AC93" s="22" t="s">
        <v>545</v>
      </c>
      <c r="AD93" s="22" t="s">
        <v>511</v>
      </c>
      <c r="AE93" s="22" t="s">
        <v>509</v>
      </c>
    </row>
    <row r="94" spans="1:31" ht="20.25" hidden="1" customHeight="1" x14ac:dyDescent="0.15">
      <c r="A94" s="24" t="s">
        <v>607</v>
      </c>
      <c r="B94" s="21">
        <v>74</v>
      </c>
      <c r="C94" s="22" t="s">
        <v>567</v>
      </c>
      <c r="D94" s="22" t="s">
        <v>494</v>
      </c>
      <c r="E94" s="22" t="s">
        <v>494</v>
      </c>
      <c r="F94" s="22" t="s">
        <v>550</v>
      </c>
      <c r="G94" s="22" t="s">
        <v>496</v>
      </c>
      <c r="H94" s="22" t="s">
        <v>551</v>
      </c>
      <c r="I94" s="22" t="s">
        <v>286</v>
      </c>
      <c r="J94" s="22" t="s">
        <v>287</v>
      </c>
      <c r="K94" s="22" t="s">
        <v>498</v>
      </c>
      <c r="L94" s="22" t="s">
        <v>541</v>
      </c>
      <c r="M94" s="22" t="s">
        <v>496</v>
      </c>
      <c r="N94" s="22" t="s">
        <v>536</v>
      </c>
      <c r="O94" s="22" t="s">
        <v>498</v>
      </c>
      <c r="P94" s="22"/>
      <c r="Q94" s="22" t="s">
        <v>496</v>
      </c>
      <c r="R94" s="22" t="s">
        <v>496</v>
      </c>
      <c r="S94" s="22" t="s">
        <v>501</v>
      </c>
      <c r="T94" s="22" t="s">
        <v>496</v>
      </c>
      <c r="U94" s="22" t="s">
        <v>496</v>
      </c>
      <c r="V94" s="22" t="s">
        <v>544</v>
      </c>
      <c r="W94" s="22" t="s">
        <v>506</v>
      </c>
      <c r="X94" s="22" t="s">
        <v>553</v>
      </c>
      <c r="Y94" s="22" t="s">
        <v>545</v>
      </c>
      <c r="Z94" s="22" t="s">
        <v>552</v>
      </c>
      <c r="AA94" s="22" t="s">
        <v>545</v>
      </c>
      <c r="AB94" s="22" t="s">
        <v>553</v>
      </c>
      <c r="AC94" s="22" t="s">
        <v>545</v>
      </c>
      <c r="AD94" s="22" t="s">
        <v>546</v>
      </c>
      <c r="AE94" s="22" t="s">
        <v>554</v>
      </c>
    </row>
    <row r="95" spans="1:31" ht="20.25" hidden="1" customHeight="1" x14ac:dyDescent="0.15">
      <c r="A95" s="27" t="s">
        <v>605</v>
      </c>
      <c r="B95" s="21">
        <v>74</v>
      </c>
      <c r="C95" s="22" t="s">
        <v>567</v>
      </c>
      <c r="D95" s="22" t="s">
        <v>494</v>
      </c>
      <c r="E95" s="22" t="s">
        <v>494</v>
      </c>
      <c r="F95" s="22" t="s">
        <v>550</v>
      </c>
      <c r="G95" s="22" t="s">
        <v>496</v>
      </c>
      <c r="H95" s="22" t="s">
        <v>551</v>
      </c>
      <c r="I95" s="22" t="s">
        <v>286</v>
      </c>
      <c r="J95" s="22" t="s">
        <v>287</v>
      </c>
      <c r="K95" s="22" t="s">
        <v>498</v>
      </c>
      <c r="L95" s="22" t="s">
        <v>541</v>
      </c>
      <c r="M95" s="22" t="s">
        <v>496</v>
      </c>
      <c r="N95" s="22" t="s">
        <v>536</v>
      </c>
      <c r="O95" s="22" t="s">
        <v>522</v>
      </c>
      <c r="P95" s="22"/>
      <c r="Q95" s="22" t="s">
        <v>496</v>
      </c>
      <c r="R95" s="22" t="s">
        <v>496</v>
      </c>
      <c r="S95" s="22" t="s">
        <v>501</v>
      </c>
      <c r="T95" s="22" t="s">
        <v>496</v>
      </c>
      <c r="U95" s="22" t="s">
        <v>501</v>
      </c>
      <c r="V95" s="22" t="s">
        <v>510</v>
      </c>
      <c r="W95" s="22" t="s">
        <v>504</v>
      </c>
      <c r="X95" s="22" t="s">
        <v>541</v>
      </c>
      <c r="Y95" s="22" t="s">
        <v>545</v>
      </c>
      <c r="Z95" s="22" t="s">
        <v>552</v>
      </c>
      <c r="AA95" s="22" t="s">
        <v>545</v>
      </c>
      <c r="AB95" s="22" t="s">
        <v>553</v>
      </c>
      <c r="AC95" s="22" t="s">
        <v>545</v>
      </c>
      <c r="AD95" s="22" t="s">
        <v>511</v>
      </c>
      <c r="AE95" s="22" t="s">
        <v>509</v>
      </c>
    </row>
    <row r="96" spans="1:31" ht="20.25" hidden="1" customHeight="1" x14ac:dyDescent="0.15">
      <c r="A96" s="46" t="s">
        <v>609</v>
      </c>
      <c r="B96" s="21">
        <v>75</v>
      </c>
      <c r="C96" s="22" t="s">
        <v>567</v>
      </c>
      <c r="D96" s="22" t="s">
        <v>494</v>
      </c>
      <c r="E96" s="22" t="s">
        <v>494</v>
      </c>
      <c r="F96" s="22" t="s">
        <v>558</v>
      </c>
      <c r="G96" s="22" t="s">
        <v>496</v>
      </c>
      <c r="H96" s="22" t="s">
        <v>574</v>
      </c>
      <c r="I96" s="22" t="s">
        <v>304</v>
      </c>
      <c r="J96" s="22" t="s">
        <v>305</v>
      </c>
      <c r="K96" s="22" t="s">
        <v>498</v>
      </c>
      <c r="L96" s="22" t="s">
        <v>541</v>
      </c>
      <c r="M96" s="22" t="s">
        <v>496</v>
      </c>
      <c r="N96" s="22" t="s">
        <v>500</v>
      </c>
      <c r="O96" s="22">
        <v>450</v>
      </c>
      <c r="P96" s="22"/>
      <c r="Q96" s="22" t="s">
        <v>496</v>
      </c>
      <c r="R96" s="22" t="s">
        <v>496</v>
      </c>
      <c r="S96" s="22" t="s">
        <v>501</v>
      </c>
      <c r="T96" s="22" t="s">
        <v>496</v>
      </c>
      <c r="U96" s="22" t="s">
        <v>496</v>
      </c>
      <c r="V96" s="22" t="s">
        <v>544</v>
      </c>
      <c r="W96" s="22" t="s">
        <v>545</v>
      </c>
      <c r="X96" s="22" t="s">
        <v>541</v>
      </c>
      <c r="Y96" s="22" t="s">
        <v>545</v>
      </c>
      <c r="Z96" s="22" t="s">
        <v>500</v>
      </c>
      <c r="AA96" s="22" t="s">
        <v>545</v>
      </c>
      <c r="AB96" s="22" t="s">
        <v>541</v>
      </c>
      <c r="AC96" s="22" t="s">
        <v>545</v>
      </c>
      <c r="AD96" s="22" t="s">
        <v>546</v>
      </c>
      <c r="AE96" s="22" t="s">
        <v>547</v>
      </c>
    </row>
    <row r="97" spans="1:31" ht="20.25" hidden="1" customHeight="1" x14ac:dyDescent="0.15">
      <c r="A97" s="46" t="s">
        <v>609</v>
      </c>
      <c r="B97" s="21">
        <v>75</v>
      </c>
      <c r="C97" s="22" t="s">
        <v>567</v>
      </c>
      <c r="D97" s="22" t="s">
        <v>494</v>
      </c>
      <c r="E97" s="22" t="s">
        <v>494</v>
      </c>
      <c r="F97" s="22" t="s">
        <v>558</v>
      </c>
      <c r="G97" s="22" t="s">
        <v>496</v>
      </c>
      <c r="H97" s="22" t="s">
        <v>574</v>
      </c>
      <c r="I97" s="22" t="s">
        <v>304</v>
      </c>
      <c r="J97" s="22" t="s">
        <v>305</v>
      </c>
      <c r="K97" s="22" t="s">
        <v>498</v>
      </c>
      <c r="L97" s="22" t="s">
        <v>541</v>
      </c>
      <c r="M97" s="22" t="s">
        <v>496</v>
      </c>
      <c r="N97" s="22" t="s">
        <v>500</v>
      </c>
      <c r="O97" s="22">
        <v>450</v>
      </c>
      <c r="P97" s="22"/>
      <c r="Q97" s="22" t="s">
        <v>496</v>
      </c>
      <c r="R97" s="22" t="s">
        <v>496</v>
      </c>
      <c r="S97" s="22" t="s">
        <v>501</v>
      </c>
      <c r="T97" s="22" t="s">
        <v>496</v>
      </c>
      <c r="U97" s="22" t="s">
        <v>501</v>
      </c>
      <c r="V97" s="22" t="s">
        <v>510</v>
      </c>
      <c r="W97" s="22" t="s">
        <v>504</v>
      </c>
      <c r="X97" s="22" t="s">
        <v>541</v>
      </c>
      <c r="Y97" s="22" t="s">
        <v>545</v>
      </c>
      <c r="Z97" s="22" t="s">
        <v>500</v>
      </c>
      <c r="AA97" s="22" t="s">
        <v>545</v>
      </c>
      <c r="AB97" s="22" t="s">
        <v>541</v>
      </c>
      <c r="AC97" s="22" t="s">
        <v>545</v>
      </c>
      <c r="AD97" s="22" t="s">
        <v>511</v>
      </c>
      <c r="AE97" s="22" t="s">
        <v>509</v>
      </c>
    </row>
    <row r="98" spans="1:31" ht="20.25" hidden="1" customHeight="1" x14ac:dyDescent="0.15">
      <c r="A98" s="46" t="s">
        <v>611</v>
      </c>
      <c r="B98" s="21">
        <v>76</v>
      </c>
      <c r="C98" s="22" t="s">
        <v>567</v>
      </c>
      <c r="D98" s="22" t="s">
        <v>494</v>
      </c>
      <c r="E98" s="22" t="s">
        <v>512</v>
      </c>
      <c r="F98" s="22" t="s">
        <v>558</v>
      </c>
      <c r="G98" s="22" t="s">
        <v>496</v>
      </c>
      <c r="H98" s="22" t="s">
        <v>575</v>
      </c>
      <c r="I98" s="22" t="s">
        <v>302</v>
      </c>
      <c r="J98" s="22" t="s">
        <v>303</v>
      </c>
      <c r="K98" s="22" t="s">
        <v>498</v>
      </c>
      <c r="L98" s="22" t="s">
        <v>541</v>
      </c>
      <c r="M98" s="22" t="s">
        <v>496</v>
      </c>
      <c r="N98" s="22" t="s">
        <v>499</v>
      </c>
      <c r="O98" s="22">
        <v>450</v>
      </c>
      <c r="P98" s="22"/>
      <c r="Q98" s="22" t="s">
        <v>496</v>
      </c>
      <c r="R98" s="22" t="s">
        <v>496</v>
      </c>
      <c r="S98" s="22" t="s">
        <v>501</v>
      </c>
      <c r="T98" s="22" t="s">
        <v>496</v>
      </c>
      <c r="U98" s="22" t="s">
        <v>501</v>
      </c>
      <c r="V98" s="22" t="s">
        <v>510</v>
      </c>
      <c r="W98" s="22" t="s">
        <v>504</v>
      </c>
      <c r="X98" s="22" t="s">
        <v>541</v>
      </c>
      <c r="Y98" s="22" t="s">
        <v>545</v>
      </c>
      <c r="Z98" s="22" t="s">
        <v>499</v>
      </c>
      <c r="AA98" s="22" t="s">
        <v>545</v>
      </c>
      <c r="AB98" s="22" t="s">
        <v>504</v>
      </c>
      <c r="AC98" s="22" t="s">
        <v>504</v>
      </c>
      <c r="AD98" s="22" t="s">
        <v>511</v>
      </c>
      <c r="AE98" s="22" t="s">
        <v>509</v>
      </c>
    </row>
    <row r="99" spans="1:31" ht="20.25" hidden="1" customHeight="1" x14ac:dyDescent="0.15">
      <c r="A99" s="46" t="s">
        <v>612</v>
      </c>
      <c r="B99" s="21">
        <v>77</v>
      </c>
      <c r="C99" s="22" t="s">
        <v>567</v>
      </c>
      <c r="D99" s="22" t="s">
        <v>494</v>
      </c>
      <c r="E99" s="22" t="s">
        <v>516</v>
      </c>
      <c r="F99" s="22" t="s">
        <v>558</v>
      </c>
      <c r="G99" s="22" t="s">
        <v>496</v>
      </c>
      <c r="H99" s="22" t="s">
        <v>576</v>
      </c>
      <c r="I99" s="22" t="s">
        <v>282</v>
      </c>
      <c r="J99" s="22" t="s">
        <v>283</v>
      </c>
      <c r="K99" s="22" t="s">
        <v>498</v>
      </c>
      <c r="L99" s="22" t="s">
        <v>505</v>
      </c>
      <c r="M99" s="22" t="s">
        <v>496</v>
      </c>
      <c r="N99" s="22" t="s">
        <v>499</v>
      </c>
      <c r="O99" s="22">
        <v>450</v>
      </c>
      <c r="P99" s="22"/>
      <c r="Q99" s="22" t="s">
        <v>496</v>
      </c>
      <c r="R99" s="22" t="s">
        <v>496</v>
      </c>
      <c r="S99" s="22" t="s">
        <v>501</v>
      </c>
      <c r="T99" s="22" t="s">
        <v>496</v>
      </c>
      <c r="U99" s="22" t="s">
        <v>501</v>
      </c>
      <c r="V99" s="22" t="s">
        <v>510</v>
      </c>
      <c r="W99" s="22" t="s">
        <v>504</v>
      </c>
      <c r="X99" s="22" t="s">
        <v>541</v>
      </c>
      <c r="Y99" s="22" t="s">
        <v>545</v>
      </c>
      <c r="Z99" s="22" t="s">
        <v>499</v>
      </c>
      <c r="AA99" s="22" t="s">
        <v>545</v>
      </c>
      <c r="AB99" s="22" t="s">
        <v>504</v>
      </c>
      <c r="AC99" s="22" t="s">
        <v>504</v>
      </c>
      <c r="AD99" s="22" t="s">
        <v>511</v>
      </c>
      <c r="AE99" s="22" t="s">
        <v>509</v>
      </c>
    </row>
    <row r="100" spans="1:31" ht="20.25" hidden="1" customHeight="1" x14ac:dyDescent="0.15">
      <c r="A100" s="46" t="s">
        <v>612</v>
      </c>
      <c r="B100" s="21">
        <v>78</v>
      </c>
      <c r="C100" s="22" t="s">
        <v>567</v>
      </c>
      <c r="D100" s="22" t="s">
        <v>494</v>
      </c>
      <c r="E100" s="22" t="s">
        <v>516</v>
      </c>
      <c r="F100" s="22" t="s">
        <v>558</v>
      </c>
      <c r="G100" s="22" t="s">
        <v>496</v>
      </c>
      <c r="H100" s="22" t="s">
        <v>577</v>
      </c>
      <c r="I100" s="22" t="s">
        <v>308</v>
      </c>
      <c r="J100" s="22" t="s">
        <v>309</v>
      </c>
      <c r="K100" s="22" t="s">
        <v>498</v>
      </c>
      <c r="L100" s="22" t="s">
        <v>541</v>
      </c>
      <c r="M100" s="22" t="s">
        <v>496</v>
      </c>
      <c r="N100" s="22" t="s">
        <v>498</v>
      </c>
      <c r="O100" s="22">
        <v>450</v>
      </c>
      <c r="P100" s="22"/>
      <c r="Q100" s="22" t="s">
        <v>496</v>
      </c>
      <c r="R100" s="22" t="s">
        <v>496</v>
      </c>
      <c r="S100" s="22" t="s">
        <v>501</v>
      </c>
      <c r="T100" s="22" t="s">
        <v>496</v>
      </c>
      <c r="U100" s="22" t="s">
        <v>501</v>
      </c>
      <c r="V100" s="22" t="s">
        <v>510</v>
      </c>
      <c r="W100" s="22" t="s">
        <v>504</v>
      </c>
      <c r="X100" s="22" t="s">
        <v>504</v>
      </c>
      <c r="Y100" s="22" t="s">
        <v>545</v>
      </c>
      <c r="Z100" s="22" t="s">
        <v>498</v>
      </c>
      <c r="AA100" s="22" t="s">
        <v>545</v>
      </c>
      <c r="AB100" s="22" t="s">
        <v>504</v>
      </c>
      <c r="AC100" s="22" t="s">
        <v>504</v>
      </c>
      <c r="AD100" s="22" t="s">
        <v>511</v>
      </c>
      <c r="AE100" s="22" t="s">
        <v>509</v>
      </c>
    </row>
    <row r="101" spans="1:31" ht="20.25" hidden="1" customHeight="1" x14ac:dyDescent="0.15">
      <c r="A101" s="46" t="s">
        <v>612</v>
      </c>
      <c r="B101" s="21">
        <v>79</v>
      </c>
      <c r="C101" s="22" t="s">
        <v>567</v>
      </c>
      <c r="D101" s="22" t="s">
        <v>494</v>
      </c>
      <c r="E101" s="22" t="s">
        <v>516</v>
      </c>
      <c r="F101" s="22" t="s">
        <v>558</v>
      </c>
      <c r="G101" s="22" t="s">
        <v>496</v>
      </c>
      <c r="H101" s="22" t="s">
        <v>578</v>
      </c>
      <c r="I101" s="22" t="s">
        <v>448</v>
      </c>
      <c r="J101" s="22" t="s">
        <v>449</v>
      </c>
      <c r="K101" s="22" t="s">
        <v>498</v>
      </c>
      <c r="L101" s="22" t="s">
        <v>541</v>
      </c>
      <c r="M101" s="22" t="s">
        <v>496</v>
      </c>
      <c r="N101" s="22" t="s">
        <v>522</v>
      </c>
      <c r="O101" s="22">
        <v>450</v>
      </c>
      <c r="P101" s="22"/>
      <c r="Q101" s="22" t="s">
        <v>496</v>
      </c>
      <c r="R101" s="22" t="s">
        <v>496</v>
      </c>
      <c r="S101" s="22" t="s">
        <v>501</v>
      </c>
      <c r="T101" s="22" t="s">
        <v>496</v>
      </c>
      <c r="U101" s="22" t="s">
        <v>501</v>
      </c>
      <c r="V101" s="22" t="s">
        <v>510</v>
      </c>
      <c r="W101" s="22" t="s">
        <v>504</v>
      </c>
      <c r="X101" s="22" t="s">
        <v>564</v>
      </c>
      <c r="Y101" s="22" t="s">
        <v>545</v>
      </c>
      <c r="Z101" s="22" t="s">
        <v>522</v>
      </c>
      <c r="AA101" s="22" t="s">
        <v>545</v>
      </c>
      <c r="AB101" s="22" t="s">
        <v>504</v>
      </c>
      <c r="AC101" s="22" t="s">
        <v>504</v>
      </c>
      <c r="AD101" s="22" t="s">
        <v>511</v>
      </c>
      <c r="AE101" s="22" t="s">
        <v>509</v>
      </c>
    </row>
    <row r="102" spans="1:31" ht="20.25" hidden="1" customHeight="1" x14ac:dyDescent="0.15">
      <c r="A102" s="27" t="s">
        <v>605</v>
      </c>
      <c r="B102" s="21">
        <v>80</v>
      </c>
      <c r="C102" s="22" t="s">
        <v>38</v>
      </c>
      <c r="D102" s="22" t="s">
        <v>494</v>
      </c>
      <c r="E102" s="22" t="s">
        <v>494</v>
      </c>
      <c r="F102" s="22" t="s">
        <v>542</v>
      </c>
      <c r="G102" s="22" t="s">
        <v>496</v>
      </c>
      <c r="H102" s="22" t="s">
        <v>543</v>
      </c>
      <c r="I102" s="22" t="s">
        <v>452</v>
      </c>
      <c r="J102" s="22" t="s">
        <v>453</v>
      </c>
      <c r="K102" s="22" t="s">
        <v>498</v>
      </c>
      <c r="L102" s="22" t="s">
        <v>499</v>
      </c>
      <c r="M102" s="22" t="s">
        <v>496</v>
      </c>
      <c r="N102" s="22" t="s">
        <v>541</v>
      </c>
      <c r="O102" s="22">
        <v>450</v>
      </c>
      <c r="P102" s="22"/>
      <c r="Q102" s="22" t="s">
        <v>496</v>
      </c>
      <c r="R102" s="22" t="s">
        <v>496</v>
      </c>
      <c r="S102" s="22" t="s">
        <v>537</v>
      </c>
      <c r="T102" s="22" t="s">
        <v>496</v>
      </c>
      <c r="U102" s="22" t="s">
        <v>537</v>
      </c>
      <c r="V102" s="22" t="s">
        <v>538</v>
      </c>
      <c r="W102" s="22" t="s">
        <v>504</v>
      </c>
      <c r="X102" s="22" t="s">
        <v>541</v>
      </c>
      <c r="Y102" s="22" t="s">
        <v>545</v>
      </c>
      <c r="Z102" s="22" t="s">
        <v>500</v>
      </c>
      <c r="AA102" s="22" t="s">
        <v>545</v>
      </c>
      <c r="AB102" s="22" t="s">
        <v>541</v>
      </c>
      <c r="AC102" s="22" t="s">
        <v>545</v>
      </c>
      <c r="AD102" s="22" t="s">
        <v>476</v>
      </c>
      <c r="AE102" s="22" t="s">
        <v>509</v>
      </c>
    </row>
    <row r="103" spans="1:31" ht="20.25" hidden="1" customHeight="1" x14ac:dyDescent="0.15">
      <c r="A103" s="27" t="s">
        <v>603</v>
      </c>
      <c r="B103" s="21">
        <v>80</v>
      </c>
      <c r="C103" s="22" t="s">
        <v>38</v>
      </c>
      <c r="D103" s="22" t="s">
        <v>494</v>
      </c>
      <c r="E103" s="22" t="s">
        <v>494</v>
      </c>
      <c r="F103" s="22" t="s">
        <v>542</v>
      </c>
      <c r="G103" s="22" t="s">
        <v>496</v>
      </c>
      <c r="H103" s="22" t="s">
        <v>543</v>
      </c>
      <c r="I103" s="22" t="s">
        <v>452</v>
      </c>
      <c r="J103" s="22" t="s">
        <v>453</v>
      </c>
      <c r="K103" s="22" t="s">
        <v>498</v>
      </c>
      <c r="L103" s="22" t="s">
        <v>499</v>
      </c>
      <c r="M103" s="22" t="s">
        <v>496</v>
      </c>
      <c r="N103" s="22" t="s">
        <v>541</v>
      </c>
      <c r="O103" s="22">
        <v>450</v>
      </c>
      <c r="P103" s="22"/>
      <c r="Q103" s="22" t="s">
        <v>496</v>
      </c>
      <c r="R103" s="22" t="s">
        <v>496</v>
      </c>
      <c r="S103" s="22" t="s">
        <v>537</v>
      </c>
      <c r="T103" s="22" t="s">
        <v>496</v>
      </c>
      <c r="U103" s="22" t="s">
        <v>496</v>
      </c>
      <c r="V103" s="22" t="s">
        <v>544</v>
      </c>
      <c r="W103" s="22" t="s">
        <v>545</v>
      </c>
      <c r="X103" s="22" t="s">
        <v>541</v>
      </c>
      <c r="Y103" s="22" t="s">
        <v>545</v>
      </c>
      <c r="Z103" s="22" t="s">
        <v>500</v>
      </c>
      <c r="AA103" s="22" t="s">
        <v>545</v>
      </c>
      <c r="AB103" s="22" t="s">
        <v>541</v>
      </c>
      <c r="AC103" s="22" t="s">
        <v>545</v>
      </c>
      <c r="AD103" s="22" t="s">
        <v>546</v>
      </c>
      <c r="AE103" s="22" t="s">
        <v>547</v>
      </c>
    </row>
    <row r="104" spans="1:31" ht="20.25" hidden="1" customHeight="1" x14ac:dyDescent="0.15">
      <c r="A104" s="27" t="s">
        <v>605</v>
      </c>
      <c r="B104" s="21">
        <v>81</v>
      </c>
      <c r="C104" s="22" t="s">
        <v>38</v>
      </c>
      <c r="D104" s="22" t="s">
        <v>512</v>
      </c>
      <c r="E104" s="22" t="s">
        <v>494</v>
      </c>
      <c r="F104" s="22" t="s">
        <v>542</v>
      </c>
      <c r="G104" s="22" t="s">
        <v>496</v>
      </c>
      <c r="H104" s="22" t="s">
        <v>548</v>
      </c>
      <c r="I104" s="22" t="s">
        <v>98</v>
      </c>
      <c r="J104" s="22" t="s">
        <v>99</v>
      </c>
      <c r="K104" s="22" t="s">
        <v>498</v>
      </c>
      <c r="L104" s="22" t="s">
        <v>498</v>
      </c>
      <c r="M104" s="22" t="s">
        <v>496</v>
      </c>
      <c r="N104" s="22" t="s">
        <v>541</v>
      </c>
      <c r="O104" s="22" t="s">
        <v>500</v>
      </c>
      <c r="P104" s="22"/>
      <c r="Q104" s="22" t="s">
        <v>496</v>
      </c>
      <c r="R104" s="22" t="s">
        <v>496</v>
      </c>
      <c r="S104" s="22" t="s">
        <v>537</v>
      </c>
      <c r="T104" s="22" t="s">
        <v>496</v>
      </c>
      <c r="U104" s="22" t="s">
        <v>537</v>
      </c>
      <c r="V104" s="22" t="s">
        <v>538</v>
      </c>
      <c r="W104" s="22" t="s">
        <v>504</v>
      </c>
      <c r="X104" s="22" t="s">
        <v>504</v>
      </c>
      <c r="Y104" s="22" t="s">
        <v>545</v>
      </c>
      <c r="Z104" s="22" t="s">
        <v>499</v>
      </c>
      <c r="AA104" s="22" t="s">
        <v>545</v>
      </c>
      <c r="AB104" s="22" t="s">
        <v>541</v>
      </c>
      <c r="AC104" s="22" t="s">
        <v>545</v>
      </c>
      <c r="AD104" s="22" t="s">
        <v>476</v>
      </c>
      <c r="AE104" s="22" t="s">
        <v>509</v>
      </c>
    </row>
    <row r="105" spans="1:31" ht="20.25" hidden="1" customHeight="1" x14ac:dyDescent="0.15">
      <c r="A105" s="27" t="s">
        <v>603</v>
      </c>
      <c r="B105" s="21">
        <v>81</v>
      </c>
      <c r="C105" s="22" t="s">
        <v>38</v>
      </c>
      <c r="D105" s="22" t="s">
        <v>512</v>
      </c>
      <c r="E105" s="22" t="s">
        <v>494</v>
      </c>
      <c r="F105" s="22" t="s">
        <v>542</v>
      </c>
      <c r="G105" s="22" t="s">
        <v>496</v>
      </c>
      <c r="H105" s="22" t="s">
        <v>548</v>
      </c>
      <c r="I105" s="22" t="s">
        <v>98</v>
      </c>
      <c r="J105" s="22" t="s">
        <v>99</v>
      </c>
      <c r="K105" s="22" t="s">
        <v>498</v>
      </c>
      <c r="L105" s="22" t="s">
        <v>498</v>
      </c>
      <c r="M105" s="22" t="s">
        <v>496</v>
      </c>
      <c r="N105" s="22" t="s">
        <v>541</v>
      </c>
      <c r="O105" s="22" t="s">
        <v>500</v>
      </c>
      <c r="P105" s="22"/>
      <c r="Q105" s="22" t="s">
        <v>496</v>
      </c>
      <c r="R105" s="22" t="s">
        <v>496</v>
      </c>
      <c r="S105" s="22" t="s">
        <v>537</v>
      </c>
      <c r="T105" s="22" t="s">
        <v>496</v>
      </c>
      <c r="U105" s="22" t="s">
        <v>496</v>
      </c>
      <c r="V105" s="22" t="s">
        <v>544</v>
      </c>
      <c r="W105" s="22" t="s">
        <v>545</v>
      </c>
      <c r="X105" s="22" t="s">
        <v>541</v>
      </c>
      <c r="Y105" s="22" t="s">
        <v>545</v>
      </c>
      <c r="Z105" s="22" t="s">
        <v>499</v>
      </c>
      <c r="AA105" s="22" t="s">
        <v>545</v>
      </c>
      <c r="AB105" s="22" t="s">
        <v>541</v>
      </c>
      <c r="AC105" s="22" t="s">
        <v>545</v>
      </c>
      <c r="AD105" s="22" t="s">
        <v>546</v>
      </c>
      <c r="AE105" s="22" t="s">
        <v>547</v>
      </c>
    </row>
    <row r="106" spans="1:31" ht="20.25" hidden="1" customHeight="1" x14ac:dyDescent="0.15">
      <c r="A106" s="27" t="s">
        <v>603</v>
      </c>
      <c r="B106" s="21">
        <v>82</v>
      </c>
      <c r="C106" s="22" t="s">
        <v>38</v>
      </c>
      <c r="D106" s="22" t="s">
        <v>516</v>
      </c>
      <c r="E106" s="22" t="s">
        <v>494</v>
      </c>
      <c r="F106" s="22" t="s">
        <v>542</v>
      </c>
      <c r="G106" s="22" t="s">
        <v>496</v>
      </c>
      <c r="H106" s="22" t="s">
        <v>549</v>
      </c>
      <c r="I106" s="22" t="s">
        <v>132</v>
      </c>
      <c r="J106" s="22" t="s">
        <v>133</v>
      </c>
      <c r="K106" s="22" t="s">
        <v>498</v>
      </c>
      <c r="L106" s="22" t="s">
        <v>522</v>
      </c>
      <c r="M106" s="22" t="s">
        <v>496</v>
      </c>
      <c r="N106" s="22" t="s">
        <v>505</v>
      </c>
      <c r="O106" s="22" t="s">
        <v>499</v>
      </c>
      <c r="P106" s="22"/>
      <c r="Q106" s="22" t="s">
        <v>496</v>
      </c>
      <c r="R106" s="22" t="s">
        <v>496</v>
      </c>
      <c r="S106" s="22" t="s">
        <v>537</v>
      </c>
      <c r="T106" s="22" t="s">
        <v>496</v>
      </c>
      <c r="U106" s="22" t="s">
        <v>496</v>
      </c>
      <c r="V106" s="22" t="s">
        <v>544</v>
      </c>
      <c r="W106" s="22" t="s">
        <v>545</v>
      </c>
      <c r="X106" s="22" t="s">
        <v>505</v>
      </c>
      <c r="Y106" s="22" t="s">
        <v>545</v>
      </c>
      <c r="Z106" s="22" t="s">
        <v>500</v>
      </c>
      <c r="AA106" s="22" t="s">
        <v>545</v>
      </c>
      <c r="AB106" s="22" t="s">
        <v>505</v>
      </c>
      <c r="AC106" s="22" t="s">
        <v>545</v>
      </c>
      <c r="AD106" s="22" t="s">
        <v>546</v>
      </c>
      <c r="AE106" s="22" t="s">
        <v>547</v>
      </c>
    </row>
    <row r="107" spans="1:31" ht="20.25" hidden="1" customHeight="1" x14ac:dyDescent="0.15">
      <c r="A107" s="24" t="s">
        <v>607</v>
      </c>
      <c r="B107" s="21">
        <v>83</v>
      </c>
      <c r="C107" s="22" t="s">
        <v>38</v>
      </c>
      <c r="D107" s="22" t="s">
        <v>494</v>
      </c>
      <c r="E107" s="22" t="s">
        <v>494</v>
      </c>
      <c r="F107" s="22" t="s">
        <v>550</v>
      </c>
      <c r="G107" s="22" t="s">
        <v>496</v>
      </c>
      <c r="H107" s="22" t="s">
        <v>551</v>
      </c>
      <c r="I107" s="22" t="s">
        <v>148</v>
      </c>
      <c r="J107" s="22" t="s">
        <v>149</v>
      </c>
      <c r="K107" s="22" t="s">
        <v>498</v>
      </c>
      <c r="L107" s="22" t="s">
        <v>499</v>
      </c>
      <c r="M107" s="22" t="s">
        <v>496</v>
      </c>
      <c r="N107" s="22" t="s">
        <v>536</v>
      </c>
      <c r="O107" s="22" t="s">
        <v>499</v>
      </c>
      <c r="P107" s="22"/>
      <c r="Q107" s="22" t="s">
        <v>496</v>
      </c>
      <c r="R107" s="22" t="s">
        <v>496</v>
      </c>
      <c r="S107" s="22" t="s">
        <v>537</v>
      </c>
      <c r="T107" s="22" t="s">
        <v>496</v>
      </c>
      <c r="U107" s="22" t="s">
        <v>496</v>
      </c>
      <c r="V107" s="22" t="s">
        <v>544</v>
      </c>
      <c r="W107" s="22" t="s">
        <v>506</v>
      </c>
      <c r="X107" s="22" t="s">
        <v>553</v>
      </c>
      <c r="Y107" s="22" t="s">
        <v>545</v>
      </c>
      <c r="Z107" s="22" t="s">
        <v>552</v>
      </c>
      <c r="AA107" s="22" t="s">
        <v>545</v>
      </c>
      <c r="AB107" s="22" t="s">
        <v>553</v>
      </c>
      <c r="AC107" s="22" t="s">
        <v>545</v>
      </c>
      <c r="AD107" s="22" t="s">
        <v>546</v>
      </c>
      <c r="AE107" s="22" t="s">
        <v>554</v>
      </c>
    </row>
    <row r="108" spans="1:31" ht="20.25" hidden="1" customHeight="1" x14ac:dyDescent="0.15">
      <c r="A108" s="27" t="s">
        <v>605</v>
      </c>
      <c r="B108" s="21">
        <v>83</v>
      </c>
      <c r="C108" s="22" t="s">
        <v>38</v>
      </c>
      <c r="D108" s="22" t="s">
        <v>494</v>
      </c>
      <c r="E108" s="22" t="s">
        <v>494</v>
      </c>
      <c r="F108" s="22" t="s">
        <v>550</v>
      </c>
      <c r="G108" s="22" t="s">
        <v>496</v>
      </c>
      <c r="H108" s="22" t="s">
        <v>551</v>
      </c>
      <c r="I108" s="22" t="s">
        <v>148</v>
      </c>
      <c r="J108" s="22" t="s">
        <v>149</v>
      </c>
      <c r="K108" s="22" t="s">
        <v>498</v>
      </c>
      <c r="L108" s="22" t="s">
        <v>499</v>
      </c>
      <c r="M108" s="22" t="s">
        <v>496</v>
      </c>
      <c r="N108" s="22" t="s">
        <v>536</v>
      </c>
      <c r="O108" s="22" t="s">
        <v>498</v>
      </c>
      <c r="P108" s="22"/>
      <c r="Q108" s="22" t="s">
        <v>496</v>
      </c>
      <c r="R108" s="22" t="s">
        <v>496</v>
      </c>
      <c r="S108" s="22" t="s">
        <v>537</v>
      </c>
      <c r="T108" s="22" t="s">
        <v>496</v>
      </c>
      <c r="U108" s="22" t="s">
        <v>537</v>
      </c>
      <c r="V108" s="22" t="s">
        <v>538</v>
      </c>
      <c r="W108" s="22" t="s">
        <v>504</v>
      </c>
      <c r="X108" s="22" t="s">
        <v>541</v>
      </c>
      <c r="Y108" s="22" t="s">
        <v>545</v>
      </c>
      <c r="Z108" s="22" t="s">
        <v>552</v>
      </c>
      <c r="AA108" s="22" t="s">
        <v>545</v>
      </c>
      <c r="AB108" s="22" t="s">
        <v>553</v>
      </c>
      <c r="AC108" s="22" t="s">
        <v>545</v>
      </c>
      <c r="AD108" s="22" t="s">
        <v>476</v>
      </c>
      <c r="AE108" s="22" t="s">
        <v>509</v>
      </c>
    </row>
    <row r="109" spans="1:31" ht="20.25" hidden="1" customHeight="1" x14ac:dyDescent="0.15">
      <c r="A109" s="27" t="s">
        <v>605</v>
      </c>
      <c r="B109" s="21">
        <v>84</v>
      </c>
      <c r="C109" s="22" t="s">
        <v>38</v>
      </c>
      <c r="D109" s="22" t="s">
        <v>512</v>
      </c>
      <c r="E109" s="22" t="s">
        <v>494</v>
      </c>
      <c r="F109" s="22" t="s">
        <v>550</v>
      </c>
      <c r="G109" s="22" t="s">
        <v>496</v>
      </c>
      <c r="H109" s="22" t="s">
        <v>555</v>
      </c>
      <c r="I109" s="22" t="s">
        <v>150</v>
      </c>
      <c r="J109" s="22" t="s">
        <v>151</v>
      </c>
      <c r="K109" s="22" t="s">
        <v>498</v>
      </c>
      <c r="L109" s="22" t="s">
        <v>498</v>
      </c>
      <c r="M109" s="22" t="s">
        <v>496</v>
      </c>
      <c r="N109" s="22" t="s">
        <v>536</v>
      </c>
      <c r="O109" s="22" t="s">
        <v>522</v>
      </c>
      <c r="P109" s="22"/>
      <c r="Q109" s="22" t="s">
        <v>496</v>
      </c>
      <c r="R109" s="22" t="s">
        <v>496</v>
      </c>
      <c r="S109" s="22" t="s">
        <v>537</v>
      </c>
      <c r="T109" s="22" t="s">
        <v>496</v>
      </c>
      <c r="U109" s="22" t="s">
        <v>537</v>
      </c>
      <c r="V109" s="22" t="s">
        <v>538</v>
      </c>
      <c r="W109" s="22" t="s">
        <v>504</v>
      </c>
      <c r="X109" s="22" t="s">
        <v>504</v>
      </c>
      <c r="Y109" s="22" t="s">
        <v>545</v>
      </c>
      <c r="Z109" s="22" t="s">
        <v>499</v>
      </c>
      <c r="AA109" s="22" t="s">
        <v>545</v>
      </c>
      <c r="AB109" s="22" t="s">
        <v>541</v>
      </c>
      <c r="AC109" s="22" t="s">
        <v>545</v>
      </c>
      <c r="AD109" s="22" t="s">
        <v>476</v>
      </c>
      <c r="AE109" s="22" t="s">
        <v>509</v>
      </c>
    </row>
    <row r="110" spans="1:31" ht="20.25" hidden="1" customHeight="1" x14ac:dyDescent="0.15">
      <c r="A110" s="24" t="s">
        <v>607</v>
      </c>
      <c r="B110" s="21">
        <v>84</v>
      </c>
      <c r="C110" s="22" t="s">
        <v>38</v>
      </c>
      <c r="D110" s="22" t="s">
        <v>512</v>
      </c>
      <c r="E110" s="22" t="s">
        <v>494</v>
      </c>
      <c r="F110" s="22" t="s">
        <v>550</v>
      </c>
      <c r="G110" s="22" t="s">
        <v>496</v>
      </c>
      <c r="H110" s="22" t="s">
        <v>555</v>
      </c>
      <c r="I110" s="22" t="s">
        <v>150</v>
      </c>
      <c r="J110" s="22" t="s">
        <v>151</v>
      </c>
      <c r="K110" s="22" t="s">
        <v>498</v>
      </c>
      <c r="L110" s="22" t="s">
        <v>498</v>
      </c>
      <c r="M110" s="22" t="s">
        <v>496</v>
      </c>
      <c r="N110" s="22" t="s">
        <v>536</v>
      </c>
      <c r="O110" s="22" t="s">
        <v>522</v>
      </c>
      <c r="P110" s="22"/>
      <c r="Q110" s="22" t="s">
        <v>496</v>
      </c>
      <c r="R110" s="22" t="s">
        <v>496</v>
      </c>
      <c r="S110" s="22" t="s">
        <v>537</v>
      </c>
      <c r="T110" s="22" t="s">
        <v>496</v>
      </c>
      <c r="U110" s="22" t="s">
        <v>496</v>
      </c>
      <c r="V110" s="22" t="s">
        <v>544</v>
      </c>
      <c r="W110" s="22" t="s">
        <v>506</v>
      </c>
      <c r="X110" s="22" t="s">
        <v>541</v>
      </c>
      <c r="Y110" s="22" t="s">
        <v>545</v>
      </c>
      <c r="Z110" s="22" t="s">
        <v>499</v>
      </c>
      <c r="AA110" s="22" t="s">
        <v>545</v>
      </c>
      <c r="AB110" s="22" t="s">
        <v>541</v>
      </c>
      <c r="AC110" s="22" t="s">
        <v>545</v>
      </c>
      <c r="AD110" s="22" t="s">
        <v>546</v>
      </c>
      <c r="AE110" s="22" t="s">
        <v>554</v>
      </c>
    </row>
    <row r="111" spans="1:31" ht="20.25" hidden="1" customHeight="1" x14ac:dyDescent="0.15">
      <c r="A111" s="24" t="s">
        <v>607</v>
      </c>
      <c r="B111" s="21">
        <v>85</v>
      </c>
      <c r="C111" s="22" t="s">
        <v>38</v>
      </c>
      <c r="D111" s="22" t="s">
        <v>516</v>
      </c>
      <c r="E111" s="22" t="s">
        <v>494</v>
      </c>
      <c r="F111" s="22" t="s">
        <v>550</v>
      </c>
      <c r="G111" s="22" t="s">
        <v>496</v>
      </c>
      <c r="H111" s="22" t="s">
        <v>556</v>
      </c>
      <c r="I111" s="22" t="s">
        <v>146</v>
      </c>
      <c r="J111" s="22" t="s">
        <v>147</v>
      </c>
      <c r="K111" s="22" t="s">
        <v>498</v>
      </c>
      <c r="L111" s="22" t="s">
        <v>522</v>
      </c>
      <c r="M111" s="22" t="s">
        <v>496</v>
      </c>
      <c r="N111" s="22" t="s">
        <v>557</v>
      </c>
      <c r="O111" s="22" t="s">
        <v>498</v>
      </c>
      <c r="P111" s="22"/>
      <c r="Q111" s="22" t="s">
        <v>496</v>
      </c>
      <c r="R111" s="22" t="s">
        <v>496</v>
      </c>
      <c r="S111" s="22" t="s">
        <v>537</v>
      </c>
      <c r="T111" s="22" t="s">
        <v>496</v>
      </c>
      <c r="U111" s="22" t="s">
        <v>496</v>
      </c>
      <c r="V111" s="22" t="s">
        <v>544</v>
      </c>
      <c r="W111" s="22" t="s">
        <v>506</v>
      </c>
      <c r="X111" s="22" t="s">
        <v>505</v>
      </c>
      <c r="Y111" s="22" t="s">
        <v>545</v>
      </c>
      <c r="Z111" s="22" t="s">
        <v>500</v>
      </c>
      <c r="AA111" s="22" t="s">
        <v>545</v>
      </c>
      <c r="AB111" s="22" t="s">
        <v>505</v>
      </c>
      <c r="AC111" s="22" t="s">
        <v>545</v>
      </c>
      <c r="AD111" s="22" t="s">
        <v>546</v>
      </c>
      <c r="AE111" s="22" t="s">
        <v>554</v>
      </c>
    </row>
    <row r="112" spans="1:31" ht="20.25" hidden="1" customHeight="1" x14ac:dyDescent="0.15">
      <c r="A112" s="46" t="s">
        <v>614</v>
      </c>
      <c r="B112" s="21">
        <v>86</v>
      </c>
      <c r="C112" s="22" t="s">
        <v>38</v>
      </c>
      <c r="D112" s="22" t="s">
        <v>494</v>
      </c>
      <c r="E112" s="22" t="s">
        <v>494</v>
      </c>
      <c r="F112" s="22" t="s">
        <v>558</v>
      </c>
      <c r="G112" s="22" t="s">
        <v>496</v>
      </c>
      <c r="H112" s="22" t="s">
        <v>608</v>
      </c>
      <c r="I112" s="22" t="s">
        <v>142</v>
      </c>
      <c r="J112" s="22" t="s">
        <v>143</v>
      </c>
      <c r="K112" s="22" t="s">
        <v>498</v>
      </c>
      <c r="L112" s="22" t="s">
        <v>499</v>
      </c>
      <c r="M112" s="22" t="s">
        <v>496</v>
      </c>
      <c r="N112" s="22" t="s">
        <v>500</v>
      </c>
      <c r="O112" s="22" t="s">
        <v>498</v>
      </c>
      <c r="P112" s="22"/>
      <c r="Q112" s="22" t="s">
        <v>496</v>
      </c>
      <c r="R112" s="22" t="s">
        <v>496</v>
      </c>
      <c r="S112" s="22" t="s">
        <v>537</v>
      </c>
      <c r="T112" s="22" t="s">
        <v>496</v>
      </c>
      <c r="U112" s="22" t="s">
        <v>537</v>
      </c>
      <c r="V112" s="22" t="s">
        <v>538</v>
      </c>
      <c r="W112" s="22" t="s">
        <v>504</v>
      </c>
      <c r="X112" s="22" t="s">
        <v>541</v>
      </c>
      <c r="Y112" s="22" t="s">
        <v>545</v>
      </c>
      <c r="Z112" s="22" t="s">
        <v>500</v>
      </c>
      <c r="AA112" s="22" t="s">
        <v>545</v>
      </c>
      <c r="AB112" s="22" t="s">
        <v>541</v>
      </c>
      <c r="AC112" s="22" t="s">
        <v>545</v>
      </c>
      <c r="AD112" s="22" t="s">
        <v>476</v>
      </c>
      <c r="AE112" s="22" t="s">
        <v>509</v>
      </c>
    </row>
    <row r="113" spans="1:31" ht="20.25" hidden="1" customHeight="1" x14ac:dyDescent="0.15">
      <c r="A113" s="46" t="s">
        <v>614</v>
      </c>
      <c r="B113" s="21">
        <v>86</v>
      </c>
      <c r="C113" s="22" t="s">
        <v>38</v>
      </c>
      <c r="D113" s="22" t="s">
        <v>494</v>
      </c>
      <c r="E113" s="22" t="s">
        <v>494</v>
      </c>
      <c r="F113" s="22" t="s">
        <v>558</v>
      </c>
      <c r="G113" s="22" t="s">
        <v>496</v>
      </c>
      <c r="H113" s="22" t="s">
        <v>559</v>
      </c>
      <c r="I113" s="22" t="s">
        <v>142</v>
      </c>
      <c r="J113" s="22" t="s">
        <v>143</v>
      </c>
      <c r="K113" s="22" t="s">
        <v>498</v>
      </c>
      <c r="L113" s="22" t="s">
        <v>499</v>
      </c>
      <c r="M113" s="22" t="s">
        <v>496</v>
      </c>
      <c r="N113" s="22" t="s">
        <v>500</v>
      </c>
      <c r="O113" s="22" t="s">
        <v>522</v>
      </c>
      <c r="P113" s="22"/>
      <c r="Q113" s="22" t="s">
        <v>496</v>
      </c>
      <c r="R113" s="22" t="s">
        <v>496</v>
      </c>
      <c r="S113" s="22" t="s">
        <v>537</v>
      </c>
      <c r="T113" s="22" t="s">
        <v>496</v>
      </c>
      <c r="U113" s="22" t="s">
        <v>496</v>
      </c>
      <c r="V113" s="22" t="s">
        <v>544</v>
      </c>
      <c r="W113" s="22" t="s">
        <v>545</v>
      </c>
      <c r="X113" s="22" t="s">
        <v>541</v>
      </c>
      <c r="Y113" s="22" t="s">
        <v>545</v>
      </c>
      <c r="Z113" s="22" t="s">
        <v>500</v>
      </c>
      <c r="AA113" s="22" t="s">
        <v>545</v>
      </c>
      <c r="AB113" s="22" t="s">
        <v>541</v>
      </c>
      <c r="AC113" s="22" t="s">
        <v>545</v>
      </c>
      <c r="AD113" s="22" t="s">
        <v>546</v>
      </c>
      <c r="AE113" s="22" t="s">
        <v>547</v>
      </c>
    </row>
    <row r="114" spans="1:31" ht="20.25" hidden="1" customHeight="1" x14ac:dyDescent="0.15">
      <c r="A114" s="46" t="s">
        <v>616</v>
      </c>
      <c r="B114" s="21">
        <v>87</v>
      </c>
      <c r="C114" s="22" t="s">
        <v>38</v>
      </c>
      <c r="D114" s="22" t="s">
        <v>494</v>
      </c>
      <c r="E114" s="22" t="s">
        <v>512</v>
      </c>
      <c r="F114" s="22" t="s">
        <v>558</v>
      </c>
      <c r="G114" s="22" t="s">
        <v>496</v>
      </c>
      <c r="H114" s="22" t="s">
        <v>560</v>
      </c>
      <c r="I114" s="22" t="s">
        <v>170</v>
      </c>
      <c r="J114" s="22" t="s">
        <v>171</v>
      </c>
      <c r="K114" s="22" t="s">
        <v>498</v>
      </c>
      <c r="L114" s="22" t="s">
        <v>499</v>
      </c>
      <c r="M114" s="22" t="s">
        <v>496</v>
      </c>
      <c r="N114" s="22" t="s">
        <v>499</v>
      </c>
      <c r="O114" s="22">
        <v>450</v>
      </c>
      <c r="P114" s="22"/>
      <c r="Q114" s="22" t="s">
        <v>496</v>
      </c>
      <c r="R114" s="22" t="s">
        <v>496</v>
      </c>
      <c r="S114" s="22" t="s">
        <v>537</v>
      </c>
      <c r="T114" s="22" t="s">
        <v>496</v>
      </c>
      <c r="U114" s="22" t="s">
        <v>537</v>
      </c>
      <c r="V114" s="22" t="s">
        <v>538</v>
      </c>
      <c r="W114" s="22" t="s">
        <v>504</v>
      </c>
      <c r="X114" s="22" t="s">
        <v>541</v>
      </c>
      <c r="Y114" s="22" t="s">
        <v>545</v>
      </c>
      <c r="Z114" s="22" t="s">
        <v>499</v>
      </c>
      <c r="AA114" s="22" t="s">
        <v>545</v>
      </c>
      <c r="AB114" s="22" t="s">
        <v>504</v>
      </c>
      <c r="AC114" s="22" t="s">
        <v>504</v>
      </c>
      <c r="AD114" s="22" t="s">
        <v>476</v>
      </c>
      <c r="AE114" s="22" t="s">
        <v>509</v>
      </c>
    </row>
    <row r="115" spans="1:31" ht="20.25" hidden="1" customHeight="1" x14ac:dyDescent="0.15">
      <c r="A115" s="46" t="s">
        <v>616</v>
      </c>
      <c r="B115" s="21">
        <v>88</v>
      </c>
      <c r="C115" s="22" t="s">
        <v>38</v>
      </c>
      <c r="D115" s="22" t="s">
        <v>494</v>
      </c>
      <c r="E115" s="22" t="s">
        <v>516</v>
      </c>
      <c r="F115" s="22" t="s">
        <v>558</v>
      </c>
      <c r="G115" s="22" t="s">
        <v>496</v>
      </c>
      <c r="H115" s="22" t="s">
        <v>561</v>
      </c>
      <c r="I115" s="22" t="s">
        <v>202</v>
      </c>
      <c r="J115" s="22" t="s">
        <v>203</v>
      </c>
      <c r="K115" s="22" t="s">
        <v>498</v>
      </c>
      <c r="L115" s="22" t="s">
        <v>500</v>
      </c>
      <c r="M115" s="22" t="s">
        <v>496</v>
      </c>
      <c r="N115" s="22" t="s">
        <v>499</v>
      </c>
      <c r="O115" s="22">
        <v>450</v>
      </c>
      <c r="P115" s="22"/>
      <c r="Q115" s="22" t="s">
        <v>496</v>
      </c>
      <c r="R115" s="22" t="s">
        <v>496</v>
      </c>
      <c r="S115" s="22" t="s">
        <v>537</v>
      </c>
      <c r="T115" s="22" t="s">
        <v>496</v>
      </c>
      <c r="U115" s="22" t="s">
        <v>537</v>
      </c>
      <c r="V115" s="22" t="s">
        <v>538</v>
      </c>
      <c r="W115" s="22" t="s">
        <v>504</v>
      </c>
      <c r="X115" s="22" t="s">
        <v>541</v>
      </c>
      <c r="Y115" s="22" t="s">
        <v>545</v>
      </c>
      <c r="Z115" s="22" t="s">
        <v>499</v>
      </c>
      <c r="AA115" s="22" t="s">
        <v>545</v>
      </c>
      <c r="AB115" s="22" t="s">
        <v>504</v>
      </c>
      <c r="AC115" s="22" t="s">
        <v>504</v>
      </c>
      <c r="AD115" s="22" t="s">
        <v>476</v>
      </c>
      <c r="AE115" s="22" t="s">
        <v>509</v>
      </c>
    </row>
    <row r="116" spans="1:31" ht="20.25" hidden="1" customHeight="1" x14ac:dyDescent="0.15">
      <c r="A116" s="46" t="s">
        <v>617</v>
      </c>
      <c r="B116" s="21">
        <v>89</v>
      </c>
      <c r="C116" s="22" t="s">
        <v>38</v>
      </c>
      <c r="D116" s="22" t="s">
        <v>494</v>
      </c>
      <c r="E116" s="22" t="s">
        <v>516</v>
      </c>
      <c r="F116" s="22" t="s">
        <v>558</v>
      </c>
      <c r="G116" s="22" t="s">
        <v>496</v>
      </c>
      <c r="H116" s="22" t="s">
        <v>562</v>
      </c>
      <c r="I116" s="22" t="s">
        <v>178</v>
      </c>
      <c r="J116" s="22" t="s">
        <v>179</v>
      </c>
      <c r="K116" s="22" t="s">
        <v>498</v>
      </c>
      <c r="L116" s="22" t="s">
        <v>499</v>
      </c>
      <c r="M116" s="22" t="s">
        <v>496</v>
      </c>
      <c r="N116" s="22" t="s">
        <v>498</v>
      </c>
      <c r="O116" s="22">
        <v>450</v>
      </c>
      <c r="P116" s="22"/>
      <c r="Q116" s="22" t="s">
        <v>496</v>
      </c>
      <c r="R116" s="22" t="s">
        <v>496</v>
      </c>
      <c r="S116" s="22" t="s">
        <v>537</v>
      </c>
      <c r="T116" s="22" t="s">
        <v>496</v>
      </c>
      <c r="U116" s="22" t="s">
        <v>537</v>
      </c>
      <c r="V116" s="22" t="s">
        <v>538</v>
      </c>
      <c r="W116" s="22" t="s">
        <v>504</v>
      </c>
      <c r="X116" s="22" t="s">
        <v>504</v>
      </c>
      <c r="Y116" s="22" t="s">
        <v>545</v>
      </c>
      <c r="Z116" s="22" t="s">
        <v>498</v>
      </c>
      <c r="AA116" s="22" t="s">
        <v>545</v>
      </c>
      <c r="AB116" s="22" t="s">
        <v>504</v>
      </c>
      <c r="AC116" s="22" t="s">
        <v>504</v>
      </c>
      <c r="AD116" s="22" t="s">
        <v>476</v>
      </c>
      <c r="AE116" s="22" t="s">
        <v>509</v>
      </c>
    </row>
    <row r="117" spans="1:31" ht="20.25" hidden="1" customHeight="1" x14ac:dyDescent="0.15">
      <c r="A117" s="46" t="s">
        <v>617</v>
      </c>
      <c r="B117" s="21">
        <v>90</v>
      </c>
      <c r="C117" s="22" t="s">
        <v>38</v>
      </c>
      <c r="D117" s="22" t="s">
        <v>494</v>
      </c>
      <c r="E117" s="22" t="s">
        <v>516</v>
      </c>
      <c r="F117" s="22" t="s">
        <v>558</v>
      </c>
      <c r="G117" s="22" t="s">
        <v>496</v>
      </c>
      <c r="H117" s="22" t="s">
        <v>563</v>
      </c>
      <c r="I117" s="22" t="s">
        <v>176</v>
      </c>
      <c r="J117" s="22" t="s">
        <v>177</v>
      </c>
      <c r="K117" s="22" t="s">
        <v>498</v>
      </c>
      <c r="L117" s="22" t="s">
        <v>499</v>
      </c>
      <c r="M117" s="22" t="s">
        <v>496</v>
      </c>
      <c r="N117" s="22" t="s">
        <v>522</v>
      </c>
      <c r="O117" s="22">
        <v>450</v>
      </c>
      <c r="P117" s="22"/>
      <c r="Q117" s="22" t="s">
        <v>496</v>
      </c>
      <c r="R117" s="22" t="s">
        <v>496</v>
      </c>
      <c r="S117" s="22" t="s">
        <v>537</v>
      </c>
      <c r="T117" s="22" t="s">
        <v>496</v>
      </c>
      <c r="U117" s="22" t="s">
        <v>537</v>
      </c>
      <c r="V117" s="22" t="s">
        <v>538</v>
      </c>
      <c r="W117" s="22" t="s">
        <v>504</v>
      </c>
      <c r="X117" s="22" t="s">
        <v>564</v>
      </c>
      <c r="Y117" s="22" t="s">
        <v>545</v>
      </c>
      <c r="Z117" s="22" t="s">
        <v>522</v>
      </c>
      <c r="AA117" s="22" t="s">
        <v>545</v>
      </c>
      <c r="AB117" s="22" t="s">
        <v>504</v>
      </c>
      <c r="AC117" s="22" t="s">
        <v>504</v>
      </c>
      <c r="AD117" s="22" t="s">
        <v>476</v>
      </c>
      <c r="AE117" s="22" t="s">
        <v>509</v>
      </c>
    </row>
    <row r="118" spans="1:31" ht="20.25" hidden="1" customHeight="1" x14ac:dyDescent="0.15">
      <c r="A118" s="46" t="s">
        <v>617</v>
      </c>
      <c r="B118" s="21">
        <v>91</v>
      </c>
      <c r="C118" s="22" t="s">
        <v>38</v>
      </c>
      <c r="D118" s="22" t="s">
        <v>512</v>
      </c>
      <c r="E118" s="22" t="s">
        <v>494</v>
      </c>
      <c r="F118" s="22" t="s">
        <v>558</v>
      </c>
      <c r="G118" s="22" t="s">
        <v>496</v>
      </c>
      <c r="H118" s="22" t="s">
        <v>565</v>
      </c>
      <c r="I118" s="22" t="s">
        <v>134</v>
      </c>
      <c r="J118" s="22" t="s">
        <v>135</v>
      </c>
      <c r="K118" s="22" t="s">
        <v>498</v>
      </c>
      <c r="L118" s="22" t="s">
        <v>498</v>
      </c>
      <c r="M118" s="22" t="s">
        <v>496</v>
      </c>
      <c r="N118" s="22" t="s">
        <v>522</v>
      </c>
      <c r="O118" s="22" t="s">
        <v>500</v>
      </c>
      <c r="P118" s="22"/>
      <c r="Q118" s="22" t="s">
        <v>496</v>
      </c>
      <c r="R118" s="22" t="s">
        <v>496</v>
      </c>
      <c r="S118" s="22" t="s">
        <v>537</v>
      </c>
      <c r="T118" s="22" t="s">
        <v>496</v>
      </c>
      <c r="U118" s="22" t="s">
        <v>537</v>
      </c>
      <c r="V118" s="22" t="s">
        <v>538</v>
      </c>
      <c r="W118" s="22" t="s">
        <v>504</v>
      </c>
      <c r="X118" s="22" t="s">
        <v>564</v>
      </c>
      <c r="Y118" s="22" t="s">
        <v>545</v>
      </c>
      <c r="Z118" s="22" t="s">
        <v>522</v>
      </c>
      <c r="AA118" s="22" t="s">
        <v>545</v>
      </c>
      <c r="AB118" s="22" t="s">
        <v>504</v>
      </c>
      <c r="AC118" s="22" t="s">
        <v>504</v>
      </c>
      <c r="AD118" s="22" t="s">
        <v>476</v>
      </c>
      <c r="AE118" s="22" t="s">
        <v>509</v>
      </c>
    </row>
    <row r="119" spans="1:31" ht="20.25" hidden="1" customHeight="1" x14ac:dyDescent="0.15">
      <c r="A119" s="46" t="s">
        <v>616</v>
      </c>
      <c r="B119" s="21">
        <v>92</v>
      </c>
      <c r="C119" s="22" t="s">
        <v>38</v>
      </c>
      <c r="D119" s="22" t="s">
        <v>512</v>
      </c>
      <c r="E119" s="22" t="s">
        <v>512</v>
      </c>
      <c r="F119" s="22" t="s">
        <v>558</v>
      </c>
      <c r="G119" s="22" t="s">
        <v>496</v>
      </c>
      <c r="H119" s="22" t="s">
        <v>566</v>
      </c>
      <c r="I119" s="22" t="s">
        <v>138</v>
      </c>
      <c r="J119" s="22" t="s">
        <v>139</v>
      </c>
      <c r="K119" s="22" t="s">
        <v>498</v>
      </c>
      <c r="L119" s="22" t="s">
        <v>498</v>
      </c>
      <c r="M119" s="22" t="s">
        <v>496</v>
      </c>
      <c r="N119" s="22" t="s">
        <v>498</v>
      </c>
      <c r="O119" s="22" t="s">
        <v>500</v>
      </c>
      <c r="P119" s="22"/>
      <c r="Q119" s="22" t="s">
        <v>496</v>
      </c>
      <c r="R119" s="22" t="s">
        <v>496</v>
      </c>
      <c r="S119" s="22" t="s">
        <v>537</v>
      </c>
      <c r="T119" s="22" t="s">
        <v>496</v>
      </c>
      <c r="U119" s="22" t="s">
        <v>537</v>
      </c>
      <c r="V119" s="22" t="s">
        <v>538</v>
      </c>
      <c r="W119" s="22" t="s">
        <v>504</v>
      </c>
      <c r="X119" s="22" t="s">
        <v>504</v>
      </c>
      <c r="Y119" s="22" t="s">
        <v>545</v>
      </c>
      <c r="Z119" s="22" t="s">
        <v>498</v>
      </c>
      <c r="AA119" s="22" t="s">
        <v>545</v>
      </c>
      <c r="AB119" s="22" t="s">
        <v>504</v>
      </c>
      <c r="AC119" s="22" t="s">
        <v>504</v>
      </c>
      <c r="AD119" s="22" t="s">
        <v>476</v>
      </c>
      <c r="AE119" s="22" t="s">
        <v>509</v>
      </c>
    </row>
    <row r="120" spans="1:31" ht="20.25" hidden="1" customHeight="1" x14ac:dyDescent="0.15">
      <c r="A120" s="46" t="s">
        <v>616</v>
      </c>
      <c r="B120" s="21">
        <v>93</v>
      </c>
      <c r="C120" s="22" t="s">
        <v>38</v>
      </c>
      <c r="D120" s="22" t="s">
        <v>512</v>
      </c>
      <c r="E120" s="22" t="s">
        <v>516</v>
      </c>
      <c r="F120" s="22" t="s">
        <v>558</v>
      </c>
      <c r="G120" s="22" t="s">
        <v>496</v>
      </c>
      <c r="H120" s="22" t="s">
        <v>568</v>
      </c>
      <c r="I120" s="22" t="s">
        <v>116</v>
      </c>
      <c r="J120" s="22" t="s">
        <v>117</v>
      </c>
      <c r="K120" s="22" t="s">
        <v>498</v>
      </c>
      <c r="L120" s="22" t="s">
        <v>498</v>
      </c>
      <c r="M120" s="22" t="s">
        <v>496</v>
      </c>
      <c r="N120" s="22" t="s">
        <v>498</v>
      </c>
      <c r="O120" s="22" t="s">
        <v>499</v>
      </c>
      <c r="P120" s="22"/>
      <c r="Q120" s="22" t="s">
        <v>496</v>
      </c>
      <c r="R120" s="22" t="s">
        <v>496</v>
      </c>
      <c r="S120" s="22" t="s">
        <v>537</v>
      </c>
      <c r="T120" s="22" t="s">
        <v>496</v>
      </c>
      <c r="U120" s="22" t="s">
        <v>537</v>
      </c>
      <c r="V120" s="22" t="s">
        <v>538</v>
      </c>
      <c r="W120" s="22" t="s">
        <v>504</v>
      </c>
      <c r="X120" s="22" t="s">
        <v>504</v>
      </c>
      <c r="Y120" s="22" t="s">
        <v>545</v>
      </c>
      <c r="Z120" s="22" t="s">
        <v>498</v>
      </c>
      <c r="AA120" s="22" t="s">
        <v>545</v>
      </c>
      <c r="AB120" s="22" t="s">
        <v>504</v>
      </c>
      <c r="AC120" s="22" t="s">
        <v>504</v>
      </c>
      <c r="AD120" s="22" t="s">
        <v>476</v>
      </c>
      <c r="AE120" s="22" t="s">
        <v>509</v>
      </c>
    </row>
    <row r="121" spans="1:31" ht="20.25" hidden="1" customHeight="1" x14ac:dyDescent="0.15">
      <c r="A121" s="46" t="s">
        <v>617</v>
      </c>
      <c r="B121" s="21">
        <v>94</v>
      </c>
      <c r="C121" s="22" t="s">
        <v>38</v>
      </c>
      <c r="D121" s="22" t="s">
        <v>516</v>
      </c>
      <c r="E121" s="22" t="s">
        <v>494</v>
      </c>
      <c r="F121" s="22" t="s">
        <v>558</v>
      </c>
      <c r="G121" s="22" t="s">
        <v>496</v>
      </c>
      <c r="H121" s="22" t="s">
        <v>569</v>
      </c>
      <c r="I121" s="22" t="s">
        <v>456</v>
      </c>
      <c r="J121" s="22" t="s">
        <v>457</v>
      </c>
      <c r="K121" s="22" t="s">
        <v>498</v>
      </c>
      <c r="L121" s="22" t="s">
        <v>498</v>
      </c>
      <c r="M121" s="22" t="s">
        <v>496</v>
      </c>
      <c r="N121" s="22" t="s">
        <v>522</v>
      </c>
      <c r="O121" s="22" t="s">
        <v>499</v>
      </c>
      <c r="P121" s="22"/>
      <c r="Q121" s="22" t="s">
        <v>496</v>
      </c>
      <c r="R121" s="22" t="s">
        <v>496</v>
      </c>
      <c r="S121" s="22" t="s">
        <v>537</v>
      </c>
      <c r="T121" s="22" t="s">
        <v>496</v>
      </c>
      <c r="U121" s="22" t="s">
        <v>537</v>
      </c>
      <c r="V121" s="22" t="s">
        <v>538</v>
      </c>
      <c r="W121" s="22" t="s">
        <v>504</v>
      </c>
      <c r="X121" s="22" t="s">
        <v>564</v>
      </c>
      <c r="Y121" s="22" t="s">
        <v>545</v>
      </c>
      <c r="Z121" s="22" t="s">
        <v>522</v>
      </c>
      <c r="AA121" s="22" t="s">
        <v>545</v>
      </c>
      <c r="AB121" s="22" t="s">
        <v>504</v>
      </c>
      <c r="AC121" s="22" t="s">
        <v>504</v>
      </c>
      <c r="AD121" s="22" t="s">
        <v>476</v>
      </c>
      <c r="AE121" s="22" t="s">
        <v>509</v>
      </c>
    </row>
    <row r="122" spans="1:31" ht="20.25" hidden="1" customHeight="1" x14ac:dyDescent="0.15">
      <c r="A122" s="46" t="s">
        <v>618</v>
      </c>
      <c r="B122" s="21">
        <v>95</v>
      </c>
      <c r="C122" s="22" t="s">
        <v>38</v>
      </c>
      <c r="D122" s="22" t="s">
        <v>516</v>
      </c>
      <c r="E122" s="22" t="s">
        <v>494</v>
      </c>
      <c r="F122" s="22" t="s">
        <v>558</v>
      </c>
      <c r="G122" s="22" t="s">
        <v>496</v>
      </c>
      <c r="H122" s="22" t="s">
        <v>570</v>
      </c>
      <c r="I122" s="22" t="s">
        <v>354</v>
      </c>
      <c r="J122" s="22" t="s">
        <v>355</v>
      </c>
      <c r="K122" s="22" t="s">
        <v>498</v>
      </c>
      <c r="L122" s="22" t="s">
        <v>522</v>
      </c>
      <c r="M122" s="22" t="s">
        <v>496</v>
      </c>
      <c r="N122" s="22" t="s">
        <v>499</v>
      </c>
      <c r="O122" s="22" t="s">
        <v>498</v>
      </c>
      <c r="P122" s="22"/>
      <c r="Q122" s="22" t="s">
        <v>496</v>
      </c>
      <c r="R122" s="22" t="s">
        <v>496</v>
      </c>
      <c r="S122" s="22" t="s">
        <v>537</v>
      </c>
      <c r="T122" s="22" t="s">
        <v>496</v>
      </c>
      <c r="U122" s="22" t="s">
        <v>496</v>
      </c>
      <c r="V122" s="22" t="s">
        <v>544</v>
      </c>
      <c r="W122" s="22" t="s">
        <v>545</v>
      </c>
      <c r="X122" s="22" t="s">
        <v>541</v>
      </c>
      <c r="Y122" s="22" t="s">
        <v>545</v>
      </c>
      <c r="Z122" s="22" t="s">
        <v>499</v>
      </c>
      <c r="AA122" s="22" t="s">
        <v>545</v>
      </c>
      <c r="AB122" s="22" t="s">
        <v>541</v>
      </c>
      <c r="AC122" s="22" t="s">
        <v>545</v>
      </c>
      <c r="AD122" s="22" t="s">
        <v>546</v>
      </c>
      <c r="AE122" s="22" t="s">
        <v>547</v>
      </c>
    </row>
    <row r="123" spans="1:31" ht="20.25" hidden="1" customHeight="1" x14ac:dyDescent="0.15">
      <c r="A123" s="46" t="s">
        <v>624</v>
      </c>
      <c r="B123" s="21">
        <v>96</v>
      </c>
      <c r="C123" s="22" t="s">
        <v>38</v>
      </c>
      <c r="D123" s="22" t="s">
        <v>516</v>
      </c>
      <c r="E123" s="22" t="s">
        <v>494</v>
      </c>
      <c r="F123" s="22" t="s">
        <v>558</v>
      </c>
      <c r="G123" s="22" t="s">
        <v>496</v>
      </c>
      <c r="H123" s="22" t="s">
        <v>571</v>
      </c>
      <c r="I123" s="22" t="s">
        <v>348</v>
      </c>
      <c r="J123" s="22" t="s">
        <v>349</v>
      </c>
      <c r="K123" s="22" t="s">
        <v>498</v>
      </c>
      <c r="L123" s="22" t="s">
        <v>522</v>
      </c>
      <c r="M123" s="22" t="s">
        <v>496</v>
      </c>
      <c r="N123" s="22" t="s">
        <v>498</v>
      </c>
      <c r="O123" s="22" t="s">
        <v>522</v>
      </c>
      <c r="P123" s="22"/>
      <c r="Q123" s="22" t="s">
        <v>496</v>
      </c>
      <c r="R123" s="22" t="s">
        <v>496</v>
      </c>
      <c r="S123" s="22" t="s">
        <v>537</v>
      </c>
      <c r="T123" s="22" t="s">
        <v>496</v>
      </c>
      <c r="U123" s="22" t="s">
        <v>496</v>
      </c>
      <c r="V123" s="22" t="s">
        <v>496</v>
      </c>
      <c r="W123" s="22" t="s">
        <v>496</v>
      </c>
      <c r="X123" s="22" t="s">
        <v>496</v>
      </c>
      <c r="Y123" s="22" t="s">
        <v>496</v>
      </c>
      <c r="Z123" s="22" t="s">
        <v>498</v>
      </c>
      <c r="AA123" s="22" t="s">
        <v>545</v>
      </c>
      <c r="AB123" s="22" t="s">
        <v>504</v>
      </c>
      <c r="AC123" s="22" t="s">
        <v>504</v>
      </c>
      <c r="AD123" s="22" t="s">
        <v>496</v>
      </c>
      <c r="AE123" s="22" t="s">
        <v>496</v>
      </c>
    </row>
    <row r="124" spans="1:31" ht="20.25" hidden="1" customHeight="1" x14ac:dyDescent="0.15">
      <c r="A124" s="46" t="s">
        <v>624</v>
      </c>
      <c r="B124" s="21">
        <v>97</v>
      </c>
      <c r="C124" s="22" t="s">
        <v>38</v>
      </c>
      <c r="D124" s="22" t="s">
        <v>516</v>
      </c>
      <c r="E124" s="22" t="s">
        <v>512</v>
      </c>
      <c r="F124" s="22" t="s">
        <v>558</v>
      </c>
      <c r="G124" s="22" t="s">
        <v>496</v>
      </c>
      <c r="H124" s="22" t="s">
        <v>572</v>
      </c>
      <c r="I124" s="22" t="s">
        <v>434</v>
      </c>
      <c r="J124" s="22" t="s">
        <v>435</v>
      </c>
      <c r="K124" s="22" t="s">
        <v>498</v>
      </c>
      <c r="L124" s="22" t="s">
        <v>522</v>
      </c>
      <c r="M124" s="22" t="s">
        <v>496</v>
      </c>
      <c r="N124" s="22" t="s">
        <v>522</v>
      </c>
      <c r="O124" s="22" t="s">
        <v>541</v>
      </c>
      <c r="P124" s="22"/>
      <c r="Q124" s="22" t="s">
        <v>496</v>
      </c>
      <c r="R124" s="22" t="s">
        <v>496</v>
      </c>
      <c r="S124" s="22" t="s">
        <v>537</v>
      </c>
      <c r="T124" s="22" t="s">
        <v>496</v>
      </c>
      <c r="U124" s="22" t="s">
        <v>496</v>
      </c>
      <c r="V124" s="22" t="s">
        <v>496</v>
      </c>
      <c r="W124" s="22" t="s">
        <v>496</v>
      </c>
      <c r="X124" s="22" t="s">
        <v>496</v>
      </c>
      <c r="Y124" s="22" t="s">
        <v>496</v>
      </c>
      <c r="Z124" s="22" t="s">
        <v>522</v>
      </c>
      <c r="AA124" s="22" t="s">
        <v>545</v>
      </c>
      <c r="AB124" s="22" t="s">
        <v>504</v>
      </c>
      <c r="AC124" s="22" t="s">
        <v>504</v>
      </c>
      <c r="AD124" s="22" t="s">
        <v>496</v>
      </c>
      <c r="AE124" s="22" t="s">
        <v>496</v>
      </c>
    </row>
    <row r="125" spans="1:31" ht="20.25" hidden="1" customHeight="1" x14ac:dyDescent="0.15">
      <c r="A125" s="46" t="s">
        <v>624</v>
      </c>
      <c r="B125" s="21">
        <v>98</v>
      </c>
      <c r="C125" s="22" t="s">
        <v>38</v>
      </c>
      <c r="D125" s="22" t="s">
        <v>516</v>
      </c>
      <c r="E125" s="22" t="s">
        <v>516</v>
      </c>
      <c r="F125" s="22" t="s">
        <v>558</v>
      </c>
      <c r="G125" s="22" t="s">
        <v>496</v>
      </c>
      <c r="H125" s="22" t="s">
        <v>573</v>
      </c>
      <c r="I125" s="22" t="s">
        <v>230</v>
      </c>
      <c r="J125" s="22" t="s">
        <v>231</v>
      </c>
      <c r="K125" s="22" t="s">
        <v>498</v>
      </c>
      <c r="L125" s="22" t="s">
        <v>522</v>
      </c>
      <c r="M125" s="22" t="s">
        <v>496</v>
      </c>
      <c r="N125" s="22" t="s">
        <v>531</v>
      </c>
      <c r="O125" s="22" t="s">
        <v>541</v>
      </c>
      <c r="P125" s="22"/>
      <c r="Q125" s="22" t="s">
        <v>496</v>
      </c>
      <c r="R125" s="22" t="s">
        <v>496</v>
      </c>
      <c r="S125" s="22" t="s">
        <v>537</v>
      </c>
      <c r="T125" s="22" t="s">
        <v>496</v>
      </c>
      <c r="U125" s="22" t="s">
        <v>496</v>
      </c>
      <c r="V125" s="22" t="s">
        <v>496</v>
      </c>
      <c r="W125" s="22" t="s">
        <v>496</v>
      </c>
      <c r="X125" s="22" t="s">
        <v>496</v>
      </c>
      <c r="Y125" s="22" t="s">
        <v>496</v>
      </c>
      <c r="Z125" s="22" t="s">
        <v>531</v>
      </c>
      <c r="AA125" s="22" t="s">
        <v>545</v>
      </c>
      <c r="AB125" s="22" t="s">
        <v>504</v>
      </c>
      <c r="AC125" s="22" t="s">
        <v>504</v>
      </c>
      <c r="AD125" s="22" t="s">
        <v>496</v>
      </c>
      <c r="AE125" s="22" t="s">
        <v>496</v>
      </c>
    </row>
    <row r="126" spans="1:31" ht="20.25" hidden="1" customHeight="1" x14ac:dyDescent="0.15">
      <c r="A126" s="27" t="s">
        <v>603</v>
      </c>
      <c r="B126" s="21">
        <v>99</v>
      </c>
      <c r="C126" s="22" t="s">
        <v>539</v>
      </c>
      <c r="D126" s="22" t="s">
        <v>494</v>
      </c>
      <c r="E126" s="22" t="s">
        <v>494</v>
      </c>
      <c r="F126" s="22" t="s">
        <v>542</v>
      </c>
      <c r="G126" s="22" t="s">
        <v>496</v>
      </c>
      <c r="H126" s="22" t="s">
        <v>543</v>
      </c>
      <c r="I126" s="22" t="s">
        <v>104</v>
      </c>
      <c r="J126" s="22" t="s">
        <v>105</v>
      </c>
      <c r="K126" s="22" t="s">
        <v>498</v>
      </c>
      <c r="L126" s="22" t="s">
        <v>536</v>
      </c>
      <c r="M126" s="22" t="s">
        <v>496</v>
      </c>
      <c r="N126" s="22" t="s">
        <v>541</v>
      </c>
      <c r="O126" s="22">
        <v>450</v>
      </c>
      <c r="P126" s="22"/>
      <c r="Q126" s="22" t="s">
        <v>496</v>
      </c>
      <c r="R126" s="22" t="s">
        <v>496</v>
      </c>
      <c r="S126" s="22" t="s">
        <v>537</v>
      </c>
      <c r="T126" s="22" t="s">
        <v>496</v>
      </c>
      <c r="U126" s="22" t="s">
        <v>496</v>
      </c>
      <c r="V126" s="22" t="s">
        <v>544</v>
      </c>
      <c r="W126" s="22" t="s">
        <v>545</v>
      </c>
      <c r="X126" s="22" t="s">
        <v>541</v>
      </c>
      <c r="Y126" s="22" t="s">
        <v>545</v>
      </c>
      <c r="Z126" s="22" t="s">
        <v>500</v>
      </c>
      <c r="AA126" s="22" t="s">
        <v>545</v>
      </c>
      <c r="AB126" s="22" t="s">
        <v>541</v>
      </c>
      <c r="AC126" s="22" t="s">
        <v>545</v>
      </c>
      <c r="AD126" s="22" t="s">
        <v>546</v>
      </c>
      <c r="AE126" s="22" t="s">
        <v>547</v>
      </c>
    </row>
    <row r="127" spans="1:31" ht="20.25" hidden="1" customHeight="1" x14ac:dyDescent="0.15">
      <c r="A127" s="27" t="s">
        <v>605</v>
      </c>
      <c r="B127" s="21">
        <v>99</v>
      </c>
      <c r="C127" s="22" t="s">
        <v>539</v>
      </c>
      <c r="D127" s="22" t="s">
        <v>494</v>
      </c>
      <c r="E127" s="22" t="s">
        <v>494</v>
      </c>
      <c r="F127" s="22" t="s">
        <v>542</v>
      </c>
      <c r="G127" s="22" t="s">
        <v>496</v>
      </c>
      <c r="H127" s="22" t="s">
        <v>543</v>
      </c>
      <c r="I127" s="22" t="s">
        <v>104</v>
      </c>
      <c r="J127" s="22" t="s">
        <v>105</v>
      </c>
      <c r="K127" s="22" t="s">
        <v>498</v>
      </c>
      <c r="L127" s="22" t="s">
        <v>536</v>
      </c>
      <c r="M127" s="22" t="s">
        <v>496</v>
      </c>
      <c r="N127" s="22" t="s">
        <v>541</v>
      </c>
      <c r="O127" s="22">
        <v>450</v>
      </c>
      <c r="P127" s="22"/>
      <c r="Q127" s="22" t="s">
        <v>496</v>
      </c>
      <c r="R127" s="22" t="s">
        <v>496</v>
      </c>
      <c r="S127" s="22" t="s">
        <v>537</v>
      </c>
      <c r="T127" s="22" t="s">
        <v>496</v>
      </c>
      <c r="U127" s="22" t="s">
        <v>537</v>
      </c>
      <c r="V127" s="22" t="s">
        <v>538</v>
      </c>
      <c r="W127" s="22" t="s">
        <v>504</v>
      </c>
      <c r="X127" s="22" t="s">
        <v>541</v>
      </c>
      <c r="Y127" s="22" t="s">
        <v>545</v>
      </c>
      <c r="Z127" s="22" t="s">
        <v>500</v>
      </c>
      <c r="AA127" s="22" t="s">
        <v>545</v>
      </c>
      <c r="AB127" s="22" t="s">
        <v>541</v>
      </c>
      <c r="AC127" s="22" t="s">
        <v>545</v>
      </c>
      <c r="AD127" s="22" t="s">
        <v>476</v>
      </c>
      <c r="AE127" s="22" t="s">
        <v>509</v>
      </c>
    </row>
    <row r="128" spans="1:31" ht="20.25" hidden="1" customHeight="1" x14ac:dyDescent="0.15">
      <c r="A128" s="27" t="s">
        <v>605</v>
      </c>
      <c r="B128" s="21">
        <v>100</v>
      </c>
      <c r="C128" s="22" t="s">
        <v>539</v>
      </c>
      <c r="D128" s="22" t="s">
        <v>494</v>
      </c>
      <c r="E128" s="22" t="s">
        <v>494</v>
      </c>
      <c r="F128" s="22" t="s">
        <v>550</v>
      </c>
      <c r="G128" s="22" t="s">
        <v>496</v>
      </c>
      <c r="H128" s="22" t="s">
        <v>551</v>
      </c>
      <c r="I128" s="22" t="s">
        <v>238</v>
      </c>
      <c r="J128" s="22" t="s">
        <v>239</v>
      </c>
      <c r="K128" s="22" t="s">
        <v>498</v>
      </c>
      <c r="L128" s="22" t="s">
        <v>536</v>
      </c>
      <c r="M128" s="22" t="s">
        <v>496</v>
      </c>
      <c r="N128" s="22" t="s">
        <v>536</v>
      </c>
      <c r="O128" s="22" t="s">
        <v>500</v>
      </c>
      <c r="P128" s="22"/>
      <c r="Q128" s="22" t="s">
        <v>496</v>
      </c>
      <c r="R128" s="22" t="s">
        <v>496</v>
      </c>
      <c r="S128" s="22" t="s">
        <v>537</v>
      </c>
      <c r="T128" s="22" t="s">
        <v>496</v>
      </c>
      <c r="U128" s="22" t="s">
        <v>537</v>
      </c>
      <c r="V128" s="22" t="s">
        <v>538</v>
      </c>
      <c r="W128" s="22" t="s">
        <v>504</v>
      </c>
      <c r="X128" s="22" t="s">
        <v>541</v>
      </c>
      <c r="Y128" s="22" t="s">
        <v>545</v>
      </c>
      <c r="Z128" s="22" t="s">
        <v>552</v>
      </c>
      <c r="AA128" s="22" t="s">
        <v>545</v>
      </c>
      <c r="AB128" s="22" t="s">
        <v>553</v>
      </c>
      <c r="AC128" s="22" t="s">
        <v>545</v>
      </c>
      <c r="AD128" s="22" t="s">
        <v>476</v>
      </c>
      <c r="AE128" s="22" t="s">
        <v>509</v>
      </c>
    </row>
    <row r="129" spans="1:31" ht="20.25" hidden="1" customHeight="1" x14ac:dyDescent="0.15">
      <c r="A129" s="24" t="s">
        <v>607</v>
      </c>
      <c r="B129" s="21">
        <v>100</v>
      </c>
      <c r="C129" s="22" t="s">
        <v>539</v>
      </c>
      <c r="D129" s="22" t="s">
        <v>494</v>
      </c>
      <c r="E129" s="22" t="s">
        <v>494</v>
      </c>
      <c r="F129" s="22" t="s">
        <v>550</v>
      </c>
      <c r="G129" s="22" t="s">
        <v>496</v>
      </c>
      <c r="H129" s="22" t="s">
        <v>551</v>
      </c>
      <c r="I129" s="22" t="s">
        <v>238</v>
      </c>
      <c r="J129" s="22" t="s">
        <v>239</v>
      </c>
      <c r="K129" s="22" t="s">
        <v>498</v>
      </c>
      <c r="L129" s="22" t="s">
        <v>536</v>
      </c>
      <c r="M129" s="22" t="s">
        <v>496</v>
      </c>
      <c r="N129" s="22" t="s">
        <v>536</v>
      </c>
      <c r="O129" s="22" t="s">
        <v>500</v>
      </c>
      <c r="P129" s="22"/>
      <c r="Q129" s="22" t="s">
        <v>496</v>
      </c>
      <c r="R129" s="22" t="s">
        <v>496</v>
      </c>
      <c r="S129" s="22" t="s">
        <v>537</v>
      </c>
      <c r="T129" s="22" t="s">
        <v>496</v>
      </c>
      <c r="U129" s="22" t="s">
        <v>496</v>
      </c>
      <c r="V129" s="22" t="s">
        <v>544</v>
      </c>
      <c r="W129" s="22" t="s">
        <v>506</v>
      </c>
      <c r="X129" s="22" t="s">
        <v>553</v>
      </c>
      <c r="Y129" s="22" t="s">
        <v>545</v>
      </c>
      <c r="Z129" s="22" t="s">
        <v>552</v>
      </c>
      <c r="AA129" s="22" t="s">
        <v>545</v>
      </c>
      <c r="AB129" s="22" t="s">
        <v>553</v>
      </c>
      <c r="AC129" s="22" t="s">
        <v>545</v>
      </c>
      <c r="AD129" s="22" t="s">
        <v>546</v>
      </c>
      <c r="AE129" s="22" t="s">
        <v>554</v>
      </c>
    </row>
    <row r="130" spans="1:31" ht="20.25" hidden="1" customHeight="1" x14ac:dyDescent="0.15">
      <c r="A130" s="46" t="s">
        <v>614</v>
      </c>
      <c r="B130" s="21">
        <v>101</v>
      </c>
      <c r="C130" s="22" t="s">
        <v>539</v>
      </c>
      <c r="D130" s="22" t="s">
        <v>494</v>
      </c>
      <c r="E130" s="22" t="s">
        <v>494</v>
      </c>
      <c r="F130" s="22" t="s">
        <v>558</v>
      </c>
      <c r="G130" s="22" t="s">
        <v>496</v>
      </c>
      <c r="H130" s="22" t="s">
        <v>574</v>
      </c>
      <c r="I130" s="22" t="s">
        <v>270</v>
      </c>
      <c r="J130" s="22" t="s">
        <v>271</v>
      </c>
      <c r="K130" s="22" t="s">
        <v>498</v>
      </c>
      <c r="L130" s="22" t="s">
        <v>536</v>
      </c>
      <c r="M130" s="22" t="s">
        <v>496</v>
      </c>
      <c r="N130" s="22" t="s">
        <v>500</v>
      </c>
      <c r="O130" s="22" t="s">
        <v>499</v>
      </c>
      <c r="P130" s="22"/>
      <c r="Q130" s="22" t="s">
        <v>496</v>
      </c>
      <c r="R130" s="22" t="s">
        <v>496</v>
      </c>
      <c r="S130" s="22" t="s">
        <v>537</v>
      </c>
      <c r="T130" s="22" t="s">
        <v>496</v>
      </c>
      <c r="U130" s="22" t="s">
        <v>496</v>
      </c>
      <c r="V130" s="22" t="s">
        <v>544</v>
      </c>
      <c r="W130" s="22" t="s">
        <v>545</v>
      </c>
      <c r="X130" s="22" t="s">
        <v>541</v>
      </c>
      <c r="Y130" s="22" t="s">
        <v>545</v>
      </c>
      <c r="Z130" s="22" t="s">
        <v>500</v>
      </c>
      <c r="AA130" s="22" t="s">
        <v>545</v>
      </c>
      <c r="AB130" s="22" t="s">
        <v>541</v>
      </c>
      <c r="AC130" s="22" t="s">
        <v>545</v>
      </c>
      <c r="AD130" s="22" t="s">
        <v>546</v>
      </c>
      <c r="AE130" s="22" t="s">
        <v>547</v>
      </c>
    </row>
    <row r="131" spans="1:31" ht="20.25" hidden="1" customHeight="1" x14ac:dyDescent="0.15">
      <c r="A131" s="46" t="s">
        <v>614</v>
      </c>
      <c r="B131" s="21">
        <v>101</v>
      </c>
      <c r="C131" s="22" t="s">
        <v>539</v>
      </c>
      <c r="D131" s="22" t="s">
        <v>494</v>
      </c>
      <c r="E131" s="22" t="s">
        <v>494</v>
      </c>
      <c r="F131" s="22" t="s">
        <v>558</v>
      </c>
      <c r="G131" s="22" t="s">
        <v>496</v>
      </c>
      <c r="H131" s="22" t="s">
        <v>574</v>
      </c>
      <c r="I131" s="22" t="s">
        <v>270</v>
      </c>
      <c r="J131" s="22" t="s">
        <v>271</v>
      </c>
      <c r="K131" s="22" t="s">
        <v>498</v>
      </c>
      <c r="L131" s="22" t="s">
        <v>536</v>
      </c>
      <c r="M131" s="22" t="s">
        <v>496</v>
      </c>
      <c r="N131" s="22" t="s">
        <v>500</v>
      </c>
      <c r="O131" s="22" t="s">
        <v>499</v>
      </c>
      <c r="P131" s="22"/>
      <c r="Q131" s="22" t="s">
        <v>496</v>
      </c>
      <c r="R131" s="22" t="s">
        <v>496</v>
      </c>
      <c r="S131" s="22" t="s">
        <v>537</v>
      </c>
      <c r="T131" s="22" t="s">
        <v>496</v>
      </c>
      <c r="U131" s="22" t="s">
        <v>537</v>
      </c>
      <c r="V131" s="22" t="s">
        <v>538</v>
      </c>
      <c r="W131" s="22" t="s">
        <v>504</v>
      </c>
      <c r="X131" s="22" t="s">
        <v>541</v>
      </c>
      <c r="Y131" s="22" t="s">
        <v>545</v>
      </c>
      <c r="Z131" s="22" t="s">
        <v>500</v>
      </c>
      <c r="AA131" s="22" t="s">
        <v>545</v>
      </c>
      <c r="AB131" s="22" t="s">
        <v>541</v>
      </c>
      <c r="AC131" s="22" t="s">
        <v>545</v>
      </c>
      <c r="AD131" s="22" t="s">
        <v>476</v>
      </c>
      <c r="AE131" s="22" t="s">
        <v>509</v>
      </c>
    </row>
    <row r="132" spans="1:31" ht="20.25" hidden="1" customHeight="1" x14ac:dyDescent="0.15">
      <c r="A132" s="46" t="s">
        <v>616</v>
      </c>
      <c r="B132" s="21">
        <v>102</v>
      </c>
      <c r="C132" s="22" t="s">
        <v>539</v>
      </c>
      <c r="D132" s="22" t="s">
        <v>494</v>
      </c>
      <c r="E132" s="22" t="s">
        <v>512</v>
      </c>
      <c r="F132" s="22" t="s">
        <v>558</v>
      </c>
      <c r="G132" s="22" t="s">
        <v>496</v>
      </c>
      <c r="H132" s="22" t="s">
        <v>575</v>
      </c>
      <c r="I132" s="22" t="s">
        <v>254</v>
      </c>
      <c r="J132" s="22" t="s">
        <v>255</v>
      </c>
      <c r="K132" s="22" t="s">
        <v>498</v>
      </c>
      <c r="L132" s="22" t="s">
        <v>536</v>
      </c>
      <c r="M132" s="22" t="s">
        <v>496</v>
      </c>
      <c r="N132" s="22" t="s">
        <v>499</v>
      </c>
      <c r="O132" s="22" t="s">
        <v>498</v>
      </c>
      <c r="P132" s="22"/>
      <c r="Q132" s="22" t="s">
        <v>496</v>
      </c>
      <c r="R132" s="22" t="s">
        <v>496</v>
      </c>
      <c r="S132" s="22" t="s">
        <v>537</v>
      </c>
      <c r="T132" s="22" t="s">
        <v>496</v>
      </c>
      <c r="U132" s="22" t="s">
        <v>537</v>
      </c>
      <c r="V132" s="22" t="s">
        <v>538</v>
      </c>
      <c r="W132" s="22" t="s">
        <v>504</v>
      </c>
      <c r="X132" s="22" t="s">
        <v>541</v>
      </c>
      <c r="Y132" s="22" t="s">
        <v>545</v>
      </c>
      <c r="Z132" s="22" t="s">
        <v>499</v>
      </c>
      <c r="AA132" s="22" t="s">
        <v>545</v>
      </c>
      <c r="AB132" s="22" t="s">
        <v>504</v>
      </c>
      <c r="AC132" s="22" t="s">
        <v>504</v>
      </c>
      <c r="AD132" s="22" t="s">
        <v>476</v>
      </c>
      <c r="AE132" s="22" t="s">
        <v>509</v>
      </c>
    </row>
    <row r="133" spans="1:31" ht="20.25" hidden="1" customHeight="1" x14ac:dyDescent="0.15">
      <c r="A133" s="46" t="s">
        <v>617</v>
      </c>
      <c r="B133" s="21">
        <v>103</v>
      </c>
      <c r="C133" s="22" t="s">
        <v>539</v>
      </c>
      <c r="D133" s="22" t="s">
        <v>494</v>
      </c>
      <c r="E133" s="22" t="s">
        <v>516</v>
      </c>
      <c r="F133" s="22" t="s">
        <v>558</v>
      </c>
      <c r="G133" s="22" t="s">
        <v>496</v>
      </c>
      <c r="H133" s="22" t="s">
        <v>576</v>
      </c>
      <c r="I133" s="22" t="s">
        <v>234</v>
      </c>
      <c r="J133" s="22" t="s">
        <v>235</v>
      </c>
      <c r="K133" s="22" t="s">
        <v>498</v>
      </c>
      <c r="L133" s="22" t="s">
        <v>557</v>
      </c>
      <c r="M133" s="22" t="s">
        <v>496</v>
      </c>
      <c r="N133" s="22" t="s">
        <v>499</v>
      </c>
      <c r="O133" s="22" t="s">
        <v>522</v>
      </c>
      <c r="P133" s="22"/>
      <c r="Q133" s="22" t="s">
        <v>496</v>
      </c>
      <c r="R133" s="22" t="s">
        <v>496</v>
      </c>
      <c r="S133" s="22" t="s">
        <v>537</v>
      </c>
      <c r="T133" s="22" t="s">
        <v>496</v>
      </c>
      <c r="U133" s="22" t="s">
        <v>537</v>
      </c>
      <c r="V133" s="22" t="s">
        <v>538</v>
      </c>
      <c r="W133" s="22" t="s">
        <v>504</v>
      </c>
      <c r="X133" s="22" t="s">
        <v>541</v>
      </c>
      <c r="Y133" s="22" t="s">
        <v>545</v>
      </c>
      <c r="Z133" s="22" t="s">
        <v>499</v>
      </c>
      <c r="AA133" s="22" t="s">
        <v>545</v>
      </c>
      <c r="AB133" s="22" t="s">
        <v>504</v>
      </c>
      <c r="AC133" s="22" t="s">
        <v>504</v>
      </c>
      <c r="AD133" s="22" t="s">
        <v>476</v>
      </c>
      <c r="AE133" s="22" t="s">
        <v>509</v>
      </c>
    </row>
    <row r="134" spans="1:31" ht="20.25" hidden="1" customHeight="1" x14ac:dyDescent="0.15">
      <c r="A134" s="46" t="s">
        <v>617</v>
      </c>
      <c r="B134" s="21">
        <v>104</v>
      </c>
      <c r="C134" s="22" t="s">
        <v>539</v>
      </c>
      <c r="D134" s="22" t="s">
        <v>494</v>
      </c>
      <c r="E134" s="22" t="s">
        <v>516</v>
      </c>
      <c r="F134" s="22" t="s">
        <v>558</v>
      </c>
      <c r="G134" s="22" t="s">
        <v>496</v>
      </c>
      <c r="H134" s="22" t="s">
        <v>577</v>
      </c>
      <c r="I134" s="22" t="s">
        <v>458</v>
      </c>
      <c r="J134" s="22" t="s">
        <v>459</v>
      </c>
      <c r="K134" s="22" t="s">
        <v>498</v>
      </c>
      <c r="L134" s="22" t="s">
        <v>536</v>
      </c>
      <c r="M134" s="22" t="s">
        <v>496</v>
      </c>
      <c r="N134" s="22" t="s">
        <v>498</v>
      </c>
      <c r="O134" s="22" t="s">
        <v>498</v>
      </c>
      <c r="P134" s="22"/>
      <c r="Q134" s="22" t="s">
        <v>496</v>
      </c>
      <c r="R134" s="22" t="s">
        <v>496</v>
      </c>
      <c r="S134" s="22" t="s">
        <v>537</v>
      </c>
      <c r="T134" s="22" t="s">
        <v>496</v>
      </c>
      <c r="U134" s="22" t="s">
        <v>537</v>
      </c>
      <c r="V134" s="22" t="s">
        <v>538</v>
      </c>
      <c r="W134" s="22" t="s">
        <v>504</v>
      </c>
      <c r="X134" s="22" t="s">
        <v>504</v>
      </c>
      <c r="Y134" s="22" t="s">
        <v>545</v>
      </c>
      <c r="Z134" s="22" t="s">
        <v>498</v>
      </c>
      <c r="AA134" s="22" t="s">
        <v>545</v>
      </c>
      <c r="AB134" s="22" t="s">
        <v>504</v>
      </c>
      <c r="AC134" s="22" t="s">
        <v>504</v>
      </c>
      <c r="AD134" s="22" t="s">
        <v>476</v>
      </c>
      <c r="AE134" s="22" t="s">
        <v>509</v>
      </c>
    </row>
    <row r="135" spans="1:31" ht="20.25" hidden="1" customHeight="1" x14ac:dyDescent="0.15">
      <c r="A135" s="46" t="s">
        <v>617</v>
      </c>
      <c r="B135" s="21">
        <v>105</v>
      </c>
      <c r="C135" s="22" t="s">
        <v>539</v>
      </c>
      <c r="D135" s="22" t="s">
        <v>494</v>
      </c>
      <c r="E135" s="22" t="s">
        <v>516</v>
      </c>
      <c r="F135" s="22" t="s">
        <v>558</v>
      </c>
      <c r="G135" s="22" t="s">
        <v>496</v>
      </c>
      <c r="H135" s="22" t="s">
        <v>578</v>
      </c>
      <c r="I135" s="22" t="s">
        <v>100</v>
      </c>
      <c r="J135" s="22" t="s">
        <v>101</v>
      </c>
      <c r="K135" s="22" t="s">
        <v>498</v>
      </c>
      <c r="L135" s="22" t="s">
        <v>536</v>
      </c>
      <c r="M135" s="22" t="s">
        <v>496</v>
      </c>
      <c r="N135" s="22" t="s">
        <v>522</v>
      </c>
      <c r="O135" s="22" t="s">
        <v>522</v>
      </c>
      <c r="P135" s="22"/>
      <c r="Q135" s="22" t="s">
        <v>496</v>
      </c>
      <c r="R135" s="22" t="s">
        <v>496</v>
      </c>
      <c r="S135" s="22" t="s">
        <v>537</v>
      </c>
      <c r="T135" s="22" t="s">
        <v>496</v>
      </c>
      <c r="U135" s="22" t="s">
        <v>537</v>
      </c>
      <c r="V135" s="22" t="s">
        <v>538</v>
      </c>
      <c r="W135" s="22" t="s">
        <v>504</v>
      </c>
      <c r="X135" s="22" t="s">
        <v>564</v>
      </c>
      <c r="Y135" s="22" t="s">
        <v>545</v>
      </c>
      <c r="Z135" s="22" t="s">
        <v>522</v>
      </c>
      <c r="AA135" s="22" t="s">
        <v>545</v>
      </c>
      <c r="AB135" s="22" t="s">
        <v>504</v>
      </c>
      <c r="AC135" s="22" t="s">
        <v>504</v>
      </c>
      <c r="AD135" s="22" t="s">
        <v>476</v>
      </c>
      <c r="AE135" s="22" t="s">
        <v>509</v>
      </c>
    </row>
    <row r="136" spans="1:31" ht="20.25" hidden="1" customHeight="1" x14ac:dyDescent="0.15">
      <c r="A136" s="27" t="s">
        <v>603</v>
      </c>
      <c r="B136" s="21">
        <v>106</v>
      </c>
      <c r="C136" s="22" t="s">
        <v>540</v>
      </c>
      <c r="D136" s="22" t="s">
        <v>494</v>
      </c>
      <c r="E136" s="22" t="s">
        <v>494</v>
      </c>
      <c r="F136" s="22" t="s">
        <v>542</v>
      </c>
      <c r="G136" s="22" t="s">
        <v>496</v>
      </c>
      <c r="H136" s="22" t="s">
        <v>543</v>
      </c>
      <c r="I136" s="22" t="s">
        <v>388</v>
      </c>
      <c r="J136" s="22" t="s">
        <v>389</v>
      </c>
      <c r="K136" s="22" t="s">
        <v>498</v>
      </c>
      <c r="L136" s="22" t="s">
        <v>541</v>
      </c>
      <c r="M136" s="22" t="s">
        <v>496</v>
      </c>
      <c r="N136" s="22" t="s">
        <v>541</v>
      </c>
      <c r="O136" s="22">
        <v>450</v>
      </c>
      <c r="P136" s="22"/>
      <c r="Q136" s="22" t="s">
        <v>496</v>
      </c>
      <c r="R136" s="22" t="s">
        <v>496</v>
      </c>
      <c r="S136" s="22" t="s">
        <v>537</v>
      </c>
      <c r="T136" s="22" t="s">
        <v>496</v>
      </c>
      <c r="U136" s="22" t="s">
        <v>496</v>
      </c>
      <c r="V136" s="22" t="s">
        <v>544</v>
      </c>
      <c r="W136" s="22" t="s">
        <v>545</v>
      </c>
      <c r="X136" s="22" t="s">
        <v>541</v>
      </c>
      <c r="Y136" s="22" t="s">
        <v>545</v>
      </c>
      <c r="Z136" s="22" t="s">
        <v>500</v>
      </c>
      <c r="AA136" s="22" t="s">
        <v>545</v>
      </c>
      <c r="AB136" s="22" t="s">
        <v>541</v>
      </c>
      <c r="AC136" s="22" t="s">
        <v>545</v>
      </c>
      <c r="AD136" s="22" t="s">
        <v>546</v>
      </c>
      <c r="AE136" s="22" t="s">
        <v>547</v>
      </c>
    </row>
    <row r="137" spans="1:31" ht="20.25" hidden="1" customHeight="1" x14ac:dyDescent="0.15">
      <c r="A137" s="27" t="s">
        <v>605</v>
      </c>
      <c r="B137" s="21">
        <v>106</v>
      </c>
      <c r="C137" s="22" t="s">
        <v>540</v>
      </c>
      <c r="D137" s="22" t="s">
        <v>494</v>
      </c>
      <c r="E137" s="22" t="s">
        <v>494</v>
      </c>
      <c r="F137" s="22" t="s">
        <v>542</v>
      </c>
      <c r="G137" s="22" t="s">
        <v>496</v>
      </c>
      <c r="H137" s="22" t="s">
        <v>543</v>
      </c>
      <c r="I137" s="22" t="s">
        <v>388</v>
      </c>
      <c r="J137" s="22" t="s">
        <v>389</v>
      </c>
      <c r="K137" s="22" t="s">
        <v>498</v>
      </c>
      <c r="L137" s="22" t="s">
        <v>541</v>
      </c>
      <c r="M137" s="22" t="s">
        <v>496</v>
      </c>
      <c r="N137" s="22" t="s">
        <v>541</v>
      </c>
      <c r="O137" s="22">
        <v>450</v>
      </c>
      <c r="P137" s="22"/>
      <c r="Q137" s="22" t="s">
        <v>496</v>
      </c>
      <c r="R137" s="22" t="s">
        <v>496</v>
      </c>
      <c r="S137" s="22" t="s">
        <v>537</v>
      </c>
      <c r="T137" s="22" t="s">
        <v>496</v>
      </c>
      <c r="U137" s="22" t="s">
        <v>537</v>
      </c>
      <c r="V137" s="22" t="s">
        <v>538</v>
      </c>
      <c r="W137" s="22" t="s">
        <v>504</v>
      </c>
      <c r="X137" s="22" t="s">
        <v>541</v>
      </c>
      <c r="Y137" s="22" t="s">
        <v>545</v>
      </c>
      <c r="Z137" s="22" t="s">
        <v>500</v>
      </c>
      <c r="AA137" s="22" t="s">
        <v>545</v>
      </c>
      <c r="AB137" s="22" t="s">
        <v>541</v>
      </c>
      <c r="AC137" s="22" t="s">
        <v>545</v>
      </c>
      <c r="AD137" s="22" t="s">
        <v>476</v>
      </c>
      <c r="AE137" s="22" t="s">
        <v>509</v>
      </c>
    </row>
    <row r="138" spans="1:31" ht="20.25" hidden="1" customHeight="1" x14ac:dyDescent="0.15">
      <c r="A138" s="24" t="s">
        <v>607</v>
      </c>
      <c r="B138" s="21">
        <v>107</v>
      </c>
      <c r="C138" s="22" t="s">
        <v>540</v>
      </c>
      <c r="D138" s="22" t="s">
        <v>494</v>
      </c>
      <c r="E138" s="22" t="s">
        <v>494</v>
      </c>
      <c r="F138" s="22" t="s">
        <v>550</v>
      </c>
      <c r="G138" s="22" t="s">
        <v>496</v>
      </c>
      <c r="H138" s="22" t="s">
        <v>551</v>
      </c>
      <c r="I138" s="22" t="s">
        <v>398</v>
      </c>
      <c r="J138" s="22" t="s">
        <v>399</v>
      </c>
      <c r="K138" s="22" t="s">
        <v>498</v>
      </c>
      <c r="L138" s="22" t="s">
        <v>541</v>
      </c>
      <c r="M138" s="22" t="s">
        <v>496</v>
      </c>
      <c r="N138" s="22" t="s">
        <v>536</v>
      </c>
      <c r="O138" s="22">
        <v>450</v>
      </c>
      <c r="P138" s="22"/>
      <c r="Q138" s="22" t="s">
        <v>496</v>
      </c>
      <c r="R138" s="22" t="s">
        <v>496</v>
      </c>
      <c r="S138" s="22" t="s">
        <v>537</v>
      </c>
      <c r="T138" s="22" t="s">
        <v>496</v>
      </c>
      <c r="U138" s="22" t="s">
        <v>496</v>
      </c>
      <c r="V138" s="22" t="s">
        <v>544</v>
      </c>
      <c r="W138" s="22" t="s">
        <v>506</v>
      </c>
      <c r="X138" s="22" t="s">
        <v>553</v>
      </c>
      <c r="Y138" s="22" t="s">
        <v>545</v>
      </c>
      <c r="Z138" s="22" t="s">
        <v>552</v>
      </c>
      <c r="AA138" s="22" t="s">
        <v>545</v>
      </c>
      <c r="AB138" s="22" t="s">
        <v>553</v>
      </c>
      <c r="AC138" s="22" t="s">
        <v>545</v>
      </c>
      <c r="AD138" s="22" t="s">
        <v>546</v>
      </c>
      <c r="AE138" s="22" t="s">
        <v>554</v>
      </c>
    </row>
    <row r="139" spans="1:31" ht="20.25" hidden="1" customHeight="1" x14ac:dyDescent="0.15">
      <c r="A139" s="27" t="s">
        <v>605</v>
      </c>
      <c r="B139" s="21">
        <v>107</v>
      </c>
      <c r="C139" s="22" t="s">
        <v>540</v>
      </c>
      <c r="D139" s="22" t="s">
        <v>494</v>
      </c>
      <c r="E139" s="22" t="s">
        <v>494</v>
      </c>
      <c r="F139" s="22" t="s">
        <v>550</v>
      </c>
      <c r="G139" s="22" t="s">
        <v>496</v>
      </c>
      <c r="H139" s="22" t="s">
        <v>551</v>
      </c>
      <c r="I139" s="22" t="s">
        <v>398</v>
      </c>
      <c r="J139" s="22" t="s">
        <v>399</v>
      </c>
      <c r="K139" s="22" t="s">
        <v>498</v>
      </c>
      <c r="L139" s="22" t="s">
        <v>541</v>
      </c>
      <c r="M139" s="22" t="s">
        <v>496</v>
      </c>
      <c r="N139" s="22" t="s">
        <v>536</v>
      </c>
      <c r="O139" s="22">
        <v>450</v>
      </c>
      <c r="P139" s="22"/>
      <c r="Q139" s="22" t="s">
        <v>496</v>
      </c>
      <c r="R139" s="22" t="s">
        <v>496</v>
      </c>
      <c r="S139" s="22" t="s">
        <v>537</v>
      </c>
      <c r="T139" s="22" t="s">
        <v>496</v>
      </c>
      <c r="U139" s="22" t="s">
        <v>537</v>
      </c>
      <c r="V139" s="22" t="s">
        <v>538</v>
      </c>
      <c r="W139" s="22" t="s">
        <v>504</v>
      </c>
      <c r="X139" s="22" t="s">
        <v>541</v>
      </c>
      <c r="Y139" s="22" t="s">
        <v>545</v>
      </c>
      <c r="Z139" s="22" t="s">
        <v>552</v>
      </c>
      <c r="AA139" s="22" t="s">
        <v>545</v>
      </c>
      <c r="AB139" s="22" t="s">
        <v>553</v>
      </c>
      <c r="AC139" s="22" t="s">
        <v>545</v>
      </c>
      <c r="AD139" s="22" t="s">
        <v>476</v>
      </c>
      <c r="AE139" s="22" t="s">
        <v>509</v>
      </c>
    </row>
    <row r="140" spans="1:31" ht="20.25" hidden="1" customHeight="1" x14ac:dyDescent="0.15">
      <c r="A140" s="46" t="s">
        <v>614</v>
      </c>
      <c r="B140" s="21">
        <v>108</v>
      </c>
      <c r="C140" s="22" t="s">
        <v>540</v>
      </c>
      <c r="D140" s="22" t="s">
        <v>494</v>
      </c>
      <c r="E140" s="22" t="s">
        <v>494</v>
      </c>
      <c r="F140" s="22" t="s">
        <v>558</v>
      </c>
      <c r="G140" s="22" t="s">
        <v>496</v>
      </c>
      <c r="H140" s="22" t="s">
        <v>574</v>
      </c>
      <c r="I140" s="22" t="s">
        <v>410</v>
      </c>
      <c r="J140" s="22" t="s">
        <v>411</v>
      </c>
      <c r="K140" s="22" t="s">
        <v>498</v>
      </c>
      <c r="L140" s="22" t="s">
        <v>541</v>
      </c>
      <c r="M140" s="22" t="s">
        <v>496</v>
      </c>
      <c r="N140" s="22" t="s">
        <v>500</v>
      </c>
      <c r="O140" s="22" t="s">
        <v>500</v>
      </c>
      <c r="P140" s="22"/>
      <c r="Q140" s="22" t="s">
        <v>496</v>
      </c>
      <c r="R140" s="22" t="s">
        <v>496</v>
      </c>
      <c r="S140" s="22" t="s">
        <v>537</v>
      </c>
      <c r="T140" s="22" t="s">
        <v>496</v>
      </c>
      <c r="U140" s="22" t="s">
        <v>496</v>
      </c>
      <c r="V140" s="22" t="s">
        <v>544</v>
      </c>
      <c r="W140" s="22" t="s">
        <v>545</v>
      </c>
      <c r="X140" s="22" t="s">
        <v>541</v>
      </c>
      <c r="Y140" s="22" t="s">
        <v>545</v>
      </c>
      <c r="Z140" s="22" t="s">
        <v>500</v>
      </c>
      <c r="AA140" s="22" t="s">
        <v>545</v>
      </c>
      <c r="AB140" s="22" t="s">
        <v>541</v>
      </c>
      <c r="AC140" s="22" t="s">
        <v>545</v>
      </c>
      <c r="AD140" s="22" t="s">
        <v>546</v>
      </c>
      <c r="AE140" s="22" t="s">
        <v>547</v>
      </c>
    </row>
    <row r="141" spans="1:31" ht="20.25" hidden="1" customHeight="1" x14ac:dyDescent="0.15">
      <c r="A141" s="46" t="s">
        <v>614</v>
      </c>
      <c r="B141" s="21">
        <v>108</v>
      </c>
      <c r="C141" s="22" t="s">
        <v>540</v>
      </c>
      <c r="D141" s="22" t="s">
        <v>494</v>
      </c>
      <c r="E141" s="22" t="s">
        <v>494</v>
      </c>
      <c r="F141" s="22" t="s">
        <v>558</v>
      </c>
      <c r="G141" s="22" t="s">
        <v>496</v>
      </c>
      <c r="H141" s="22" t="s">
        <v>574</v>
      </c>
      <c r="I141" s="22" t="s">
        <v>410</v>
      </c>
      <c r="J141" s="22" t="s">
        <v>411</v>
      </c>
      <c r="K141" s="22" t="s">
        <v>498</v>
      </c>
      <c r="L141" s="22" t="s">
        <v>541</v>
      </c>
      <c r="M141" s="22" t="s">
        <v>496</v>
      </c>
      <c r="N141" s="22" t="s">
        <v>500</v>
      </c>
      <c r="O141" s="22" t="s">
        <v>500</v>
      </c>
      <c r="P141" s="22"/>
      <c r="Q141" s="22" t="s">
        <v>496</v>
      </c>
      <c r="R141" s="22" t="s">
        <v>496</v>
      </c>
      <c r="S141" s="22" t="s">
        <v>537</v>
      </c>
      <c r="T141" s="22" t="s">
        <v>496</v>
      </c>
      <c r="U141" s="22" t="s">
        <v>537</v>
      </c>
      <c r="V141" s="22" t="s">
        <v>538</v>
      </c>
      <c r="W141" s="22" t="s">
        <v>504</v>
      </c>
      <c r="X141" s="22" t="s">
        <v>541</v>
      </c>
      <c r="Y141" s="22" t="s">
        <v>545</v>
      </c>
      <c r="Z141" s="22" t="s">
        <v>500</v>
      </c>
      <c r="AA141" s="22" t="s">
        <v>545</v>
      </c>
      <c r="AB141" s="22" t="s">
        <v>541</v>
      </c>
      <c r="AC141" s="22" t="s">
        <v>545</v>
      </c>
      <c r="AD141" s="22" t="s">
        <v>476</v>
      </c>
      <c r="AE141" s="22" t="s">
        <v>509</v>
      </c>
    </row>
    <row r="142" spans="1:31" ht="20.25" hidden="1" customHeight="1" x14ac:dyDescent="0.15">
      <c r="A142" s="46" t="s">
        <v>616</v>
      </c>
      <c r="B142" s="21">
        <v>109</v>
      </c>
      <c r="C142" s="22" t="s">
        <v>540</v>
      </c>
      <c r="D142" s="22" t="s">
        <v>494</v>
      </c>
      <c r="E142" s="22" t="s">
        <v>512</v>
      </c>
      <c r="F142" s="22" t="s">
        <v>558</v>
      </c>
      <c r="G142" s="22" t="s">
        <v>496</v>
      </c>
      <c r="H142" s="22" t="s">
        <v>575</v>
      </c>
      <c r="I142" s="22" t="s">
        <v>422</v>
      </c>
      <c r="J142" s="22" t="s">
        <v>423</v>
      </c>
      <c r="K142" s="22" t="s">
        <v>498</v>
      </c>
      <c r="L142" s="22" t="s">
        <v>541</v>
      </c>
      <c r="M142" s="22" t="s">
        <v>496</v>
      </c>
      <c r="N142" s="22" t="s">
        <v>499</v>
      </c>
      <c r="O142" s="22" t="s">
        <v>499</v>
      </c>
      <c r="P142" s="22"/>
      <c r="Q142" s="22" t="s">
        <v>496</v>
      </c>
      <c r="R142" s="22" t="s">
        <v>496</v>
      </c>
      <c r="S142" s="22" t="s">
        <v>537</v>
      </c>
      <c r="T142" s="22" t="s">
        <v>496</v>
      </c>
      <c r="U142" s="22" t="s">
        <v>537</v>
      </c>
      <c r="V142" s="22" t="s">
        <v>538</v>
      </c>
      <c r="W142" s="22" t="s">
        <v>504</v>
      </c>
      <c r="X142" s="22" t="s">
        <v>541</v>
      </c>
      <c r="Y142" s="22" t="s">
        <v>545</v>
      </c>
      <c r="Z142" s="22" t="s">
        <v>499</v>
      </c>
      <c r="AA142" s="22" t="s">
        <v>545</v>
      </c>
      <c r="AB142" s="22" t="s">
        <v>504</v>
      </c>
      <c r="AC142" s="22" t="s">
        <v>504</v>
      </c>
      <c r="AD142" s="22" t="s">
        <v>476</v>
      </c>
      <c r="AE142" s="22" t="s">
        <v>509</v>
      </c>
    </row>
    <row r="143" spans="1:31" ht="20.25" hidden="1" customHeight="1" x14ac:dyDescent="0.15">
      <c r="A143" s="46" t="s">
        <v>617</v>
      </c>
      <c r="B143" s="21">
        <v>110</v>
      </c>
      <c r="C143" s="22" t="s">
        <v>540</v>
      </c>
      <c r="D143" s="22" t="s">
        <v>494</v>
      </c>
      <c r="E143" s="22" t="s">
        <v>516</v>
      </c>
      <c r="F143" s="22" t="s">
        <v>558</v>
      </c>
      <c r="G143" s="22" t="s">
        <v>496</v>
      </c>
      <c r="H143" s="22" t="s">
        <v>576</v>
      </c>
      <c r="I143" s="22" t="s">
        <v>396</v>
      </c>
      <c r="J143" s="22" t="s">
        <v>397</v>
      </c>
      <c r="K143" s="22" t="s">
        <v>498</v>
      </c>
      <c r="L143" s="22" t="s">
        <v>505</v>
      </c>
      <c r="M143" s="22" t="s">
        <v>496</v>
      </c>
      <c r="N143" s="22" t="s">
        <v>499</v>
      </c>
      <c r="O143" s="22" t="s">
        <v>499</v>
      </c>
      <c r="P143" s="22"/>
      <c r="Q143" s="22" t="s">
        <v>496</v>
      </c>
      <c r="R143" s="22" t="s">
        <v>496</v>
      </c>
      <c r="S143" s="22" t="s">
        <v>537</v>
      </c>
      <c r="T143" s="22" t="s">
        <v>496</v>
      </c>
      <c r="U143" s="22" t="s">
        <v>537</v>
      </c>
      <c r="V143" s="22" t="s">
        <v>538</v>
      </c>
      <c r="W143" s="22" t="s">
        <v>504</v>
      </c>
      <c r="X143" s="22" t="s">
        <v>541</v>
      </c>
      <c r="Y143" s="22" t="s">
        <v>545</v>
      </c>
      <c r="Z143" s="22" t="s">
        <v>499</v>
      </c>
      <c r="AA143" s="22" t="s">
        <v>545</v>
      </c>
      <c r="AB143" s="22" t="s">
        <v>504</v>
      </c>
      <c r="AC143" s="22" t="s">
        <v>504</v>
      </c>
      <c r="AD143" s="22" t="s">
        <v>476</v>
      </c>
      <c r="AE143" s="22" t="s">
        <v>509</v>
      </c>
    </row>
    <row r="144" spans="1:31" ht="20.25" hidden="1" customHeight="1" x14ac:dyDescent="0.15">
      <c r="A144" s="46" t="s">
        <v>617</v>
      </c>
      <c r="B144" s="21">
        <v>111</v>
      </c>
      <c r="C144" s="22" t="s">
        <v>540</v>
      </c>
      <c r="D144" s="22" t="s">
        <v>494</v>
      </c>
      <c r="E144" s="22" t="s">
        <v>516</v>
      </c>
      <c r="F144" s="22" t="s">
        <v>558</v>
      </c>
      <c r="G144" s="22" t="s">
        <v>496</v>
      </c>
      <c r="H144" s="22" t="s">
        <v>577</v>
      </c>
      <c r="I144" s="22" t="s">
        <v>400</v>
      </c>
      <c r="J144" s="22" t="s">
        <v>401</v>
      </c>
      <c r="K144" s="22" t="s">
        <v>498</v>
      </c>
      <c r="L144" s="22" t="s">
        <v>541</v>
      </c>
      <c r="M144" s="22" t="s">
        <v>496</v>
      </c>
      <c r="N144" s="22" t="s">
        <v>498</v>
      </c>
      <c r="O144" s="22" t="s">
        <v>498</v>
      </c>
      <c r="P144" s="22"/>
      <c r="Q144" s="22" t="s">
        <v>496</v>
      </c>
      <c r="R144" s="22" t="s">
        <v>496</v>
      </c>
      <c r="S144" s="22" t="s">
        <v>537</v>
      </c>
      <c r="T144" s="22" t="s">
        <v>496</v>
      </c>
      <c r="U144" s="22" t="s">
        <v>537</v>
      </c>
      <c r="V144" s="22" t="s">
        <v>538</v>
      </c>
      <c r="W144" s="22" t="s">
        <v>504</v>
      </c>
      <c r="X144" s="22" t="s">
        <v>504</v>
      </c>
      <c r="Y144" s="22" t="s">
        <v>545</v>
      </c>
      <c r="Z144" s="22" t="s">
        <v>498</v>
      </c>
      <c r="AA144" s="22" t="s">
        <v>545</v>
      </c>
      <c r="AB144" s="22" t="s">
        <v>504</v>
      </c>
      <c r="AC144" s="22" t="s">
        <v>504</v>
      </c>
      <c r="AD144" s="22" t="s">
        <v>476</v>
      </c>
      <c r="AE144" s="22" t="s">
        <v>509</v>
      </c>
    </row>
    <row r="145" spans="1:31" ht="20.25" hidden="1" customHeight="1" x14ac:dyDescent="0.15">
      <c r="A145" s="46" t="s">
        <v>617</v>
      </c>
      <c r="B145" s="21">
        <v>112</v>
      </c>
      <c r="C145" s="22" t="s">
        <v>540</v>
      </c>
      <c r="D145" s="22" t="s">
        <v>494</v>
      </c>
      <c r="E145" s="22" t="s">
        <v>516</v>
      </c>
      <c r="F145" s="22" t="s">
        <v>558</v>
      </c>
      <c r="G145" s="22" t="s">
        <v>496</v>
      </c>
      <c r="H145" s="22" t="s">
        <v>578</v>
      </c>
      <c r="I145" s="22" t="s">
        <v>418</v>
      </c>
      <c r="J145" s="22" t="s">
        <v>419</v>
      </c>
      <c r="K145" s="22" t="s">
        <v>498</v>
      </c>
      <c r="L145" s="22" t="s">
        <v>541</v>
      </c>
      <c r="M145" s="22" t="s">
        <v>496</v>
      </c>
      <c r="N145" s="22" t="s">
        <v>522</v>
      </c>
      <c r="O145" s="22" t="s">
        <v>522</v>
      </c>
      <c r="P145" s="22"/>
      <c r="Q145" s="22" t="s">
        <v>496</v>
      </c>
      <c r="R145" s="22" t="s">
        <v>496</v>
      </c>
      <c r="S145" s="22" t="s">
        <v>537</v>
      </c>
      <c r="T145" s="22" t="s">
        <v>496</v>
      </c>
      <c r="U145" s="22" t="s">
        <v>537</v>
      </c>
      <c r="V145" s="22" t="s">
        <v>538</v>
      </c>
      <c r="W145" s="22" t="s">
        <v>504</v>
      </c>
      <c r="X145" s="22" t="s">
        <v>564</v>
      </c>
      <c r="Y145" s="22" t="s">
        <v>545</v>
      </c>
      <c r="Z145" s="22" t="s">
        <v>522</v>
      </c>
      <c r="AA145" s="22" t="s">
        <v>545</v>
      </c>
      <c r="AB145" s="22" t="s">
        <v>504</v>
      </c>
      <c r="AC145" s="22" t="s">
        <v>504</v>
      </c>
      <c r="AD145" s="22" t="s">
        <v>476</v>
      </c>
      <c r="AE145" s="22" t="s">
        <v>509</v>
      </c>
    </row>
    <row r="146" spans="1:31" ht="20.25" hidden="1" customHeight="1" x14ac:dyDescent="0.15">
      <c r="A146" s="24" t="s">
        <v>626</v>
      </c>
      <c r="B146" s="21">
        <v>113</v>
      </c>
      <c r="C146" s="22" t="s">
        <v>493</v>
      </c>
      <c r="D146" s="22" t="s">
        <v>494</v>
      </c>
      <c r="E146" s="22" t="s">
        <v>494</v>
      </c>
      <c r="F146" s="22" t="s">
        <v>579</v>
      </c>
      <c r="G146" s="22" t="s">
        <v>496</v>
      </c>
      <c r="H146" s="22" t="s">
        <v>580</v>
      </c>
      <c r="I146" s="22" t="s">
        <v>394</v>
      </c>
      <c r="J146" s="22" t="s">
        <v>395</v>
      </c>
      <c r="K146" s="22" t="s">
        <v>498</v>
      </c>
      <c r="L146" s="22" t="s">
        <v>499</v>
      </c>
      <c r="M146" s="22" t="s">
        <v>496</v>
      </c>
      <c r="N146" s="22" t="s">
        <v>496</v>
      </c>
      <c r="O146" s="22"/>
      <c r="P146" s="22"/>
      <c r="Q146" s="22" t="s">
        <v>541</v>
      </c>
      <c r="R146" s="22" t="s">
        <v>496</v>
      </c>
      <c r="S146" s="22" t="s">
        <v>501</v>
      </c>
      <c r="T146" s="22" t="s">
        <v>496</v>
      </c>
      <c r="U146" s="22" t="s">
        <v>496</v>
      </c>
      <c r="V146" s="22" t="s">
        <v>581</v>
      </c>
      <c r="W146" s="22" t="s">
        <v>504</v>
      </c>
      <c r="X146" s="22" t="s">
        <v>541</v>
      </c>
      <c r="Y146" s="22" t="s">
        <v>545</v>
      </c>
      <c r="Z146" s="22" t="s">
        <v>500</v>
      </c>
      <c r="AA146" s="22" t="s">
        <v>545</v>
      </c>
      <c r="AB146" s="22" t="s">
        <v>541</v>
      </c>
      <c r="AC146" s="22" t="s">
        <v>545</v>
      </c>
      <c r="AD146" s="22" t="s">
        <v>582</v>
      </c>
      <c r="AE146" s="22" t="s">
        <v>509</v>
      </c>
    </row>
    <row r="147" spans="1:31" ht="20.25" hidden="1" customHeight="1" x14ac:dyDescent="0.15">
      <c r="A147" s="27" t="s">
        <v>605</v>
      </c>
      <c r="B147" s="21">
        <v>113</v>
      </c>
      <c r="C147" s="22" t="s">
        <v>493</v>
      </c>
      <c r="D147" s="22" t="s">
        <v>494</v>
      </c>
      <c r="E147" s="22" t="s">
        <v>494</v>
      </c>
      <c r="F147" s="22" t="s">
        <v>579</v>
      </c>
      <c r="G147" s="22" t="s">
        <v>496</v>
      </c>
      <c r="H147" s="22" t="s">
        <v>580</v>
      </c>
      <c r="I147" s="22" t="s">
        <v>394</v>
      </c>
      <c r="J147" s="22" t="s">
        <v>395</v>
      </c>
      <c r="K147" s="22" t="s">
        <v>498</v>
      </c>
      <c r="L147" s="22" t="s">
        <v>499</v>
      </c>
      <c r="M147" s="22" t="s">
        <v>496</v>
      </c>
      <c r="N147" s="22" t="s">
        <v>496</v>
      </c>
      <c r="O147" s="22"/>
      <c r="P147" s="22"/>
      <c r="Q147" s="22" t="s">
        <v>541</v>
      </c>
      <c r="R147" s="22" t="s">
        <v>496</v>
      </c>
      <c r="S147" s="22" t="s">
        <v>501</v>
      </c>
      <c r="T147" s="22" t="s">
        <v>496</v>
      </c>
      <c r="U147" s="22" t="s">
        <v>501</v>
      </c>
      <c r="V147" s="22" t="s">
        <v>510</v>
      </c>
      <c r="W147" s="22" t="s">
        <v>504</v>
      </c>
      <c r="X147" s="22" t="s">
        <v>541</v>
      </c>
      <c r="Y147" s="22" t="s">
        <v>545</v>
      </c>
      <c r="Z147" s="22" t="s">
        <v>500</v>
      </c>
      <c r="AA147" s="22" t="s">
        <v>545</v>
      </c>
      <c r="AB147" s="22" t="s">
        <v>541</v>
      </c>
      <c r="AC147" s="22" t="s">
        <v>545</v>
      </c>
      <c r="AD147" s="22" t="s">
        <v>511</v>
      </c>
      <c r="AE147" s="22" t="s">
        <v>509</v>
      </c>
    </row>
    <row r="148" spans="1:31" ht="20.25" hidden="1" customHeight="1" x14ac:dyDescent="0.15">
      <c r="A148" s="24" t="s">
        <v>626</v>
      </c>
      <c r="B148" s="21">
        <v>114</v>
      </c>
      <c r="C148" s="22" t="s">
        <v>493</v>
      </c>
      <c r="D148" s="22" t="s">
        <v>512</v>
      </c>
      <c r="E148" s="22" t="s">
        <v>494</v>
      </c>
      <c r="F148" s="22" t="s">
        <v>579</v>
      </c>
      <c r="G148" s="22" t="s">
        <v>496</v>
      </c>
      <c r="H148" s="22" t="s">
        <v>70</v>
      </c>
      <c r="I148" s="22" t="s">
        <v>332</v>
      </c>
      <c r="J148" s="22" t="s">
        <v>333</v>
      </c>
      <c r="K148" s="22" t="s">
        <v>498</v>
      </c>
      <c r="L148" s="22" t="s">
        <v>498</v>
      </c>
      <c r="M148" s="22" t="s">
        <v>496</v>
      </c>
      <c r="N148" s="22" t="s">
        <v>496</v>
      </c>
      <c r="O148" s="22"/>
      <c r="P148" s="22"/>
      <c r="Q148" s="22" t="s">
        <v>541</v>
      </c>
      <c r="R148" s="22" t="s">
        <v>496</v>
      </c>
      <c r="S148" s="22" t="s">
        <v>501</v>
      </c>
      <c r="T148" s="22" t="s">
        <v>496</v>
      </c>
      <c r="U148" s="22" t="s">
        <v>496</v>
      </c>
      <c r="V148" s="22" t="s">
        <v>581</v>
      </c>
      <c r="W148" s="22" t="s">
        <v>504</v>
      </c>
      <c r="X148" s="22" t="s">
        <v>541</v>
      </c>
      <c r="Y148" s="22" t="s">
        <v>545</v>
      </c>
      <c r="Z148" s="22" t="s">
        <v>499</v>
      </c>
      <c r="AA148" s="22" t="s">
        <v>545</v>
      </c>
      <c r="AB148" s="22" t="s">
        <v>541</v>
      </c>
      <c r="AC148" s="22" t="s">
        <v>545</v>
      </c>
      <c r="AD148" s="22" t="s">
        <v>582</v>
      </c>
      <c r="AE148" s="22" t="s">
        <v>509</v>
      </c>
    </row>
    <row r="149" spans="1:31" ht="20.25" hidden="1" customHeight="1" x14ac:dyDescent="0.15">
      <c r="A149" s="27" t="s">
        <v>605</v>
      </c>
      <c r="B149" s="21">
        <v>114</v>
      </c>
      <c r="C149" s="22" t="s">
        <v>493</v>
      </c>
      <c r="D149" s="22" t="s">
        <v>512</v>
      </c>
      <c r="E149" s="22" t="s">
        <v>494</v>
      </c>
      <c r="F149" s="22" t="s">
        <v>579</v>
      </c>
      <c r="G149" s="22" t="s">
        <v>496</v>
      </c>
      <c r="H149" s="22" t="s">
        <v>70</v>
      </c>
      <c r="I149" s="22" t="s">
        <v>332</v>
      </c>
      <c r="J149" s="22" t="s">
        <v>333</v>
      </c>
      <c r="K149" s="22" t="s">
        <v>498</v>
      </c>
      <c r="L149" s="22" t="s">
        <v>498</v>
      </c>
      <c r="M149" s="22" t="s">
        <v>496</v>
      </c>
      <c r="N149" s="22" t="s">
        <v>496</v>
      </c>
      <c r="O149" s="22"/>
      <c r="P149" s="22"/>
      <c r="Q149" s="22" t="s">
        <v>541</v>
      </c>
      <c r="R149" s="22" t="s">
        <v>496</v>
      </c>
      <c r="S149" s="22" t="s">
        <v>501</v>
      </c>
      <c r="T149" s="22" t="s">
        <v>496</v>
      </c>
      <c r="U149" s="22" t="s">
        <v>501</v>
      </c>
      <c r="V149" s="22" t="s">
        <v>510</v>
      </c>
      <c r="W149" s="22" t="s">
        <v>504</v>
      </c>
      <c r="X149" s="22" t="s">
        <v>504</v>
      </c>
      <c r="Y149" s="22" t="s">
        <v>545</v>
      </c>
      <c r="Z149" s="22" t="s">
        <v>499</v>
      </c>
      <c r="AA149" s="22" t="s">
        <v>545</v>
      </c>
      <c r="AB149" s="22" t="s">
        <v>541</v>
      </c>
      <c r="AC149" s="22" t="s">
        <v>545</v>
      </c>
      <c r="AD149" s="22" t="s">
        <v>511</v>
      </c>
      <c r="AE149" s="22" t="s">
        <v>509</v>
      </c>
    </row>
    <row r="150" spans="1:31" ht="20.25" hidden="1" customHeight="1" x14ac:dyDescent="0.15">
      <c r="A150" s="24" t="s">
        <v>626</v>
      </c>
      <c r="B150" s="21">
        <v>115</v>
      </c>
      <c r="C150" s="22" t="s">
        <v>493</v>
      </c>
      <c r="D150" s="22" t="s">
        <v>516</v>
      </c>
      <c r="E150" s="22" t="s">
        <v>494</v>
      </c>
      <c r="F150" s="22" t="s">
        <v>579</v>
      </c>
      <c r="G150" s="22" t="s">
        <v>496</v>
      </c>
      <c r="H150" s="22" t="s">
        <v>71</v>
      </c>
      <c r="I150" s="22" t="s">
        <v>408</v>
      </c>
      <c r="J150" s="22" t="s">
        <v>409</v>
      </c>
      <c r="K150" s="22" t="s">
        <v>498</v>
      </c>
      <c r="L150" s="22" t="s">
        <v>522</v>
      </c>
      <c r="M150" s="22" t="s">
        <v>496</v>
      </c>
      <c r="N150" s="22" t="s">
        <v>496</v>
      </c>
      <c r="O150" s="22"/>
      <c r="P150" s="22"/>
      <c r="Q150" s="22" t="s">
        <v>541</v>
      </c>
      <c r="R150" s="22" t="s">
        <v>496</v>
      </c>
      <c r="S150" s="22" t="s">
        <v>501</v>
      </c>
      <c r="T150" s="22" t="s">
        <v>496</v>
      </c>
      <c r="U150" s="22" t="s">
        <v>496</v>
      </c>
      <c r="V150" s="22" t="s">
        <v>581</v>
      </c>
      <c r="W150" s="22" t="s">
        <v>504</v>
      </c>
      <c r="X150" s="22" t="s">
        <v>541</v>
      </c>
      <c r="Y150" s="22" t="s">
        <v>545</v>
      </c>
      <c r="Z150" s="22" t="s">
        <v>499</v>
      </c>
      <c r="AA150" s="22" t="s">
        <v>545</v>
      </c>
      <c r="AB150" s="22" t="s">
        <v>541</v>
      </c>
      <c r="AC150" s="22" t="s">
        <v>545</v>
      </c>
      <c r="AD150" s="22" t="s">
        <v>582</v>
      </c>
      <c r="AE150" s="22" t="s">
        <v>509</v>
      </c>
    </row>
    <row r="151" spans="1:31" ht="20.25" hidden="1" customHeight="1" x14ac:dyDescent="0.15">
      <c r="A151" s="24" t="s">
        <v>626</v>
      </c>
      <c r="B151" s="21">
        <v>116</v>
      </c>
      <c r="C151" s="22" t="s">
        <v>535</v>
      </c>
      <c r="D151" s="22" t="s">
        <v>494</v>
      </c>
      <c r="E151" s="22" t="s">
        <v>494</v>
      </c>
      <c r="F151" s="22" t="s">
        <v>579</v>
      </c>
      <c r="G151" s="22" t="s">
        <v>496</v>
      </c>
      <c r="H151" s="22" t="s">
        <v>580</v>
      </c>
      <c r="I151" s="22" t="s">
        <v>352</v>
      </c>
      <c r="J151" s="22" t="s">
        <v>353</v>
      </c>
      <c r="K151" s="22" t="s">
        <v>498</v>
      </c>
      <c r="L151" s="22" t="s">
        <v>536</v>
      </c>
      <c r="M151" s="22" t="s">
        <v>496</v>
      </c>
      <c r="N151" s="22" t="s">
        <v>496</v>
      </c>
      <c r="O151" s="22"/>
      <c r="P151" s="22"/>
      <c r="Q151" s="22" t="s">
        <v>541</v>
      </c>
      <c r="R151" s="22" t="s">
        <v>496</v>
      </c>
      <c r="S151" s="22" t="s">
        <v>501</v>
      </c>
      <c r="T151" s="22" t="s">
        <v>496</v>
      </c>
      <c r="U151" s="22" t="s">
        <v>496</v>
      </c>
      <c r="V151" s="22" t="s">
        <v>581</v>
      </c>
      <c r="W151" s="22" t="s">
        <v>504</v>
      </c>
      <c r="X151" s="22" t="s">
        <v>541</v>
      </c>
      <c r="Y151" s="22" t="s">
        <v>545</v>
      </c>
      <c r="Z151" s="22" t="s">
        <v>500</v>
      </c>
      <c r="AA151" s="22" t="s">
        <v>545</v>
      </c>
      <c r="AB151" s="22" t="s">
        <v>541</v>
      </c>
      <c r="AC151" s="22" t="s">
        <v>545</v>
      </c>
      <c r="AD151" s="22" t="s">
        <v>582</v>
      </c>
      <c r="AE151" s="22" t="s">
        <v>509</v>
      </c>
    </row>
    <row r="152" spans="1:31" ht="20.25" hidden="1" customHeight="1" x14ac:dyDescent="0.15">
      <c r="A152" s="27" t="s">
        <v>605</v>
      </c>
      <c r="B152" s="21">
        <v>116</v>
      </c>
      <c r="C152" s="22" t="s">
        <v>535</v>
      </c>
      <c r="D152" s="22" t="s">
        <v>494</v>
      </c>
      <c r="E152" s="22" t="s">
        <v>494</v>
      </c>
      <c r="F152" s="22" t="s">
        <v>579</v>
      </c>
      <c r="G152" s="22" t="s">
        <v>496</v>
      </c>
      <c r="H152" s="22" t="s">
        <v>580</v>
      </c>
      <c r="I152" s="22" t="s">
        <v>352</v>
      </c>
      <c r="J152" s="22" t="s">
        <v>353</v>
      </c>
      <c r="K152" s="22" t="s">
        <v>498</v>
      </c>
      <c r="L152" s="22" t="s">
        <v>536</v>
      </c>
      <c r="M152" s="22" t="s">
        <v>496</v>
      </c>
      <c r="N152" s="22" t="s">
        <v>496</v>
      </c>
      <c r="O152" s="22"/>
      <c r="P152" s="22"/>
      <c r="Q152" s="22" t="s">
        <v>541</v>
      </c>
      <c r="R152" s="22" t="s">
        <v>496</v>
      </c>
      <c r="S152" s="22" t="s">
        <v>501</v>
      </c>
      <c r="T152" s="22" t="s">
        <v>496</v>
      </c>
      <c r="U152" s="22" t="s">
        <v>501</v>
      </c>
      <c r="V152" s="22" t="s">
        <v>510</v>
      </c>
      <c r="W152" s="22" t="s">
        <v>504</v>
      </c>
      <c r="X152" s="22" t="s">
        <v>541</v>
      </c>
      <c r="Y152" s="22" t="s">
        <v>545</v>
      </c>
      <c r="Z152" s="22" t="s">
        <v>500</v>
      </c>
      <c r="AA152" s="22" t="s">
        <v>545</v>
      </c>
      <c r="AB152" s="22" t="s">
        <v>541</v>
      </c>
      <c r="AC152" s="22" t="s">
        <v>545</v>
      </c>
      <c r="AD152" s="22" t="s">
        <v>511</v>
      </c>
      <c r="AE152" s="22" t="s">
        <v>509</v>
      </c>
    </row>
    <row r="153" spans="1:31" ht="20.25" hidden="1" customHeight="1" x14ac:dyDescent="0.15">
      <c r="A153" s="24" t="s">
        <v>626</v>
      </c>
      <c r="B153" s="21">
        <v>117</v>
      </c>
      <c r="C153" s="22" t="s">
        <v>567</v>
      </c>
      <c r="D153" s="22" t="s">
        <v>494</v>
      </c>
      <c r="E153" s="22" t="s">
        <v>494</v>
      </c>
      <c r="F153" s="22" t="s">
        <v>579</v>
      </c>
      <c r="G153" s="22" t="s">
        <v>496</v>
      </c>
      <c r="H153" s="22" t="s">
        <v>580</v>
      </c>
      <c r="I153" s="22" t="s">
        <v>414</v>
      </c>
      <c r="J153" s="22" t="s">
        <v>415</v>
      </c>
      <c r="K153" s="22" t="s">
        <v>498</v>
      </c>
      <c r="L153" s="22" t="s">
        <v>541</v>
      </c>
      <c r="M153" s="22" t="s">
        <v>496</v>
      </c>
      <c r="N153" s="22" t="s">
        <v>496</v>
      </c>
      <c r="O153" s="22"/>
      <c r="P153" s="22"/>
      <c r="Q153" s="22" t="s">
        <v>541</v>
      </c>
      <c r="R153" s="22" t="s">
        <v>496</v>
      </c>
      <c r="S153" s="22" t="s">
        <v>501</v>
      </c>
      <c r="T153" s="22" t="s">
        <v>496</v>
      </c>
      <c r="U153" s="22" t="s">
        <v>496</v>
      </c>
      <c r="V153" s="22" t="s">
        <v>581</v>
      </c>
      <c r="W153" s="22" t="s">
        <v>504</v>
      </c>
      <c r="X153" s="22" t="s">
        <v>541</v>
      </c>
      <c r="Y153" s="22" t="s">
        <v>545</v>
      </c>
      <c r="Z153" s="22" t="s">
        <v>500</v>
      </c>
      <c r="AA153" s="22" t="s">
        <v>545</v>
      </c>
      <c r="AB153" s="22" t="s">
        <v>541</v>
      </c>
      <c r="AC153" s="22" t="s">
        <v>545</v>
      </c>
      <c r="AD153" s="22" t="s">
        <v>582</v>
      </c>
      <c r="AE153" s="22" t="s">
        <v>509</v>
      </c>
    </row>
    <row r="154" spans="1:31" ht="20.25" hidden="1" customHeight="1" x14ac:dyDescent="0.15">
      <c r="A154" s="27" t="s">
        <v>605</v>
      </c>
      <c r="B154" s="21">
        <v>117</v>
      </c>
      <c r="C154" s="22" t="s">
        <v>567</v>
      </c>
      <c r="D154" s="22" t="s">
        <v>494</v>
      </c>
      <c r="E154" s="22" t="s">
        <v>494</v>
      </c>
      <c r="F154" s="22" t="s">
        <v>579</v>
      </c>
      <c r="G154" s="22" t="s">
        <v>496</v>
      </c>
      <c r="H154" s="22" t="s">
        <v>580</v>
      </c>
      <c r="I154" s="22" t="s">
        <v>414</v>
      </c>
      <c r="J154" s="22" t="s">
        <v>415</v>
      </c>
      <c r="K154" s="22" t="s">
        <v>498</v>
      </c>
      <c r="L154" s="22" t="s">
        <v>541</v>
      </c>
      <c r="M154" s="22" t="s">
        <v>496</v>
      </c>
      <c r="N154" s="22" t="s">
        <v>496</v>
      </c>
      <c r="O154" s="22"/>
      <c r="P154" s="22"/>
      <c r="Q154" s="22" t="s">
        <v>541</v>
      </c>
      <c r="R154" s="22" t="s">
        <v>496</v>
      </c>
      <c r="S154" s="22" t="s">
        <v>501</v>
      </c>
      <c r="T154" s="22" t="s">
        <v>496</v>
      </c>
      <c r="U154" s="22" t="s">
        <v>501</v>
      </c>
      <c r="V154" s="22" t="s">
        <v>510</v>
      </c>
      <c r="W154" s="22" t="s">
        <v>504</v>
      </c>
      <c r="X154" s="22" t="s">
        <v>541</v>
      </c>
      <c r="Y154" s="22" t="s">
        <v>545</v>
      </c>
      <c r="Z154" s="22" t="s">
        <v>500</v>
      </c>
      <c r="AA154" s="22" t="s">
        <v>545</v>
      </c>
      <c r="AB154" s="22" t="s">
        <v>541</v>
      </c>
      <c r="AC154" s="22" t="s">
        <v>545</v>
      </c>
      <c r="AD154" s="22" t="s">
        <v>511</v>
      </c>
      <c r="AE154" s="22" t="s">
        <v>509</v>
      </c>
    </row>
    <row r="155" spans="1:31" ht="20.25" hidden="1" customHeight="1" x14ac:dyDescent="0.15">
      <c r="A155" s="24" t="s">
        <v>626</v>
      </c>
      <c r="B155" s="21">
        <v>118</v>
      </c>
      <c r="C155" s="22" t="s">
        <v>38</v>
      </c>
      <c r="D155" s="22" t="s">
        <v>494</v>
      </c>
      <c r="E155" s="22" t="s">
        <v>494</v>
      </c>
      <c r="F155" s="22" t="s">
        <v>579</v>
      </c>
      <c r="G155" s="22" t="s">
        <v>496</v>
      </c>
      <c r="H155" s="22" t="s">
        <v>580</v>
      </c>
      <c r="I155" s="22" t="s">
        <v>392</v>
      </c>
      <c r="J155" s="22" t="s">
        <v>393</v>
      </c>
      <c r="K155" s="22" t="s">
        <v>498</v>
      </c>
      <c r="L155" s="22" t="s">
        <v>499</v>
      </c>
      <c r="M155" s="22" t="s">
        <v>496</v>
      </c>
      <c r="N155" s="22" t="s">
        <v>496</v>
      </c>
      <c r="O155" s="22"/>
      <c r="P155" s="22"/>
      <c r="Q155" s="22" t="s">
        <v>541</v>
      </c>
      <c r="R155" s="22" t="s">
        <v>496</v>
      </c>
      <c r="S155" s="22" t="s">
        <v>537</v>
      </c>
      <c r="T155" s="22" t="s">
        <v>496</v>
      </c>
      <c r="U155" s="22" t="s">
        <v>496</v>
      </c>
      <c r="V155" s="22" t="s">
        <v>581</v>
      </c>
      <c r="W155" s="22" t="s">
        <v>504</v>
      </c>
      <c r="X155" s="22" t="s">
        <v>541</v>
      </c>
      <c r="Y155" s="22" t="s">
        <v>545</v>
      </c>
      <c r="Z155" s="22" t="s">
        <v>500</v>
      </c>
      <c r="AA155" s="22" t="s">
        <v>545</v>
      </c>
      <c r="AB155" s="22" t="s">
        <v>541</v>
      </c>
      <c r="AC155" s="22" t="s">
        <v>545</v>
      </c>
      <c r="AD155" s="22" t="s">
        <v>582</v>
      </c>
      <c r="AE155" s="22" t="s">
        <v>509</v>
      </c>
    </row>
    <row r="156" spans="1:31" ht="20.25" hidden="1" customHeight="1" x14ac:dyDescent="0.15">
      <c r="A156" s="27" t="s">
        <v>605</v>
      </c>
      <c r="B156" s="21">
        <v>118</v>
      </c>
      <c r="C156" s="22" t="s">
        <v>38</v>
      </c>
      <c r="D156" s="22" t="s">
        <v>494</v>
      </c>
      <c r="E156" s="22" t="s">
        <v>494</v>
      </c>
      <c r="F156" s="22" t="s">
        <v>579</v>
      </c>
      <c r="G156" s="22" t="s">
        <v>496</v>
      </c>
      <c r="H156" s="22" t="s">
        <v>580</v>
      </c>
      <c r="I156" s="22" t="s">
        <v>392</v>
      </c>
      <c r="J156" s="22" t="s">
        <v>393</v>
      </c>
      <c r="K156" s="22" t="s">
        <v>498</v>
      </c>
      <c r="L156" s="22" t="s">
        <v>499</v>
      </c>
      <c r="M156" s="22" t="s">
        <v>496</v>
      </c>
      <c r="N156" s="22" t="s">
        <v>496</v>
      </c>
      <c r="O156" s="22"/>
      <c r="P156" s="22"/>
      <c r="Q156" s="22" t="s">
        <v>541</v>
      </c>
      <c r="R156" s="22" t="s">
        <v>496</v>
      </c>
      <c r="S156" s="22" t="s">
        <v>537</v>
      </c>
      <c r="T156" s="22" t="s">
        <v>496</v>
      </c>
      <c r="U156" s="22" t="s">
        <v>537</v>
      </c>
      <c r="V156" s="22" t="s">
        <v>538</v>
      </c>
      <c r="W156" s="22" t="s">
        <v>504</v>
      </c>
      <c r="X156" s="22" t="s">
        <v>541</v>
      </c>
      <c r="Y156" s="22" t="s">
        <v>545</v>
      </c>
      <c r="Z156" s="22" t="s">
        <v>500</v>
      </c>
      <c r="AA156" s="22" t="s">
        <v>545</v>
      </c>
      <c r="AB156" s="22" t="s">
        <v>541</v>
      </c>
      <c r="AC156" s="22" t="s">
        <v>545</v>
      </c>
      <c r="AD156" s="22" t="s">
        <v>476</v>
      </c>
      <c r="AE156" s="22" t="s">
        <v>509</v>
      </c>
    </row>
    <row r="157" spans="1:31" ht="20.25" hidden="1" customHeight="1" x14ac:dyDescent="0.15">
      <c r="A157" s="27" t="s">
        <v>605</v>
      </c>
      <c r="B157" s="21">
        <v>119</v>
      </c>
      <c r="C157" s="22" t="s">
        <v>38</v>
      </c>
      <c r="D157" s="22" t="s">
        <v>512</v>
      </c>
      <c r="E157" s="22" t="s">
        <v>494</v>
      </c>
      <c r="F157" s="22" t="s">
        <v>579</v>
      </c>
      <c r="G157" s="22" t="s">
        <v>496</v>
      </c>
      <c r="H157" s="22" t="s">
        <v>70</v>
      </c>
      <c r="I157" s="22" t="s">
        <v>378</v>
      </c>
      <c r="J157" s="22" t="s">
        <v>379</v>
      </c>
      <c r="K157" s="22" t="s">
        <v>498</v>
      </c>
      <c r="L157" s="22" t="s">
        <v>498</v>
      </c>
      <c r="M157" s="22" t="s">
        <v>496</v>
      </c>
      <c r="N157" s="22" t="s">
        <v>496</v>
      </c>
      <c r="O157" s="22"/>
      <c r="P157" s="22"/>
      <c r="Q157" s="22" t="s">
        <v>541</v>
      </c>
      <c r="R157" s="22" t="s">
        <v>496</v>
      </c>
      <c r="S157" s="22" t="s">
        <v>537</v>
      </c>
      <c r="T157" s="22" t="s">
        <v>496</v>
      </c>
      <c r="U157" s="22" t="s">
        <v>537</v>
      </c>
      <c r="V157" s="22" t="s">
        <v>538</v>
      </c>
      <c r="W157" s="22" t="s">
        <v>504</v>
      </c>
      <c r="X157" s="22" t="s">
        <v>504</v>
      </c>
      <c r="Y157" s="22" t="s">
        <v>545</v>
      </c>
      <c r="Z157" s="22" t="s">
        <v>499</v>
      </c>
      <c r="AA157" s="22" t="s">
        <v>545</v>
      </c>
      <c r="AB157" s="22" t="s">
        <v>541</v>
      </c>
      <c r="AC157" s="22" t="s">
        <v>545</v>
      </c>
      <c r="AD157" s="22" t="s">
        <v>476</v>
      </c>
      <c r="AE157" s="22" t="s">
        <v>509</v>
      </c>
    </row>
    <row r="158" spans="1:31" ht="20.25" hidden="1" customHeight="1" x14ac:dyDescent="0.15">
      <c r="A158" s="24" t="s">
        <v>626</v>
      </c>
      <c r="B158" s="21">
        <v>119</v>
      </c>
      <c r="C158" s="22" t="s">
        <v>38</v>
      </c>
      <c r="D158" s="22" t="s">
        <v>512</v>
      </c>
      <c r="E158" s="22" t="s">
        <v>494</v>
      </c>
      <c r="F158" s="22" t="s">
        <v>579</v>
      </c>
      <c r="G158" s="22" t="s">
        <v>496</v>
      </c>
      <c r="H158" s="22" t="s">
        <v>70</v>
      </c>
      <c r="I158" s="22" t="s">
        <v>378</v>
      </c>
      <c r="J158" s="22" t="s">
        <v>379</v>
      </c>
      <c r="K158" s="22" t="s">
        <v>498</v>
      </c>
      <c r="L158" s="22" t="s">
        <v>498</v>
      </c>
      <c r="M158" s="22" t="s">
        <v>496</v>
      </c>
      <c r="N158" s="22" t="s">
        <v>496</v>
      </c>
      <c r="O158" s="22"/>
      <c r="P158" s="22"/>
      <c r="Q158" s="22" t="s">
        <v>541</v>
      </c>
      <c r="R158" s="22" t="s">
        <v>496</v>
      </c>
      <c r="S158" s="22" t="s">
        <v>537</v>
      </c>
      <c r="T158" s="22" t="s">
        <v>496</v>
      </c>
      <c r="U158" s="22" t="s">
        <v>496</v>
      </c>
      <c r="V158" s="22" t="s">
        <v>581</v>
      </c>
      <c r="W158" s="22" t="s">
        <v>504</v>
      </c>
      <c r="X158" s="22" t="s">
        <v>541</v>
      </c>
      <c r="Y158" s="22" t="s">
        <v>545</v>
      </c>
      <c r="Z158" s="22" t="s">
        <v>499</v>
      </c>
      <c r="AA158" s="22" t="s">
        <v>545</v>
      </c>
      <c r="AB158" s="22" t="s">
        <v>541</v>
      </c>
      <c r="AC158" s="22" t="s">
        <v>545</v>
      </c>
      <c r="AD158" s="22" t="s">
        <v>582</v>
      </c>
      <c r="AE158" s="22" t="s">
        <v>509</v>
      </c>
    </row>
    <row r="159" spans="1:31" ht="20.25" hidden="1" customHeight="1" x14ac:dyDescent="0.15">
      <c r="A159" s="24" t="s">
        <v>626</v>
      </c>
      <c r="B159" s="21">
        <v>120</v>
      </c>
      <c r="C159" s="22" t="s">
        <v>38</v>
      </c>
      <c r="D159" s="22" t="s">
        <v>516</v>
      </c>
      <c r="E159" s="22" t="s">
        <v>494</v>
      </c>
      <c r="F159" s="22" t="s">
        <v>579</v>
      </c>
      <c r="G159" s="22" t="s">
        <v>496</v>
      </c>
      <c r="H159" s="22" t="s">
        <v>71</v>
      </c>
      <c r="I159" s="22" t="s">
        <v>416</v>
      </c>
      <c r="J159" s="22" t="s">
        <v>417</v>
      </c>
      <c r="K159" s="22" t="s">
        <v>498</v>
      </c>
      <c r="L159" s="22" t="s">
        <v>522</v>
      </c>
      <c r="M159" s="22" t="s">
        <v>496</v>
      </c>
      <c r="N159" s="22" t="s">
        <v>496</v>
      </c>
      <c r="O159" s="22"/>
      <c r="P159" s="22"/>
      <c r="Q159" s="22" t="s">
        <v>541</v>
      </c>
      <c r="R159" s="22" t="s">
        <v>496</v>
      </c>
      <c r="S159" s="22" t="s">
        <v>537</v>
      </c>
      <c r="T159" s="22" t="s">
        <v>496</v>
      </c>
      <c r="U159" s="22" t="s">
        <v>496</v>
      </c>
      <c r="V159" s="22" t="s">
        <v>581</v>
      </c>
      <c r="W159" s="22" t="s">
        <v>504</v>
      </c>
      <c r="X159" s="22" t="s">
        <v>541</v>
      </c>
      <c r="Y159" s="22" t="s">
        <v>545</v>
      </c>
      <c r="Z159" s="22" t="s">
        <v>499</v>
      </c>
      <c r="AA159" s="22" t="s">
        <v>545</v>
      </c>
      <c r="AB159" s="22" t="s">
        <v>541</v>
      </c>
      <c r="AC159" s="22" t="s">
        <v>545</v>
      </c>
      <c r="AD159" s="22" t="s">
        <v>582</v>
      </c>
      <c r="AE159" s="22" t="s">
        <v>509</v>
      </c>
    </row>
    <row r="160" spans="1:31" ht="20.25" hidden="1" customHeight="1" x14ac:dyDescent="0.15">
      <c r="A160" s="24" t="s">
        <v>626</v>
      </c>
      <c r="B160" s="21">
        <v>121</v>
      </c>
      <c r="C160" s="22" t="s">
        <v>539</v>
      </c>
      <c r="D160" s="22" t="s">
        <v>494</v>
      </c>
      <c r="E160" s="22" t="s">
        <v>494</v>
      </c>
      <c r="F160" s="22" t="s">
        <v>579</v>
      </c>
      <c r="G160" s="22" t="s">
        <v>496</v>
      </c>
      <c r="H160" s="22" t="s">
        <v>580</v>
      </c>
      <c r="I160" s="22" t="s">
        <v>390</v>
      </c>
      <c r="J160" s="22" t="s">
        <v>391</v>
      </c>
      <c r="K160" s="22" t="s">
        <v>498</v>
      </c>
      <c r="L160" s="22" t="s">
        <v>536</v>
      </c>
      <c r="M160" s="22" t="s">
        <v>496</v>
      </c>
      <c r="N160" s="22" t="s">
        <v>496</v>
      </c>
      <c r="O160" s="22"/>
      <c r="P160" s="22"/>
      <c r="Q160" s="22" t="s">
        <v>541</v>
      </c>
      <c r="R160" s="22" t="s">
        <v>496</v>
      </c>
      <c r="S160" s="22" t="s">
        <v>537</v>
      </c>
      <c r="T160" s="22" t="s">
        <v>496</v>
      </c>
      <c r="U160" s="22" t="s">
        <v>496</v>
      </c>
      <c r="V160" s="22" t="s">
        <v>581</v>
      </c>
      <c r="W160" s="22" t="s">
        <v>504</v>
      </c>
      <c r="X160" s="22" t="s">
        <v>541</v>
      </c>
      <c r="Y160" s="22" t="s">
        <v>545</v>
      </c>
      <c r="Z160" s="22" t="s">
        <v>500</v>
      </c>
      <c r="AA160" s="22" t="s">
        <v>545</v>
      </c>
      <c r="AB160" s="22" t="s">
        <v>541</v>
      </c>
      <c r="AC160" s="22" t="s">
        <v>545</v>
      </c>
      <c r="AD160" s="22" t="s">
        <v>582</v>
      </c>
      <c r="AE160" s="22" t="s">
        <v>509</v>
      </c>
    </row>
    <row r="161" spans="1:31" ht="20.25" hidden="1" customHeight="1" x14ac:dyDescent="0.15">
      <c r="A161" s="27" t="s">
        <v>605</v>
      </c>
      <c r="B161" s="21">
        <v>121</v>
      </c>
      <c r="C161" s="22" t="s">
        <v>539</v>
      </c>
      <c r="D161" s="22" t="s">
        <v>494</v>
      </c>
      <c r="E161" s="22" t="s">
        <v>494</v>
      </c>
      <c r="F161" s="22" t="s">
        <v>579</v>
      </c>
      <c r="G161" s="22" t="s">
        <v>496</v>
      </c>
      <c r="H161" s="22" t="s">
        <v>580</v>
      </c>
      <c r="I161" s="22" t="s">
        <v>390</v>
      </c>
      <c r="J161" s="22" t="s">
        <v>391</v>
      </c>
      <c r="K161" s="22" t="s">
        <v>498</v>
      </c>
      <c r="L161" s="22" t="s">
        <v>536</v>
      </c>
      <c r="M161" s="22" t="s">
        <v>496</v>
      </c>
      <c r="N161" s="22" t="s">
        <v>496</v>
      </c>
      <c r="O161" s="22"/>
      <c r="P161" s="22"/>
      <c r="Q161" s="22" t="s">
        <v>541</v>
      </c>
      <c r="R161" s="22" t="s">
        <v>496</v>
      </c>
      <c r="S161" s="22" t="s">
        <v>537</v>
      </c>
      <c r="T161" s="22" t="s">
        <v>496</v>
      </c>
      <c r="U161" s="22" t="s">
        <v>537</v>
      </c>
      <c r="V161" s="22" t="s">
        <v>538</v>
      </c>
      <c r="W161" s="22" t="s">
        <v>504</v>
      </c>
      <c r="X161" s="22" t="s">
        <v>541</v>
      </c>
      <c r="Y161" s="22" t="s">
        <v>545</v>
      </c>
      <c r="Z161" s="22" t="s">
        <v>500</v>
      </c>
      <c r="AA161" s="22" t="s">
        <v>545</v>
      </c>
      <c r="AB161" s="22" t="s">
        <v>541</v>
      </c>
      <c r="AC161" s="22" t="s">
        <v>545</v>
      </c>
      <c r="AD161" s="22" t="s">
        <v>476</v>
      </c>
      <c r="AE161" s="22" t="s">
        <v>509</v>
      </c>
    </row>
    <row r="162" spans="1:31" ht="20.25" hidden="1" customHeight="1" x14ac:dyDescent="0.15">
      <c r="A162" s="24" t="s">
        <v>626</v>
      </c>
      <c r="B162" s="21">
        <v>122</v>
      </c>
      <c r="C162" s="22" t="s">
        <v>540</v>
      </c>
      <c r="D162" s="22" t="s">
        <v>494</v>
      </c>
      <c r="E162" s="22" t="s">
        <v>494</v>
      </c>
      <c r="F162" s="22" t="s">
        <v>579</v>
      </c>
      <c r="G162" s="22" t="s">
        <v>496</v>
      </c>
      <c r="H162" s="22" t="s">
        <v>580</v>
      </c>
      <c r="I162" s="22" t="s">
        <v>424</v>
      </c>
      <c r="J162" s="22" t="s">
        <v>425</v>
      </c>
      <c r="K162" s="22" t="s">
        <v>498</v>
      </c>
      <c r="L162" s="22" t="s">
        <v>541</v>
      </c>
      <c r="M162" s="22" t="s">
        <v>496</v>
      </c>
      <c r="N162" s="22" t="s">
        <v>496</v>
      </c>
      <c r="O162" s="22"/>
      <c r="P162" s="22"/>
      <c r="Q162" s="22" t="s">
        <v>541</v>
      </c>
      <c r="R162" s="22" t="s">
        <v>496</v>
      </c>
      <c r="S162" s="22" t="s">
        <v>537</v>
      </c>
      <c r="T162" s="22" t="s">
        <v>496</v>
      </c>
      <c r="U162" s="22" t="s">
        <v>496</v>
      </c>
      <c r="V162" s="22" t="s">
        <v>581</v>
      </c>
      <c r="W162" s="22" t="s">
        <v>504</v>
      </c>
      <c r="X162" s="22" t="s">
        <v>541</v>
      </c>
      <c r="Y162" s="22" t="s">
        <v>545</v>
      </c>
      <c r="Z162" s="22" t="s">
        <v>500</v>
      </c>
      <c r="AA162" s="22" t="s">
        <v>545</v>
      </c>
      <c r="AB162" s="22" t="s">
        <v>541</v>
      </c>
      <c r="AC162" s="22" t="s">
        <v>545</v>
      </c>
      <c r="AD162" s="22" t="s">
        <v>582</v>
      </c>
      <c r="AE162" s="22" t="s">
        <v>509</v>
      </c>
    </row>
    <row r="163" spans="1:31" ht="20.25" hidden="1" customHeight="1" x14ac:dyDescent="0.15">
      <c r="A163" s="27" t="s">
        <v>605</v>
      </c>
      <c r="B163" s="21">
        <v>122</v>
      </c>
      <c r="C163" s="22" t="s">
        <v>540</v>
      </c>
      <c r="D163" s="22" t="s">
        <v>494</v>
      </c>
      <c r="E163" s="22" t="s">
        <v>494</v>
      </c>
      <c r="F163" s="22" t="s">
        <v>579</v>
      </c>
      <c r="G163" s="22" t="s">
        <v>496</v>
      </c>
      <c r="H163" s="22" t="s">
        <v>580</v>
      </c>
      <c r="I163" s="22" t="s">
        <v>424</v>
      </c>
      <c r="J163" s="22" t="s">
        <v>425</v>
      </c>
      <c r="K163" s="22" t="s">
        <v>498</v>
      </c>
      <c r="L163" s="22" t="s">
        <v>541</v>
      </c>
      <c r="M163" s="22" t="s">
        <v>496</v>
      </c>
      <c r="N163" s="22" t="s">
        <v>496</v>
      </c>
      <c r="O163" s="22"/>
      <c r="P163" s="22"/>
      <c r="Q163" s="22" t="s">
        <v>541</v>
      </c>
      <c r="R163" s="22" t="s">
        <v>496</v>
      </c>
      <c r="S163" s="22" t="s">
        <v>537</v>
      </c>
      <c r="T163" s="22" t="s">
        <v>496</v>
      </c>
      <c r="U163" s="22" t="s">
        <v>537</v>
      </c>
      <c r="V163" s="22" t="s">
        <v>538</v>
      </c>
      <c r="W163" s="22" t="s">
        <v>504</v>
      </c>
      <c r="X163" s="22" t="s">
        <v>541</v>
      </c>
      <c r="Y163" s="22" t="s">
        <v>545</v>
      </c>
      <c r="Z163" s="22" t="s">
        <v>500</v>
      </c>
      <c r="AA163" s="22" t="s">
        <v>545</v>
      </c>
      <c r="AB163" s="22" t="s">
        <v>541</v>
      </c>
      <c r="AC163" s="22" t="s">
        <v>545</v>
      </c>
      <c r="AD163" s="22" t="s">
        <v>476</v>
      </c>
      <c r="AE163" s="22" t="s">
        <v>509</v>
      </c>
    </row>
    <row r="164" spans="1:31" ht="20.25" hidden="1" customHeight="1" x14ac:dyDescent="0.15">
      <c r="A164" s="24" t="s">
        <v>626</v>
      </c>
      <c r="B164" s="21">
        <v>123</v>
      </c>
      <c r="C164" s="22" t="s">
        <v>493</v>
      </c>
      <c r="D164" s="22" t="s">
        <v>494</v>
      </c>
      <c r="E164" s="22" t="s">
        <v>494</v>
      </c>
      <c r="F164" s="22" t="s">
        <v>583</v>
      </c>
      <c r="G164" s="22" t="s">
        <v>496</v>
      </c>
      <c r="H164" s="22" t="s">
        <v>75</v>
      </c>
      <c r="I164" s="22" t="s">
        <v>438</v>
      </c>
      <c r="J164" s="22" t="s">
        <v>439</v>
      </c>
      <c r="K164" s="22" t="s">
        <v>498</v>
      </c>
      <c r="L164" s="22" t="s">
        <v>499</v>
      </c>
      <c r="M164" s="22" t="s">
        <v>496</v>
      </c>
      <c r="N164" s="22" t="s">
        <v>496</v>
      </c>
      <c r="O164" s="22"/>
      <c r="P164" s="22"/>
      <c r="Q164" s="22" t="s">
        <v>536</v>
      </c>
      <c r="R164" s="22" t="s">
        <v>496</v>
      </c>
      <c r="S164" s="22" t="s">
        <v>501</v>
      </c>
      <c r="T164" s="22" t="s">
        <v>496</v>
      </c>
      <c r="U164" s="22" t="s">
        <v>496</v>
      </c>
      <c r="V164" s="22" t="s">
        <v>581</v>
      </c>
      <c r="W164" s="22" t="s">
        <v>504</v>
      </c>
      <c r="X164" s="22" t="s">
        <v>553</v>
      </c>
      <c r="Y164" s="22" t="s">
        <v>545</v>
      </c>
      <c r="Z164" s="22" t="s">
        <v>552</v>
      </c>
      <c r="AA164" s="22" t="s">
        <v>545</v>
      </c>
      <c r="AB164" s="22" t="s">
        <v>553</v>
      </c>
      <c r="AC164" s="22" t="s">
        <v>545</v>
      </c>
      <c r="AD164" s="22" t="s">
        <v>685</v>
      </c>
      <c r="AE164" s="22" t="s">
        <v>509</v>
      </c>
    </row>
    <row r="165" spans="1:31" ht="20.25" hidden="1" customHeight="1" x14ac:dyDescent="0.15">
      <c r="A165" s="27" t="s">
        <v>605</v>
      </c>
      <c r="B165" s="21">
        <v>123</v>
      </c>
      <c r="C165" s="22" t="s">
        <v>493</v>
      </c>
      <c r="D165" s="22" t="s">
        <v>494</v>
      </c>
      <c r="E165" s="22" t="s">
        <v>494</v>
      </c>
      <c r="F165" s="22" t="s">
        <v>583</v>
      </c>
      <c r="G165" s="22" t="s">
        <v>496</v>
      </c>
      <c r="H165" s="22" t="s">
        <v>75</v>
      </c>
      <c r="I165" s="22" t="s">
        <v>438</v>
      </c>
      <c r="J165" s="22" t="s">
        <v>439</v>
      </c>
      <c r="K165" s="22" t="s">
        <v>498</v>
      </c>
      <c r="L165" s="22" t="s">
        <v>499</v>
      </c>
      <c r="M165" s="22" t="s">
        <v>496</v>
      </c>
      <c r="N165" s="22" t="s">
        <v>496</v>
      </c>
      <c r="O165" s="22"/>
      <c r="P165" s="22"/>
      <c r="Q165" s="22" t="s">
        <v>536</v>
      </c>
      <c r="R165" s="22" t="s">
        <v>496</v>
      </c>
      <c r="S165" s="22" t="s">
        <v>501</v>
      </c>
      <c r="T165" s="22" t="s">
        <v>496</v>
      </c>
      <c r="U165" s="22" t="s">
        <v>501</v>
      </c>
      <c r="V165" s="22" t="s">
        <v>510</v>
      </c>
      <c r="W165" s="22" t="s">
        <v>504</v>
      </c>
      <c r="X165" s="22" t="s">
        <v>541</v>
      </c>
      <c r="Y165" s="22" t="s">
        <v>545</v>
      </c>
      <c r="Z165" s="22" t="s">
        <v>552</v>
      </c>
      <c r="AA165" s="22" t="s">
        <v>545</v>
      </c>
      <c r="AB165" s="22" t="s">
        <v>553</v>
      </c>
      <c r="AC165" s="22" t="s">
        <v>545</v>
      </c>
      <c r="AD165" s="22" t="s">
        <v>511</v>
      </c>
      <c r="AE165" s="22" t="s">
        <v>509</v>
      </c>
    </row>
    <row r="166" spans="1:31" ht="20.25" hidden="1" customHeight="1" x14ac:dyDescent="0.15">
      <c r="A166" s="24" t="s">
        <v>626</v>
      </c>
      <c r="B166" s="21">
        <v>124</v>
      </c>
      <c r="C166" s="22" t="s">
        <v>493</v>
      </c>
      <c r="D166" s="22" t="s">
        <v>512</v>
      </c>
      <c r="E166" s="22" t="s">
        <v>494</v>
      </c>
      <c r="F166" s="22" t="s">
        <v>583</v>
      </c>
      <c r="G166" s="22" t="s">
        <v>496</v>
      </c>
      <c r="H166" s="22" t="s">
        <v>76</v>
      </c>
      <c r="I166" s="22" t="s">
        <v>446</v>
      </c>
      <c r="J166" s="22" t="s">
        <v>447</v>
      </c>
      <c r="K166" s="22" t="s">
        <v>498</v>
      </c>
      <c r="L166" s="22" t="s">
        <v>498</v>
      </c>
      <c r="M166" s="22" t="s">
        <v>496</v>
      </c>
      <c r="N166" s="22" t="s">
        <v>496</v>
      </c>
      <c r="O166" s="22"/>
      <c r="P166" s="22"/>
      <c r="Q166" s="22" t="s">
        <v>536</v>
      </c>
      <c r="R166" s="22" t="s">
        <v>496</v>
      </c>
      <c r="S166" s="22" t="s">
        <v>501</v>
      </c>
      <c r="T166" s="22" t="s">
        <v>496</v>
      </c>
      <c r="U166" s="22" t="s">
        <v>496</v>
      </c>
      <c r="V166" s="22" t="s">
        <v>581</v>
      </c>
      <c r="W166" s="22" t="s">
        <v>504</v>
      </c>
      <c r="X166" s="22" t="s">
        <v>541</v>
      </c>
      <c r="Y166" s="22" t="s">
        <v>545</v>
      </c>
      <c r="Z166" s="22" t="s">
        <v>499</v>
      </c>
      <c r="AA166" s="22" t="s">
        <v>545</v>
      </c>
      <c r="AB166" s="22" t="s">
        <v>541</v>
      </c>
      <c r="AC166" s="22" t="s">
        <v>545</v>
      </c>
      <c r="AD166" s="22" t="s">
        <v>582</v>
      </c>
      <c r="AE166" s="22" t="s">
        <v>509</v>
      </c>
    </row>
    <row r="167" spans="1:31" ht="20.25" hidden="1" customHeight="1" x14ac:dyDescent="0.15">
      <c r="A167" s="27" t="s">
        <v>605</v>
      </c>
      <c r="B167" s="21">
        <v>124</v>
      </c>
      <c r="C167" s="22" t="s">
        <v>493</v>
      </c>
      <c r="D167" s="22" t="s">
        <v>512</v>
      </c>
      <c r="E167" s="22" t="s">
        <v>494</v>
      </c>
      <c r="F167" s="22" t="s">
        <v>583</v>
      </c>
      <c r="G167" s="22" t="s">
        <v>496</v>
      </c>
      <c r="H167" s="22" t="s">
        <v>76</v>
      </c>
      <c r="I167" s="22" t="s">
        <v>446</v>
      </c>
      <c r="J167" s="22" t="s">
        <v>447</v>
      </c>
      <c r="K167" s="22" t="s">
        <v>498</v>
      </c>
      <c r="L167" s="22" t="s">
        <v>498</v>
      </c>
      <c r="M167" s="22" t="s">
        <v>496</v>
      </c>
      <c r="N167" s="22" t="s">
        <v>496</v>
      </c>
      <c r="O167" s="22"/>
      <c r="P167" s="22"/>
      <c r="Q167" s="22" t="s">
        <v>536</v>
      </c>
      <c r="R167" s="22" t="s">
        <v>496</v>
      </c>
      <c r="S167" s="22" t="s">
        <v>501</v>
      </c>
      <c r="T167" s="22" t="s">
        <v>496</v>
      </c>
      <c r="U167" s="22" t="s">
        <v>501</v>
      </c>
      <c r="V167" s="22" t="s">
        <v>510</v>
      </c>
      <c r="W167" s="22" t="s">
        <v>504</v>
      </c>
      <c r="X167" s="22" t="s">
        <v>504</v>
      </c>
      <c r="Y167" s="22" t="s">
        <v>545</v>
      </c>
      <c r="Z167" s="22" t="s">
        <v>499</v>
      </c>
      <c r="AA167" s="22" t="s">
        <v>545</v>
      </c>
      <c r="AB167" s="22" t="s">
        <v>541</v>
      </c>
      <c r="AC167" s="22" t="s">
        <v>545</v>
      </c>
      <c r="AD167" s="22" t="s">
        <v>511</v>
      </c>
      <c r="AE167" s="22" t="s">
        <v>509</v>
      </c>
    </row>
    <row r="168" spans="1:31" ht="20.25" hidden="1" customHeight="1" x14ac:dyDescent="0.15">
      <c r="A168" s="24" t="s">
        <v>626</v>
      </c>
      <c r="B168" s="21">
        <v>125</v>
      </c>
      <c r="C168" s="22" t="s">
        <v>493</v>
      </c>
      <c r="D168" s="22" t="s">
        <v>516</v>
      </c>
      <c r="E168" s="22" t="s">
        <v>494</v>
      </c>
      <c r="F168" s="22" t="s">
        <v>583</v>
      </c>
      <c r="G168" s="22" t="s">
        <v>496</v>
      </c>
      <c r="H168" s="22" t="s">
        <v>77</v>
      </c>
      <c r="I168" s="22" t="s">
        <v>444</v>
      </c>
      <c r="J168" s="22" t="s">
        <v>445</v>
      </c>
      <c r="K168" s="22" t="s">
        <v>498</v>
      </c>
      <c r="L168" s="22" t="s">
        <v>522</v>
      </c>
      <c r="M168" s="22" t="s">
        <v>496</v>
      </c>
      <c r="N168" s="22" t="s">
        <v>496</v>
      </c>
      <c r="O168" s="22"/>
      <c r="P168" s="22"/>
      <c r="Q168" s="22" t="s">
        <v>536</v>
      </c>
      <c r="R168" s="22" t="s">
        <v>496</v>
      </c>
      <c r="S168" s="22" t="s">
        <v>501</v>
      </c>
      <c r="T168" s="22" t="s">
        <v>496</v>
      </c>
      <c r="U168" s="22" t="s">
        <v>496</v>
      </c>
      <c r="V168" s="22" t="s">
        <v>581</v>
      </c>
      <c r="W168" s="22" t="s">
        <v>504</v>
      </c>
      <c r="X168" s="22" t="s">
        <v>541</v>
      </c>
      <c r="Y168" s="22" t="s">
        <v>545</v>
      </c>
      <c r="Z168" s="22" t="s">
        <v>499</v>
      </c>
      <c r="AA168" s="22" t="s">
        <v>545</v>
      </c>
      <c r="AB168" s="22" t="s">
        <v>541</v>
      </c>
      <c r="AC168" s="22" t="s">
        <v>545</v>
      </c>
      <c r="AD168" s="22" t="s">
        <v>582</v>
      </c>
      <c r="AE168" s="22" t="s">
        <v>509</v>
      </c>
    </row>
    <row r="169" spans="1:31" ht="20.25" hidden="1" customHeight="1" x14ac:dyDescent="0.15">
      <c r="A169" s="24" t="s">
        <v>626</v>
      </c>
      <c r="B169" s="21">
        <v>126</v>
      </c>
      <c r="C169" s="22" t="s">
        <v>535</v>
      </c>
      <c r="D169" s="22" t="s">
        <v>494</v>
      </c>
      <c r="E169" s="22" t="s">
        <v>494</v>
      </c>
      <c r="F169" s="22" t="s">
        <v>583</v>
      </c>
      <c r="G169" s="22" t="s">
        <v>496</v>
      </c>
      <c r="H169" s="22" t="s">
        <v>75</v>
      </c>
      <c r="I169" s="22" t="s">
        <v>362</v>
      </c>
      <c r="J169" s="22" t="s">
        <v>363</v>
      </c>
      <c r="K169" s="22" t="s">
        <v>498</v>
      </c>
      <c r="L169" s="22" t="s">
        <v>536</v>
      </c>
      <c r="M169" s="22" t="s">
        <v>496</v>
      </c>
      <c r="N169" s="22" t="s">
        <v>496</v>
      </c>
      <c r="O169" s="22"/>
      <c r="P169" s="22"/>
      <c r="Q169" s="22" t="s">
        <v>536</v>
      </c>
      <c r="R169" s="22" t="s">
        <v>496</v>
      </c>
      <c r="S169" s="22" t="s">
        <v>501</v>
      </c>
      <c r="T169" s="22" t="s">
        <v>496</v>
      </c>
      <c r="U169" s="22" t="s">
        <v>496</v>
      </c>
      <c r="V169" s="22" t="s">
        <v>581</v>
      </c>
      <c r="W169" s="22" t="s">
        <v>504</v>
      </c>
      <c r="X169" s="22" t="s">
        <v>553</v>
      </c>
      <c r="Y169" s="22" t="s">
        <v>545</v>
      </c>
      <c r="Z169" s="22" t="s">
        <v>552</v>
      </c>
      <c r="AA169" s="22" t="s">
        <v>545</v>
      </c>
      <c r="AB169" s="22" t="s">
        <v>553</v>
      </c>
      <c r="AC169" s="22" t="s">
        <v>545</v>
      </c>
      <c r="AD169" s="22" t="s">
        <v>582</v>
      </c>
      <c r="AE169" s="22" t="s">
        <v>509</v>
      </c>
    </row>
    <row r="170" spans="1:31" ht="20.25" hidden="1" customHeight="1" x14ac:dyDescent="0.15">
      <c r="A170" s="27" t="s">
        <v>605</v>
      </c>
      <c r="B170" s="21">
        <v>126</v>
      </c>
      <c r="C170" s="22" t="s">
        <v>535</v>
      </c>
      <c r="D170" s="22" t="s">
        <v>494</v>
      </c>
      <c r="E170" s="22" t="s">
        <v>494</v>
      </c>
      <c r="F170" s="22" t="s">
        <v>583</v>
      </c>
      <c r="G170" s="22" t="s">
        <v>496</v>
      </c>
      <c r="H170" s="22" t="s">
        <v>75</v>
      </c>
      <c r="I170" s="22" t="s">
        <v>362</v>
      </c>
      <c r="J170" s="22" t="s">
        <v>363</v>
      </c>
      <c r="K170" s="22" t="s">
        <v>498</v>
      </c>
      <c r="L170" s="22" t="s">
        <v>536</v>
      </c>
      <c r="M170" s="22" t="s">
        <v>496</v>
      </c>
      <c r="N170" s="22" t="s">
        <v>496</v>
      </c>
      <c r="O170" s="22"/>
      <c r="P170" s="22"/>
      <c r="Q170" s="22" t="s">
        <v>536</v>
      </c>
      <c r="R170" s="22" t="s">
        <v>496</v>
      </c>
      <c r="S170" s="22" t="s">
        <v>501</v>
      </c>
      <c r="T170" s="22" t="s">
        <v>496</v>
      </c>
      <c r="U170" s="22" t="s">
        <v>501</v>
      </c>
      <c r="V170" s="22" t="s">
        <v>510</v>
      </c>
      <c r="W170" s="22" t="s">
        <v>504</v>
      </c>
      <c r="X170" s="22" t="s">
        <v>541</v>
      </c>
      <c r="Y170" s="22" t="s">
        <v>545</v>
      </c>
      <c r="Z170" s="22" t="s">
        <v>552</v>
      </c>
      <c r="AA170" s="22" t="s">
        <v>545</v>
      </c>
      <c r="AB170" s="22" t="s">
        <v>553</v>
      </c>
      <c r="AC170" s="22" t="s">
        <v>545</v>
      </c>
      <c r="AD170" s="22" t="s">
        <v>511</v>
      </c>
      <c r="AE170" s="22" t="s">
        <v>509</v>
      </c>
    </row>
    <row r="171" spans="1:31" ht="20.25" hidden="1" customHeight="1" x14ac:dyDescent="0.15">
      <c r="A171" s="24" t="s">
        <v>626</v>
      </c>
      <c r="B171" s="21">
        <v>127</v>
      </c>
      <c r="C171" s="22" t="s">
        <v>567</v>
      </c>
      <c r="D171" s="22" t="s">
        <v>494</v>
      </c>
      <c r="E171" s="22" t="s">
        <v>494</v>
      </c>
      <c r="F171" s="22" t="s">
        <v>583</v>
      </c>
      <c r="G171" s="22" t="s">
        <v>496</v>
      </c>
      <c r="H171" s="22" t="s">
        <v>75</v>
      </c>
      <c r="I171" s="22" t="s">
        <v>336</v>
      </c>
      <c r="J171" s="22" t="s">
        <v>337</v>
      </c>
      <c r="K171" s="22" t="s">
        <v>498</v>
      </c>
      <c r="L171" s="22" t="s">
        <v>541</v>
      </c>
      <c r="M171" s="22" t="s">
        <v>496</v>
      </c>
      <c r="N171" s="22" t="s">
        <v>496</v>
      </c>
      <c r="O171" s="22"/>
      <c r="P171" s="22"/>
      <c r="Q171" s="22" t="s">
        <v>536</v>
      </c>
      <c r="R171" s="22" t="s">
        <v>496</v>
      </c>
      <c r="S171" s="22" t="s">
        <v>501</v>
      </c>
      <c r="T171" s="22" t="s">
        <v>496</v>
      </c>
      <c r="U171" s="22" t="s">
        <v>496</v>
      </c>
      <c r="V171" s="22" t="s">
        <v>581</v>
      </c>
      <c r="W171" s="22" t="s">
        <v>504</v>
      </c>
      <c r="X171" s="22" t="s">
        <v>553</v>
      </c>
      <c r="Y171" s="22" t="s">
        <v>545</v>
      </c>
      <c r="Z171" s="22" t="s">
        <v>552</v>
      </c>
      <c r="AA171" s="22" t="s">
        <v>545</v>
      </c>
      <c r="AB171" s="22" t="s">
        <v>553</v>
      </c>
      <c r="AC171" s="22" t="s">
        <v>545</v>
      </c>
      <c r="AD171" s="22" t="s">
        <v>582</v>
      </c>
      <c r="AE171" s="22" t="s">
        <v>509</v>
      </c>
    </row>
    <row r="172" spans="1:31" ht="20.25" hidden="1" customHeight="1" x14ac:dyDescent="0.15">
      <c r="A172" s="27" t="s">
        <v>605</v>
      </c>
      <c r="B172" s="21">
        <v>127</v>
      </c>
      <c r="C172" s="22" t="s">
        <v>567</v>
      </c>
      <c r="D172" s="22" t="s">
        <v>494</v>
      </c>
      <c r="E172" s="22" t="s">
        <v>494</v>
      </c>
      <c r="F172" s="22" t="s">
        <v>583</v>
      </c>
      <c r="G172" s="22" t="s">
        <v>496</v>
      </c>
      <c r="H172" s="22" t="s">
        <v>75</v>
      </c>
      <c r="I172" s="22" t="s">
        <v>336</v>
      </c>
      <c r="J172" s="22" t="s">
        <v>337</v>
      </c>
      <c r="K172" s="22" t="s">
        <v>498</v>
      </c>
      <c r="L172" s="22" t="s">
        <v>541</v>
      </c>
      <c r="M172" s="22" t="s">
        <v>496</v>
      </c>
      <c r="N172" s="22" t="s">
        <v>496</v>
      </c>
      <c r="O172" s="22"/>
      <c r="P172" s="22"/>
      <c r="Q172" s="22" t="s">
        <v>536</v>
      </c>
      <c r="R172" s="22" t="s">
        <v>496</v>
      </c>
      <c r="S172" s="22" t="s">
        <v>501</v>
      </c>
      <c r="T172" s="22" t="s">
        <v>496</v>
      </c>
      <c r="U172" s="22" t="s">
        <v>501</v>
      </c>
      <c r="V172" s="22" t="s">
        <v>510</v>
      </c>
      <c r="W172" s="22" t="s">
        <v>504</v>
      </c>
      <c r="X172" s="22" t="s">
        <v>541</v>
      </c>
      <c r="Y172" s="22" t="s">
        <v>545</v>
      </c>
      <c r="Z172" s="22" t="s">
        <v>552</v>
      </c>
      <c r="AA172" s="22" t="s">
        <v>545</v>
      </c>
      <c r="AB172" s="22" t="s">
        <v>553</v>
      </c>
      <c r="AC172" s="22" t="s">
        <v>545</v>
      </c>
      <c r="AD172" s="22" t="s">
        <v>511</v>
      </c>
      <c r="AE172" s="22" t="s">
        <v>509</v>
      </c>
    </row>
    <row r="173" spans="1:31" ht="20.25" hidden="1" customHeight="1" x14ac:dyDescent="0.15">
      <c r="A173" s="27" t="s">
        <v>605</v>
      </c>
      <c r="B173" s="21">
        <v>128</v>
      </c>
      <c r="C173" s="22" t="s">
        <v>38</v>
      </c>
      <c r="D173" s="22" t="s">
        <v>494</v>
      </c>
      <c r="E173" s="22" t="s">
        <v>494</v>
      </c>
      <c r="F173" s="22" t="s">
        <v>583</v>
      </c>
      <c r="G173" s="22" t="s">
        <v>496</v>
      </c>
      <c r="H173" s="22" t="s">
        <v>75</v>
      </c>
      <c r="I173" s="22" t="s">
        <v>368</v>
      </c>
      <c r="J173" s="22" t="s">
        <v>369</v>
      </c>
      <c r="K173" s="22" t="s">
        <v>498</v>
      </c>
      <c r="L173" s="22" t="s">
        <v>499</v>
      </c>
      <c r="M173" s="22" t="s">
        <v>496</v>
      </c>
      <c r="N173" s="22" t="s">
        <v>496</v>
      </c>
      <c r="O173" s="22"/>
      <c r="P173" s="22"/>
      <c r="Q173" s="22" t="s">
        <v>536</v>
      </c>
      <c r="R173" s="22" t="s">
        <v>496</v>
      </c>
      <c r="S173" s="22" t="s">
        <v>537</v>
      </c>
      <c r="T173" s="22" t="s">
        <v>496</v>
      </c>
      <c r="U173" s="22" t="s">
        <v>537</v>
      </c>
      <c r="V173" s="22" t="s">
        <v>538</v>
      </c>
      <c r="W173" s="22" t="s">
        <v>504</v>
      </c>
      <c r="X173" s="22" t="s">
        <v>541</v>
      </c>
      <c r="Y173" s="22" t="s">
        <v>545</v>
      </c>
      <c r="Z173" s="22" t="s">
        <v>552</v>
      </c>
      <c r="AA173" s="22" t="s">
        <v>545</v>
      </c>
      <c r="AB173" s="22" t="s">
        <v>553</v>
      </c>
      <c r="AC173" s="22" t="s">
        <v>545</v>
      </c>
      <c r="AD173" s="22" t="s">
        <v>476</v>
      </c>
      <c r="AE173" s="22" t="s">
        <v>509</v>
      </c>
    </row>
    <row r="174" spans="1:31" ht="20.25" hidden="1" customHeight="1" x14ac:dyDescent="0.15">
      <c r="A174" s="24" t="s">
        <v>626</v>
      </c>
      <c r="B174" s="21">
        <v>128</v>
      </c>
      <c r="C174" s="22" t="s">
        <v>38</v>
      </c>
      <c r="D174" s="22" t="s">
        <v>494</v>
      </c>
      <c r="E174" s="22" t="s">
        <v>494</v>
      </c>
      <c r="F174" s="22" t="s">
        <v>583</v>
      </c>
      <c r="G174" s="22" t="s">
        <v>496</v>
      </c>
      <c r="H174" s="22" t="s">
        <v>75</v>
      </c>
      <c r="I174" s="22" t="s">
        <v>368</v>
      </c>
      <c r="J174" s="22" t="s">
        <v>369</v>
      </c>
      <c r="K174" s="22" t="s">
        <v>498</v>
      </c>
      <c r="L174" s="22" t="s">
        <v>499</v>
      </c>
      <c r="M174" s="22" t="s">
        <v>496</v>
      </c>
      <c r="N174" s="22" t="s">
        <v>496</v>
      </c>
      <c r="O174" s="22"/>
      <c r="P174" s="22"/>
      <c r="Q174" s="22" t="s">
        <v>536</v>
      </c>
      <c r="R174" s="22" t="s">
        <v>496</v>
      </c>
      <c r="S174" s="22" t="s">
        <v>537</v>
      </c>
      <c r="T174" s="22" t="s">
        <v>496</v>
      </c>
      <c r="U174" s="22" t="s">
        <v>496</v>
      </c>
      <c r="V174" s="22" t="s">
        <v>581</v>
      </c>
      <c r="W174" s="22" t="s">
        <v>504</v>
      </c>
      <c r="X174" s="22" t="s">
        <v>553</v>
      </c>
      <c r="Y174" s="22" t="s">
        <v>545</v>
      </c>
      <c r="Z174" s="22" t="s">
        <v>552</v>
      </c>
      <c r="AA174" s="22" t="s">
        <v>545</v>
      </c>
      <c r="AB174" s="22" t="s">
        <v>553</v>
      </c>
      <c r="AC174" s="22" t="s">
        <v>545</v>
      </c>
      <c r="AD174" s="22" t="s">
        <v>685</v>
      </c>
      <c r="AE174" s="22" t="s">
        <v>509</v>
      </c>
    </row>
    <row r="175" spans="1:31" ht="20.25" hidden="1" customHeight="1" x14ac:dyDescent="0.15">
      <c r="A175" s="27" t="s">
        <v>605</v>
      </c>
      <c r="B175" s="21">
        <v>129</v>
      </c>
      <c r="C175" s="22" t="s">
        <v>38</v>
      </c>
      <c r="D175" s="22" t="s">
        <v>512</v>
      </c>
      <c r="E175" s="22" t="s">
        <v>494</v>
      </c>
      <c r="F175" s="22" t="s">
        <v>583</v>
      </c>
      <c r="G175" s="22" t="s">
        <v>496</v>
      </c>
      <c r="H175" s="22" t="s">
        <v>76</v>
      </c>
      <c r="I175" s="22" t="s">
        <v>420</v>
      </c>
      <c r="J175" s="22" t="s">
        <v>421</v>
      </c>
      <c r="K175" s="22" t="s">
        <v>498</v>
      </c>
      <c r="L175" s="22" t="s">
        <v>498</v>
      </c>
      <c r="M175" s="22" t="s">
        <v>496</v>
      </c>
      <c r="N175" s="22" t="s">
        <v>496</v>
      </c>
      <c r="O175" s="22"/>
      <c r="P175" s="22"/>
      <c r="Q175" s="22" t="s">
        <v>536</v>
      </c>
      <c r="R175" s="22" t="s">
        <v>496</v>
      </c>
      <c r="S175" s="22" t="s">
        <v>537</v>
      </c>
      <c r="T175" s="22" t="s">
        <v>496</v>
      </c>
      <c r="U175" s="22" t="s">
        <v>537</v>
      </c>
      <c r="V175" s="22" t="s">
        <v>538</v>
      </c>
      <c r="W175" s="22" t="s">
        <v>504</v>
      </c>
      <c r="X175" s="22" t="s">
        <v>504</v>
      </c>
      <c r="Y175" s="22" t="s">
        <v>545</v>
      </c>
      <c r="Z175" s="22" t="s">
        <v>499</v>
      </c>
      <c r="AA175" s="22" t="s">
        <v>545</v>
      </c>
      <c r="AB175" s="22" t="s">
        <v>541</v>
      </c>
      <c r="AC175" s="22" t="s">
        <v>545</v>
      </c>
      <c r="AD175" s="22" t="s">
        <v>476</v>
      </c>
      <c r="AE175" s="22" t="s">
        <v>509</v>
      </c>
    </row>
    <row r="176" spans="1:31" ht="20.25" hidden="1" customHeight="1" x14ac:dyDescent="0.15">
      <c r="A176" s="24" t="s">
        <v>626</v>
      </c>
      <c r="B176" s="21">
        <v>129</v>
      </c>
      <c r="C176" s="22" t="s">
        <v>38</v>
      </c>
      <c r="D176" s="22" t="s">
        <v>512</v>
      </c>
      <c r="E176" s="22" t="s">
        <v>494</v>
      </c>
      <c r="F176" s="22" t="s">
        <v>583</v>
      </c>
      <c r="G176" s="22" t="s">
        <v>496</v>
      </c>
      <c r="H176" s="22" t="s">
        <v>76</v>
      </c>
      <c r="I176" s="22" t="s">
        <v>420</v>
      </c>
      <c r="J176" s="22" t="s">
        <v>421</v>
      </c>
      <c r="K176" s="22" t="s">
        <v>498</v>
      </c>
      <c r="L176" s="22" t="s">
        <v>498</v>
      </c>
      <c r="M176" s="22" t="s">
        <v>496</v>
      </c>
      <c r="N176" s="22" t="s">
        <v>496</v>
      </c>
      <c r="O176" s="22"/>
      <c r="P176" s="22"/>
      <c r="Q176" s="22" t="s">
        <v>536</v>
      </c>
      <c r="R176" s="22" t="s">
        <v>496</v>
      </c>
      <c r="S176" s="22" t="s">
        <v>537</v>
      </c>
      <c r="T176" s="22" t="s">
        <v>496</v>
      </c>
      <c r="U176" s="22" t="s">
        <v>496</v>
      </c>
      <c r="V176" s="22" t="s">
        <v>581</v>
      </c>
      <c r="W176" s="22" t="s">
        <v>504</v>
      </c>
      <c r="X176" s="22" t="s">
        <v>541</v>
      </c>
      <c r="Y176" s="22" t="s">
        <v>545</v>
      </c>
      <c r="Z176" s="22" t="s">
        <v>499</v>
      </c>
      <c r="AA176" s="22" t="s">
        <v>545</v>
      </c>
      <c r="AB176" s="22" t="s">
        <v>541</v>
      </c>
      <c r="AC176" s="22" t="s">
        <v>545</v>
      </c>
      <c r="AD176" s="22" t="s">
        <v>582</v>
      </c>
      <c r="AE176" s="22" t="s">
        <v>509</v>
      </c>
    </row>
    <row r="177" spans="1:31" ht="20.25" hidden="1" customHeight="1" x14ac:dyDescent="0.15">
      <c r="A177" s="24" t="s">
        <v>626</v>
      </c>
      <c r="B177" s="21">
        <v>130</v>
      </c>
      <c r="C177" s="22" t="s">
        <v>38</v>
      </c>
      <c r="D177" s="22" t="s">
        <v>516</v>
      </c>
      <c r="E177" s="22" t="s">
        <v>494</v>
      </c>
      <c r="F177" s="22" t="s">
        <v>583</v>
      </c>
      <c r="G177" s="22" t="s">
        <v>496</v>
      </c>
      <c r="H177" s="22" t="s">
        <v>77</v>
      </c>
      <c r="I177" s="22" t="s">
        <v>126</v>
      </c>
      <c r="J177" s="22" t="s">
        <v>127</v>
      </c>
      <c r="K177" s="22" t="s">
        <v>498</v>
      </c>
      <c r="L177" s="22" t="s">
        <v>522</v>
      </c>
      <c r="M177" s="22" t="s">
        <v>496</v>
      </c>
      <c r="N177" s="22" t="s">
        <v>496</v>
      </c>
      <c r="O177" s="22"/>
      <c r="P177" s="22"/>
      <c r="Q177" s="22" t="s">
        <v>536</v>
      </c>
      <c r="R177" s="22" t="s">
        <v>496</v>
      </c>
      <c r="S177" s="22" t="s">
        <v>537</v>
      </c>
      <c r="T177" s="22" t="s">
        <v>496</v>
      </c>
      <c r="U177" s="22" t="s">
        <v>496</v>
      </c>
      <c r="V177" s="22" t="s">
        <v>581</v>
      </c>
      <c r="W177" s="22" t="s">
        <v>504</v>
      </c>
      <c r="X177" s="22" t="s">
        <v>541</v>
      </c>
      <c r="Y177" s="22" t="s">
        <v>545</v>
      </c>
      <c r="Z177" s="22" t="s">
        <v>499</v>
      </c>
      <c r="AA177" s="22" t="s">
        <v>545</v>
      </c>
      <c r="AB177" s="22" t="s">
        <v>541</v>
      </c>
      <c r="AC177" s="22" t="s">
        <v>545</v>
      </c>
      <c r="AD177" s="22" t="s">
        <v>582</v>
      </c>
      <c r="AE177" s="22" t="s">
        <v>509</v>
      </c>
    </row>
    <row r="178" spans="1:31" ht="20.25" hidden="1" customHeight="1" x14ac:dyDescent="0.15">
      <c r="A178" s="24" t="s">
        <v>626</v>
      </c>
      <c r="B178" s="21">
        <v>131</v>
      </c>
      <c r="C178" s="22" t="s">
        <v>539</v>
      </c>
      <c r="D178" s="22" t="s">
        <v>494</v>
      </c>
      <c r="E178" s="22" t="s">
        <v>494</v>
      </c>
      <c r="F178" s="22" t="s">
        <v>583</v>
      </c>
      <c r="G178" s="22" t="s">
        <v>496</v>
      </c>
      <c r="H178" s="22" t="s">
        <v>75</v>
      </c>
      <c r="I178" s="22" t="s">
        <v>120</v>
      </c>
      <c r="J178" s="22" t="s">
        <v>121</v>
      </c>
      <c r="K178" s="22" t="s">
        <v>498</v>
      </c>
      <c r="L178" s="22" t="s">
        <v>536</v>
      </c>
      <c r="M178" s="22" t="s">
        <v>496</v>
      </c>
      <c r="N178" s="22" t="s">
        <v>496</v>
      </c>
      <c r="O178" s="22"/>
      <c r="P178" s="22"/>
      <c r="Q178" s="22" t="s">
        <v>536</v>
      </c>
      <c r="R178" s="22" t="s">
        <v>496</v>
      </c>
      <c r="S178" s="22" t="s">
        <v>537</v>
      </c>
      <c r="T178" s="22" t="s">
        <v>496</v>
      </c>
      <c r="U178" s="22" t="s">
        <v>496</v>
      </c>
      <c r="V178" s="22" t="s">
        <v>581</v>
      </c>
      <c r="W178" s="22" t="s">
        <v>504</v>
      </c>
      <c r="X178" s="22" t="s">
        <v>553</v>
      </c>
      <c r="Y178" s="22" t="s">
        <v>545</v>
      </c>
      <c r="Z178" s="22" t="s">
        <v>552</v>
      </c>
      <c r="AA178" s="22" t="s">
        <v>545</v>
      </c>
      <c r="AB178" s="22" t="s">
        <v>553</v>
      </c>
      <c r="AC178" s="22" t="s">
        <v>545</v>
      </c>
      <c r="AD178" s="22" t="s">
        <v>582</v>
      </c>
      <c r="AE178" s="22" t="s">
        <v>509</v>
      </c>
    </row>
    <row r="179" spans="1:31" ht="20.25" hidden="1" customHeight="1" x14ac:dyDescent="0.15">
      <c r="A179" s="27" t="s">
        <v>605</v>
      </c>
      <c r="B179" s="21">
        <v>131</v>
      </c>
      <c r="C179" s="22" t="s">
        <v>539</v>
      </c>
      <c r="D179" s="22" t="s">
        <v>494</v>
      </c>
      <c r="E179" s="22" t="s">
        <v>494</v>
      </c>
      <c r="F179" s="22" t="s">
        <v>583</v>
      </c>
      <c r="G179" s="22" t="s">
        <v>496</v>
      </c>
      <c r="H179" s="22" t="s">
        <v>75</v>
      </c>
      <c r="I179" s="22" t="s">
        <v>120</v>
      </c>
      <c r="J179" s="22" t="s">
        <v>121</v>
      </c>
      <c r="K179" s="22" t="s">
        <v>498</v>
      </c>
      <c r="L179" s="22" t="s">
        <v>536</v>
      </c>
      <c r="M179" s="22" t="s">
        <v>496</v>
      </c>
      <c r="N179" s="22" t="s">
        <v>496</v>
      </c>
      <c r="O179" s="22"/>
      <c r="P179" s="22"/>
      <c r="Q179" s="22" t="s">
        <v>536</v>
      </c>
      <c r="R179" s="22" t="s">
        <v>496</v>
      </c>
      <c r="S179" s="22" t="s">
        <v>537</v>
      </c>
      <c r="T179" s="22" t="s">
        <v>496</v>
      </c>
      <c r="U179" s="22" t="s">
        <v>537</v>
      </c>
      <c r="V179" s="22" t="s">
        <v>538</v>
      </c>
      <c r="W179" s="22" t="s">
        <v>504</v>
      </c>
      <c r="X179" s="22" t="s">
        <v>541</v>
      </c>
      <c r="Y179" s="22" t="s">
        <v>545</v>
      </c>
      <c r="Z179" s="22" t="s">
        <v>552</v>
      </c>
      <c r="AA179" s="22" t="s">
        <v>545</v>
      </c>
      <c r="AB179" s="22" t="s">
        <v>553</v>
      </c>
      <c r="AC179" s="22" t="s">
        <v>545</v>
      </c>
      <c r="AD179" s="22" t="s">
        <v>476</v>
      </c>
      <c r="AE179" s="22" t="s">
        <v>509</v>
      </c>
    </row>
    <row r="180" spans="1:31" ht="20.25" hidden="1" customHeight="1" x14ac:dyDescent="0.15">
      <c r="A180" s="24" t="s">
        <v>626</v>
      </c>
      <c r="B180" s="21">
        <v>132</v>
      </c>
      <c r="C180" s="22" t="s">
        <v>540</v>
      </c>
      <c r="D180" s="22" t="s">
        <v>494</v>
      </c>
      <c r="E180" s="22" t="s">
        <v>494</v>
      </c>
      <c r="F180" s="22" t="s">
        <v>583</v>
      </c>
      <c r="G180" s="22" t="s">
        <v>496</v>
      </c>
      <c r="H180" s="22" t="s">
        <v>75</v>
      </c>
      <c r="I180" s="22" t="s">
        <v>124</v>
      </c>
      <c r="J180" s="22" t="s">
        <v>125</v>
      </c>
      <c r="K180" s="22" t="s">
        <v>498</v>
      </c>
      <c r="L180" s="22" t="s">
        <v>541</v>
      </c>
      <c r="M180" s="22" t="s">
        <v>496</v>
      </c>
      <c r="N180" s="22" t="s">
        <v>496</v>
      </c>
      <c r="O180" s="22"/>
      <c r="P180" s="22"/>
      <c r="Q180" s="22" t="s">
        <v>536</v>
      </c>
      <c r="R180" s="22" t="s">
        <v>496</v>
      </c>
      <c r="S180" s="22" t="s">
        <v>537</v>
      </c>
      <c r="T180" s="22" t="s">
        <v>496</v>
      </c>
      <c r="U180" s="22" t="s">
        <v>496</v>
      </c>
      <c r="V180" s="22" t="s">
        <v>581</v>
      </c>
      <c r="W180" s="22" t="s">
        <v>504</v>
      </c>
      <c r="X180" s="22" t="s">
        <v>553</v>
      </c>
      <c r="Y180" s="22" t="s">
        <v>545</v>
      </c>
      <c r="Z180" s="22" t="s">
        <v>552</v>
      </c>
      <c r="AA180" s="22" t="s">
        <v>545</v>
      </c>
      <c r="AB180" s="22" t="s">
        <v>553</v>
      </c>
      <c r="AC180" s="22" t="s">
        <v>545</v>
      </c>
      <c r="AD180" s="22" t="s">
        <v>582</v>
      </c>
      <c r="AE180" s="22" t="s">
        <v>509</v>
      </c>
    </row>
    <row r="181" spans="1:31" ht="20.25" hidden="1" customHeight="1" x14ac:dyDescent="0.15">
      <c r="A181" s="27" t="s">
        <v>605</v>
      </c>
      <c r="B181" s="21">
        <v>132</v>
      </c>
      <c r="C181" s="22" t="s">
        <v>540</v>
      </c>
      <c r="D181" s="22" t="s">
        <v>494</v>
      </c>
      <c r="E181" s="22" t="s">
        <v>494</v>
      </c>
      <c r="F181" s="22" t="s">
        <v>583</v>
      </c>
      <c r="G181" s="22" t="s">
        <v>496</v>
      </c>
      <c r="H181" s="22" t="s">
        <v>75</v>
      </c>
      <c r="I181" s="22" t="s">
        <v>124</v>
      </c>
      <c r="J181" s="22" t="s">
        <v>125</v>
      </c>
      <c r="K181" s="22" t="s">
        <v>498</v>
      </c>
      <c r="L181" s="22" t="s">
        <v>541</v>
      </c>
      <c r="M181" s="22" t="s">
        <v>496</v>
      </c>
      <c r="N181" s="22" t="s">
        <v>496</v>
      </c>
      <c r="O181" s="22"/>
      <c r="P181" s="22"/>
      <c r="Q181" s="22" t="s">
        <v>536</v>
      </c>
      <c r="R181" s="22" t="s">
        <v>496</v>
      </c>
      <c r="S181" s="22" t="s">
        <v>537</v>
      </c>
      <c r="T181" s="22" t="s">
        <v>496</v>
      </c>
      <c r="U181" s="22" t="s">
        <v>537</v>
      </c>
      <c r="V181" s="22" t="s">
        <v>538</v>
      </c>
      <c r="W181" s="22" t="s">
        <v>504</v>
      </c>
      <c r="X181" s="22" t="s">
        <v>541</v>
      </c>
      <c r="Y181" s="22" t="s">
        <v>545</v>
      </c>
      <c r="Z181" s="22" t="s">
        <v>552</v>
      </c>
      <c r="AA181" s="22" t="s">
        <v>545</v>
      </c>
      <c r="AB181" s="22" t="s">
        <v>553</v>
      </c>
      <c r="AC181" s="22" t="s">
        <v>545</v>
      </c>
      <c r="AD181" s="22" t="s">
        <v>476</v>
      </c>
      <c r="AE181" s="22" t="s">
        <v>509</v>
      </c>
    </row>
    <row r="182" spans="1:31" ht="20.25" hidden="1" customHeight="1" x14ac:dyDescent="0.15">
      <c r="A182" s="22" t="s">
        <v>586</v>
      </c>
      <c r="B182" s="21">
        <v>133</v>
      </c>
      <c r="C182" s="22" t="s">
        <v>493</v>
      </c>
      <c r="D182" s="22" t="s">
        <v>494</v>
      </c>
      <c r="E182" s="22" t="s">
        <v>494</v>
      </c>
      <c r="F182" s="22" t="s">
        <v>82</v>
      </c>
      <c r="G182" s="22" t="s">
        <v>541</v>
      </c>
      <c r="H182" s="22" t="s">
        <v>83</v>
      </c>
      <c r="I182" s="22" t="s">
        <v>264</v>
      </c>
      <c r="J182" s="22" t="s">
        <v>265</v>
      </c>
      <c r="K182" s="22" t="s">
        <v>498</v>
      </c>
      <c r="L182" s="22" t="s">
        <v>499</v>
      </c>
      <c r="M182" s="22" t="s">
        <v>496</v>
      </c>
      <c r="N182" s="22" t="s">
        <v>496</v>
      </c>
      <c r="O182" s="22"/>
      <c r="P182" s="22"/>
      <c r="Q182" s="22" t="s">
        <v>541</v>
      </c>
      <c r="R182" s="22" t="s">
        <v>496</v>
      </c>
      <c r="S182" s="22" t="s">
        <v>501</v>
      </c>
      <c r="T182" s="22" t="s">
        <v>496</v>
      </c>
      <c r="U182" s="22" t="s">
        <v>496</v>
      </c>
      <c r="V182" s="22" t="s">
        <v>584</v>
      </c>
      <c r="W182" s="22" t="s">
        <v>585</v>
      </c>
      <c r="X182" s="22" t="s">
        <v>541</v>
      </c>
      <c r="Y182" s="22" t="s">
        <v>504</v>
      </c>
      <c r="Z182" s="22" t="s">
        <v>500</v>
      </c>
      <c r="AA182" s="22" t="s">
        <v>545</v>
      </c>
      <c r="AB182" s="22" t="s">
        <v>541</v>
      </c>
      <c r="AC182" s="22" t="s">
        <v>545</v>
      </c>
      <c r="AD182" s="22" t="s">
        <v>586</v>
      </c>
      <c r="AE182" s="22" t="s">
        <v>554</v>
      </c>
    </row>
    <row r="183" spans="1:31" ht="20.25" hidden="1" customHeight="1" x14ac:dyDescent="0.15">
      <c r="A183" s="27" t="s">
        <v>605</v>
      </c>
      <c r="B183" s="21">
        <v>133</v>
      </c>
      <c r="C183" s="22" t="s">
        <v>493</v>
      </c>
      <c r="D183" s="22" t="s">
        <v>494</v>
      </c>
      <c r="E183" s="22" t="s">
        <v>494</v>
      </c>
      <c r="F183" s="22" t="s">
        <v>82</v>
      </c>
      <c r="G183" s="22" t="s">
        <v>541</v>
      </c>
      <c r="H183" s="22" t="s">
        <v>83</v>
      </c>
      <c r="I183" s="22" t="s">
        <v>264</v>
      </c>
      <c r="J183" s="22" t="s">
        <v>265</v>
      </c>
      <c r="K183" s="22" t="s">
        <v>498</v>
      </c>
      <c r="L183" s="22" t="s">
        <v>499</v>
      </c>
      <c r="M183" s="22" t="s">
        <v>496</v>
      </c>
      <c r="N183" s="22" t="s">
        <v>496</v>
      </c>
      <c r="O183" s="22"/>
      <c r="P183" s="22"/>
      <c r="Q183" s="22"/>
      <c r="R183" s="22" t="s">
        <v>496</v>
      </c>
      <c r="S183" s="22" t="s">
        <v>501</v>
      </c>
      <c r="T183" s="22" t="s">
        <v>496</v>
      </c>
      <c r="U183" s="22" t="s">
        <v>501</v>
      </c>
      <c r="V183" s="22" t="s">
        <v>510</v>
      </c>
      <c r="W183" s="22" t="s">
        <v>504</v>
      </c>
      <c r="X183" s="22" t="s">
        <v>541</v>
      </c>
      <c r="Y183" s="22" t="s">
        <v>545</v>
      </c>
      <c r="Z183" s="22" t="s">
        <v>500</v>
      </c>
      <c r="AA183" s="22" t="s">
        <v>545</v>
      </c>
      <c r="AB183" s="22" t="s">
        <v>541</v>
      </c>
      <c r="AC183" s="22" t="s">
        <v>545</v>
      </c>
      <c r="AD183" s="22" t="s">
        <v>511</v>
      </c>
      <c r="AE183" s="22" t="s">
        <v>509</v>
      </c>
    </row>
    <row r="184" spans="1:31" ht="20.25" hidden="1" customHeight="1" x14ac:dyDescent="0.15">
      <c r="A184" s="27" t="s">
        <v>605</v>
      </c>
      <c r="B184" s="21">
        <v>134</v>
      </c>
      <c r="C184" s="22" t="s">
        <v>493</v>
      </c>
      <c r="D184" s="22" t="s">
        <v>512</v>
      </c>
      <c r="E184" s="22" t="s">
        <v>494</v>
      </c>
      <c r="F184" s="22" t="s">
        <v>82</v>
      </c>
      <c r="G184" s="22" t="s">
        <v>541</v>
      </c>
      <c r="H184" s="22" t="s">
        <v>84</v>
      </c>
      <c r="I184" s="22" t="s">
        <v>296</v>
      </c>
      <c r="J184" s="22" t="s">
        <v>297</v>
      </c>
      <c r="K184" s="22" t="s">
        <v>498</v>
      </c>
      <c r="L184" s="22" t="s">
        <v>498</v>
      </c>
      <c r="M184" s="22" t="s">
        <v>496</v>
      </c>
      <c r="N184" s="22" t="s">
        <v>496</v>
      </c>
      <c r="O184" s="22"/>
      <c r="P184" s="22"/>
      <c r="Q184" s="22"/>
      <c r="R184" s="22" t="s">
        <v>496</v>
      </c>
      <c r="S184" s="22" t="s">
        <v>501</v>
      </c>
      <c r="T184" s="22" t="s">
        <v>496</v>
      </c>
      <c r="U184" s="22" t="s">
        <v>501</v>
      </c>
      <c r="V184" s="22" t="s">
        <v>510</v>
      </c>
      <c r="W184" s="22" t="s">
        <v>504</v>
      </c>
      <c r="X184" s="22" t="s">
        <v>504</v>
      </c>
      <c r="Y184" s="22" t="s">
        <v>545</v>
      </c>
      <c r="Z184" s="22" t="s">
        <v>499</v>
      </c>
      <c r="AA184" s="22" t="s">
        <v>545</v>
      </c>
      <c r="AB184" s="22" t="s">
        <v>541</v>
      </c>
      <c r="AC184" s="22" t="s">
        <v>545</v>
      </c>
      <c r="AD184" s="22" t="s">
        <v>511</v>
      </c>
      <c r="AE184" s="22" t="s">
        <v>509</v>
      </c>
    </row>
    <row r="185" spans="1:31" ht="20.25" hidden="1" customHeight="1" x14ac:dyDescent="0.15">
      <c r="A185" s="22" t="s">
        <v>586</v>
      </c>
      <c r="B185" s="21">
        <v>134</v>
      </c>
      <c r="C185" s="22" t="s">
        <v>493</v>
      </c>
      <c r="D185" s="22" t="s">
        <v>512</v>
      </c>
      <c r="E185" s="22" t="s">
        <v>494</v>
      </c>
      <c r="F185" s="22" t="s">
        <v>82</v>
      </c>
      <c r="G185" s="22" t="s">
        <v>541</v>
      </c>
      <c r="H185" s="22" t="s">
        <v>84</v>
      </c>
      <c r="I185" s="22" t="s">
        <v>296</v>
      </c>
      <c r="J185" s="22" t="s">
        <v>297</v>
      </c>
      <c r="K185" s="22" t="s">
        <v>498</v>
      </c>
      <c r="L185" s="22" t="s">
        <v>498</v>
      </c>
      <c r="M185" s="22" t="s">
        <v>496</v>
      </c>
      <c r="N185" s="22" t="s">
        <v>496</v>
      </c>
      <c r="O185" s="22"/>
      <c r="P185" s="22"/>
      <c r="Q185" s="22"/>
      <c r="R185" s="22" t="s">
        <v>496</v>
      </c>
      <c r="S185" s="22" t="s">
        <v>501</v>
      </c>
      <c r="T185" s="22" t="s">
        <v>496</v>
      </c>
      <c r="U185" s="22" t="s">
        <v>496</v>
      </c>
      <c r="V185" s="22" t="s">
        <v>584</v>
      </c>
      <c r="W185" s="22" t="s">
        <v>585</v>
      </c>
      <c r="X185" s="22" t="s">
        <v>541</v>
      </c>
      <c r="Y185" s="22" t="s">
        <v>504</v>
      </c>
      <c r="Z185" s="22" t="s">
        <v>499</v>
      </c>
      <c r="AA185" s="22" t="s">
        <v>545</v>
      </c>
      <c r="AB185" s="22" t="s">
        <v>541</v>
      </c>
      <c r="AC185" s="22" t="s">
        <v>545</v>
      </c>
      <c r="AD185" s="22" t="s">
        <v>586</v>
      </c>
      <c r="AE185" s="22" t="s">
        <v>554</v>
      </c>
    </row>
    <row r="186" spans="1:31" ht="20.25" hidden="1" customHeight="1" x14ac:dyDescent="0.15">
      <c r="A186" s="22" t="s">
        <v>586</v>
      </c>
      <c r="B186" s="21">
        <v>135</v>
      </c>
      <c r="C186" s="22" t="s">
        <v>493</v>
      </c>
      <c r="D186" s="22" t="s">
        <v>516</v>
      </c>
      <c r="E186" s="22" t="s">
        <v>494</v>
      </c>
      <c r="F186" s="22" t="s">
        <v>82</v>
      </c>
      <c r="G186" s="22" t="s">
        <v>541</v>
      </c>
      <c r="H186" s="22" t="s">
        <v>85</v>
      </c>
      <c r="I186" s="22" t="s">
        <v>278</v>
      </c>
      <c r="J186" s="22" t="s">
        <v>279</v>
      </c>
      <c r="K186" s="22" t="s">
        <v>498</v>
      </c>
      <c r="L186" s="22" t="s">
        <v>522</v>
      </c>
      <c r="M186" s="22" t="s">
        <v>496</v>
      </c>
      <c r="N186" s="22" t="s">
        <v>496</v>
      </c>
      <c r="O186" s="22"/>
      <c r="P186" s="22"/>
      <c r="Q186" s="22"/>
      <c r="R186" s="22" t="s">
        <v>496</v>
      </c>
      <c r="S186" s="22" t="s">
        <v>501</v>
      </c>
      <c r="T186" s="22" t="s">
        <v>496</v>
      </c>
      <c r="U186" s="22" t="s">
        <v>496</v>
      </c>
      <c r="V186" s="22" t="s">
        <v>584</v>
      </c>
      <c r="W186" s="22" t="s">
        <v>585</v>
      </c>
      <c r="X186" s="22" t="s">
        <v>541</v>
      </c>
      <c r="Y186" s="22" t="s">
        <v>504</v>
      </c>
      <c r="Z186" s="22" t="s">
        <v>499</v>
      </c>
      <c r="AA186" s="22" t="s">
        <v>545</v>
      </c>
      <c r="AB186" s="22" t="s">
        <v>541</v>
      </c>
      <c r="AC186" s="22" t="s">
        <v>545</v>
      </c>
      <c r="AD186" s="22" t="s">
        <v>586</v>
      </c>
      <c r="AE186" s="22" t="s">
        <v>554</v>
      </c>
    </row>
    <row r="187" spans="1:31" ht="20.25" hidden="1" customHeight="1" x14ac:dyDescent="0.15">
      <c r="A187" s="22" t="s">
        <v>586</v>
      </c>
      <c r="B187" s="21">
        <v>136</v>
      </c>
      <c r="C187" s="22" t="s">
        <v>535</v>
      </c>
      <c r="D187" s="22" t="s">
        <v>494</v>
      </c>
      <c r="E187" s="22" t="s">
        <v>494</v>
      </c>
      <c r="F187" s="22" t="s">
        <v>82</v>
      </c>
      <c r="G187" s="22" t="s">
        <v>541</v>
      </c>
      <c r="H187" s="22" t="s">
        <v>83</v>
      </c>
      <c r="I187" s="22" t="s">
        <v>250</v>
      </c>
      <c r="J187" s="22" t="s">
        <v>251</v>
      </c>
      <c r="K187" s="22" t="s">
        <v>498</v>
      </c>
      <c r="L187" s="22" t="s">
        <v>536</v>
      </c>
      <c r="M187" s="22" t="s">
        <v>496</v>
      </c>
      <c r="N187" s="22" t="s">
        <v>496</v>
      </c>
      <c r="O187" s="22"/>
      <c r="P187" s="22"/>
      <c r="Q187" s="22"/>
      <c r="R187" s="22" t="s">
        <v>496</v>
      </c>
      <c r="S187" s="22" t="s">
        <v>501</v>
      </c>
      <c r="T187" s="22" t="s">
        <v>496</v>
      </c>
      <c r="U187" s="22" t="s">
        <v>496</v>
      </c>
      <c r="V187" s="22" t="s">
        <v>584</v>
      </c>
      <c r="W187" s="22" t="s">
        <v>585</v>
      </c>
      <c r="X187" s="22" t="s">
        <v>541</v>
      </c>
      <c r="Y187" s="22" t="s">
        <v>504</v>
      </c>
      <c r="Z187" s="22" t="s">
        <v>500</v>
      </c>
      <c r="AA187" s="22" t="s">
        <v>545</v>
      </c>
      <c r="AB187" s="22" t="s">
        <v>541</v>
      </c>
      <c r="AC187" s="22" t="s">
        <v>545</v>
      </c>
      <c r="AD187" s="22" t="s">
        <v>586</v>
      </c>
      <c r="AE187" s="22" t="s">
        <v>554</v>
      </c>
    </row>
    <row r="188" spans="1:31" ht="20.25" hidden="1" customHeight="1" x14ac:dyDescent="0.15">
      <c r="A188" s="27" t="s">
        <v>605</v>
      </c>
      <c r="B188" s="21">
        <v>136</v>
      </c>
      <c r="C188" s="22" t="s">
        <v>535</v>
      </c>
      <c r="D188" s="22" t="s">
        <v>494</v>
      </c>
      <c r="E188" s="22" t="s">
        <v>494</v>
      </c>
      <c r="F188" s="22" t="s">
        <v>82</v>
      </c>
      <c r="G188" s="22" t="s">
        <v>541</v>
      </c>
      <c r="H188" s="22" t="s">
        <v>83</v>
      </c>
      <c r="I188" s="22" t="s">
        <v>250</v>
      </c>
      <c r="J188" s="22" t="s">
        <v>251</v>
      </c>
      <c r="K188" s="22" t="s">
        <v>498</v>
      </c>
      <c r="L188" s="22" t="s">
        <v>536</v>
      </c>
      <c r="M188" s="22" t="s">
        <v>496</v>
      </c>
      <c r="N188" s="22" t="s">
        <v>496</v>
      </c>
      <c r="O188" s="22"/>
      <c r="P188" s="22"/>
      <c r="Q188" s="22"/>
      <c r="R188" s="22" t="s">
        <v>496</v>
      </c>
      <c r="S188" s="22" t="s">
        <v>501</v>
      </c>
      <c r="T188" s="22" t="s">
        <v>496</v>
      </c>
      <c r="U188" s="22" t="s">
        <v>501</v>
      </c>
      <c r="V188" s="22" t="s">
        <v>510</v>
      </c>
      <c r="W188" s="22" t="s">
        <v>504</v>
      </c>
      <c r="X188" s="22" t="s">
        <v>541</v>
      </c>
      <c r="Y188" s="22" t="s">
        <v>545</v>
      </c>
      <c r="Z188" s="22" t="s">
        <v>500</v>
      </c>
      <c r="AA188" s="22" t="s">
        <v>545</v>
      </c>
      <c r="AB188" s="22" t="s">
        <v>541</v>
      </c>
      <c r="AC188" s="22" t="s">
        <v>545</v>
      </c>
      <c r="AD188" s="22" t="s">
        <v>511</v>
      </c>
      <c r="AE188" s="22" t="s">
        <v>509</v>
      </c>
    </row>
    <row r="189" spans="1:31" ht="20.25" hidden="1" customHeight="1" x14ac:dyDescent="0.15">
      <c r="A189" s="27" t="s">
        <v>605</v>
      </c>
      <c r="B189" s="21">
        <v>137</v>
      </c>
      <c r="C189" s="22" t="s">
        <v>567</v>
      </c>
      <c r="D189" s="22" t="s">
        <v>494</v>
      </c>
      <c r="E189" s="22" t="s">
        <v>494</v>
      </c>
      <c r="F189" s="22" t="s">
        <v>82</v>
      </c>
      <c r="G189" s="22" t="s">
        <v>541</v>
      </c>
      <c r="H189" s="22" t="s">
        <v>83</v>
      </c>
      <c r="I189" s="22" t="s">
        <v>252</v>
      </c>
      <c r="J189" s="22" t="s">
        <v>253</v>
      </c>
      <c r="K189" s="22" t="s">
        <v>498</v>
      </c>
      <c r="L189" s="22" t="s">
        <v>541</v>
      </c>
      <c r="M189" s="22" t="s">
        <v>496</v>
      </c>
      <c r="N189" s="22" t="s">
        <v>496</v>
      </c>
      <c r="O189" s="22"/>
      <c r="P189" s="22"/>
      <c r="Q189" s="22"/>
      <c r="R189" s="22" t="s">
        <v>496</v>
      </c>
      <c r="S189" s="22" t="s">
        <v>501</v>
      </c>
      <c r="T189" s="22" t="s">
        <v>496</v>
      </c>
      <c r="U189" s="22" t="s">
        <v>501</v>
      </c>
      <c r="V189" s="22" t="s">
        <v>510</v>
      </c>
      <c r="W189" s="22" t="s">
        <v>504</v>
      </c>
      <c r="X189" s="22" t="s">
        <v>541</v>
      </c>
      <c r="Y189" s="22" t="s">
        <v>545</v>
      </c>
      <c r="Z189" s="22" t="s">
        <v>500</v>
      </c>
      <c r="AA189" s="22" t="s">
        <v>545</v>
      </c>
      <c r="AB189" s="22" t="s">
        <v>541</v>
      </c>
      <c r="AC189" s="22" t="s">
        <v>545</v>
      </c>
      <c r="AD189" s="22" t="s">
        <v>511</v>
      </c>
      <c r="AE189" s="22" t="s">
        <v>509</v>
      </c>
    </row>
    <row r="190" spans="1:31" ht="20.25" hidden="1" customHeight="1" x14ac:dyDescent="0.15">
      <c r="A190" s="22" t="s">
        <v>586</v>
      </c>
      <c r="B190" s="21">
        <v>137</v>
      </c>
      <c r="C190" s="22" t="s">
        <v>567</v>
      </c>
      <c r="D190" s="22" t="s">
        <v>494</v>
      </c>
      <c r="E190" s="22" t="s">
        <v>494</v>
      </c>
      <c r="F190" s="22" t="s">
        <v>82</v>
      </c>
      <c r="G190" s="22" t="s">
        <v>541</v>
      </c>
      <c r="H190" s="22" t="s">
        <v>83</v>
      </c>
      <c r="I190" s="22" t="s">
        <v>252</v>
      </c>
      <c r="J190" s="22" t="s">
        <v>253</v>
      </c>
      <c r="K190" s="22" t="s">
        <v>498</v>
      </c>
      <c r="L190" s="22" t="s">
        <v>541</v>
      </c>
      <c r="M190" s="22" t="s">
        <v>496</v>
      </c>
      <c r="N190" s="22" t="s">
        <v>496</v>
      </c>
      <c r="O190" s="22"/>
      <c r="P190" s="22"/>
      <c r="Q190" s="22"/>
      <c r="R190" s="22" t="s">
        <v>496</v>
      </c>
      <c r="S190" s="22" t="s">
        <v>501</v>
      </c>
      <c r="T190" s="22" t="s">
        <v>496</v>
      </c>
      <c r="U190" s="22" t="s">
        <v>496</v>
      </c>
      <c r="V190" s="22" t="s">
        <v>584</v>
      </c>
      <c r="W190" s="22" t="s">
        <v>585</v>
      </c>
      <c r="X190" s="22" t="s">
        <v>541</v>
      </c>
      <c r="Y190" s="22" t="s">
        <v>504</v>
      </c>
      <c r="Z190" s="22" t="s">
        <v>500</v>
      </c>
      <c r="AA190" s="22" t="s">
        <v>545</v>
      </c>
      <c r="AB190" s="22" t="s">
        <v>541</v>
      </c>
      <c r="AC190" s="22" t="s">
        <v>545</v>
      </c>
      <c r="AD190" s="22" t="s">
        <v>586</v>
      </c>
      <c r="AE190" s="22" t="s">
        <v>554</v>
      </c>
    </row>
    <row r="191" spans="1:31" ht="20.25" hidden="1" customHeight="1" x14ac:dyDescent="0.15">
      <c r="A191" s="27" t="s">
        <v>605</v>
      </c>
      <c r="B191" s="21">
        <v>138</v>
      </c>
      <c r="C191" s="22" t="s">
        <v>38</v>
      </c>
      <c r="D191" s="22" t="s">
        <v>494</v>
      </c>
      <c r="E191" s="22" t="s">
        <v>494</v>
      </c>
      <c r="F191" s="22" t="s">
        <v>82</v>
      </c>
      <c r="G191" s="22" t="s">
        <v>541</v>
      </c>
      <c r="H191" s="22" t="s">
        <v>83</v>
      </c>
      <c r="I191" s="22" t="s">
        <v>300</v>
      </c>
      <c r="J191" s="22" t="s">
        <v>301</v>
      </c>
      <c r="K191" s="22" t="s">
        <v>498</v>
      </c>
      <c r="L191" s="22" t="s">
        <v>499</v>
      </c>
      <c r="M191" s="22" t="s">
        <v>496</v>
      </c>
      <c r="N191" s="22" t="s">
        <v>496</v>
      </c>
      <c r="O191" s="22"/>
      <c r="P191" s="22"/>
      <c r="Q191" s="22"/>
      <c r="R191" s="22" t="s">
        <v>496</v>
      </c>
      <c r="S191" s="22" t="s">
        <v>537</v>
      </c>
      <c r="T191" s="22" t="s">
        <v>496</v>
      </c>
      <c r="U191" s="22" t="s">
        <v>537</v>
      </c>
      <c r="V191" s="22" t="s">
        <v>538</v>
      </c>
      <c r="W191" s="22" t="s">
        <v>504</v>
      </c>
      <c r="X191" s="22" t="s">
        <v>541</v>
      </c>
      <c r="Y191" s="22" t="s">
        <v>545</v>
      </c>
      <c r="Z191" s="22" t="s">
        <v>500</v>
      </c>
      <c r="AA191" s="22" t="s">
        <v>545</v>
      </c>
      <c r="AB191" s="22" t="s">
        <v>541</v>
      </c>
      <c r="AC191" s="22" t="s">
        <v>545</v>
      </c>
      <c r="AD191" s="22" t="s">
        <v>476</v>
      </c>
      <c r="AE191" s="22" t="s">
        <v>509</v>
      </c>
    </row>
    <row r="192" spans="1:31" ht="20.25" hidden="1" customHeight="1" x14ac:dyDescent="0.15">
      <c r="A192" s="22" t="s">
        <v>586</v>
      </c>
      <c r="B192" s="21">
        <v>138</v>
      </c>
      <c r="C192" s="22" t="s">
        <v>38</v>
      </c>
      <c r="D192" s="22" t="s">
        <v>494</v>
      </c>
      <c r="E192" s="22" t="s">
        <v>494</v>
      </c>
      <c r="F192" s="22" t="s">
        <v>82</v>
      </c>
      <c r="G192" s="22" t="s">
        <v>541</v>
      </c>
      <c r="H192" s="22" t="s">
        <v>83</v>
      </c>
      <c r="I192" s="22" t="s">
        <v>300</v>
      </c>
      <c r="J192" s="22" t="s">
        <v>301</v>
      </c>
      <c r="K192" s="22" t="s">
        <v>498</v>
      </c>
      <c r="L192" s="22" t="s">
        <v>499</v>
      </c>
      <c r="M192" s="22" t="s">
        <v>496</v>
      </c>
      <c r="N192" s="22" t="s">
        <v>496</v>
      </c>
      <c r="O192" s="22"/>
      <c r="P192" s="22"/>
      <c r="Q192" s="22"/>
      <c r="R192" s="22" t="s">
        <v>496</v>
      </c>
      <c r="S192" s="22" t="s">
        <v>537</v>
      </c>
      <c r="T192" s="22" t="s">
        <v>496</v>
      </c>
      <c r="U192" s="22" t="s">
        <v>496</v>
      </c>
      <c r="V192" s="22" t="s">
        <v>584</v>
      </c>
      <c r="W192" s="22" t="s">
        <v>585</v>
      </c>
      <c r="X192" s="22" t="s">
        <v>541</v>
      </c>
      <c r="Y192" s="22" t="s">
        <v>504</v>
      </c>
      <c r="Z192" s="22" t="s">
        <v>500</v>
      </c>
      <c r="AA192" s="22" t="s">
        <v>545</v>
      </c>
      <c r="AB192" s="22" t="s">
        <v>541</v>
      </c>
      <c r="AC192" s="22" t="s">
        <v>545</v>
      </c>
      <c r="AD192" s="22" t="s">
        <v>586</v>
      </c>
      <c r="AE192" s="22" t="s">
        <v>554</v>
      </c>
    </row>
    <row r="193" spans="1:31" ht="20.25" hidden="1" customHeight="1" x14ac:dyDescent="0.15">
      <c r="A193" s="22" t="s">
        <v>586</v>
      </c>
      <c r="B193" s="21">
        <v>139</v>
      </c>
      <c r="C193" s="22" t="s">
        <v>38</v>
      </c>
      <c r="D193" s="22" t="s">
        <v>512</v>
      </c>
      <c r="E193" s="22" t="s">
        <v>494</v>
      </c>
      <c r="F193" s="22" t="s">
        <v>82</v>
      </c>
      <c r="G193" s="22" t="s">
        <v>541</v>
      </c>
      <c r="H193" s="22" t="s">
        <v>84</v>
      </c>
      <c r="I193" s="22" t="s">
        <v>260</v>
      </c>
      <c r="J193" s="22" t="s">
        <v>261</v>
      </c>
      <c r="K193" s="22" t="s">
        <v>498</v>
      </c>
      <c r="L193" s="22" t="s">
        <v>498</v>
      </c>
      <c r="M193" s="22" t="s">
        <v>496</v>
      </c>
      <c r="N193" s="22" t="s">
        <v>496</v>
      </c>
      <c r="O193" s="22"/>
      <c r="P193" s="22"/>
      <c r="Q193" s="22"/>
      <c r="R193" s="22" t="s">
        <v>496</v>
      </c>
      <c r="S193" s="22" t="s">
        <v>537</v>
      </c>
      <c r="T193" s="22" t="s">
        <v>496</v>
      </c>
      <c r="U193" s="22" t="s">
        <v>496</v>
      </c>
      <c r="V193" s="22" t="s">
        <v>584</v>
      </c>
      <c r="W193" s="22" t="s">
        <v>585</v>
      </c>
      <c r="X193" s="22" t="s">
        <v>541</v>
      </c>
      <c r="Y193" s="22" t="s">
        <v>504</v>
      </c>
      <c r="Z193" s="22" t="s">
        <v>499</v>
      </c>
      <c r="AA193" s="22" t="s">
        <v>545</v>
      </c>
      <c r="AB193" s="22" t="s">
        <v>541</v>
      </c>
      <c r="AC193" s="22" t="s">
        <v>545</v>
      </c>
      <c r="AD193" s="22" t="s">
        <v>586</v>
      </c>
      <c r="AE193" s="22" t="s">
        <v>554</v>
      </c>
    </row>
    <row r="194" spans="1:31" ht="20.25" hidden="1" customHeight="1" x14ac:dyDescent="0.15">
      <c r="A194" s="27" t="s">
        <v>605</v>
      </c>
      <c r="B194" s="21">
        <v>139</v>
      </c>
      <c r="C194" s="22" t="s">
        <v>38</v>
      </c>
      <c r="D194" s="22" t="s">
        <v>512</v>
      </c>
      <c r="E194" s="22" t="s">
        <v>494</v>
      </c>
      <c r="F194" s="22" t="s">
        <v>82</v>
      </c>
      <c r="G194" s="22" t="s">
        <v>541</v>
      </c>
      <c r="H194" s="22" t="s">
        <v>84</v>
      </c>
      <c r="I194" s="22" t="s">
        <v>260</v>
      </c>
      <c r="J194" s="22" t="s">
        <v>261</v>
      </c>
      <c r="K194" s="22" t="s">
        <v>498</v>
      </c>
      <c r="L194" s="22" t="s">
        <v>498</v>
      </c>
      <c r="M194" s="22" t="s">
        <v>496</v>
      </c>
      <c r="N194" s="22" t="s">
        <v>496</v>
      </c>
      <c r="O194" s="22"/>
      <c r="P194" s="22"/>
      <c r="Q194" s="22"/>
      <c r="R194" s="22" t="s">
        <v>496</v>
      </c>
      <c r="S194" s="22" t="s">
        <v>537</v>
      </c>
      <c r="T194" s="22" t="s">
        <v>496</v>
      </c>
      <c r="U194" s="22" t="s">
        <v>537</v>
      </c>
      <c r="V194" s="22" t="s">
        <v>538</v>
      </c>
      <c r="W194" s="22" t="s">
        <v>504</v>
      </c>
      <c r="X194" s="22" t="s">
        <v>504</v>
      </c>
      <c r="Y194" s="22" t="s">
        <v>545</v>
      </c>
      <c r="Z194" s="22" t="s">
        <v>499</v>
      </c>
      <c r="AA194" s="22" t="s">
        <v>545</v>
      </c>
      <c r="AB194" s="22" t="s">
        <v>541</v>
      </c>
      <c r="AC194" s="22" t="s">
        <v>545</v>
      </c>
      <c r="AD194" s="22" t="s">
        <v>476</v>
      </c>
      <c r="AE194" s="22" t="s">
        <v>509</v>
      </c>
    </row>
    <row r="195" spans="1:31" ht="20.25" hidden="1" customHeight="1" x14ac:dyDescent="0.15">
      <c r="A195" s="22" t="s">
        <v>586</v>
      </c>
      <c r="B195" s="21">
        <v>140</v>
      </c>
      <c r="C195" s="22" t="s">
        <v>38</v>
      </c>
      <c r="D195" s="22" t="s">
        <v>516</v>
      </c>
      <c r="E195" s="22" t="s">
        <v>494</v>
      </c>
      <c r="F195" s="22" t="s">
        <v>82</v>
      </c>
      <c r="G195" s="22" t="s">
        <v>541</v>
      </c>
      <c r="H195" s="22" t="s">
        <v>85</v>
      </c>
      <c r="I195" s="22" t="s">
        <v>268</v>
      </c>
      <c r="J195" s="22" t="s">
        <v>269</v>
      </c>
      <c r="K195" s="22" t="s">
        <v>498</v>
      </c>
      <c r="L195" s="22" t="s">
        <v>522</v>
      </c>
      <c r="M195" s="22" t="s">
        <v>496</v>
      </c>
      <c r="N195" s="22" t="s">
        <v>496</v>
      </c>
      <c r="O195" s="22"/>
      <c r="P195" s="22"/>
      <c r="Q195" s="22"/>
      <c r="R195" s="22" t="s">
        <v>496</v>
      </c>
      <c r="S195" s="22" t="s">
        <v>537</v>
      </c>
      <c r="T195" s="22" t="s">
        <v>496</v>
      </c>
      <c r="U195" s="22" t="s">
        <v>496</v>
      </c>
      <c r="V195" s="22" t="s">
        <v>584</v>
      </c>
      <c r="W195" s="22" t="s">
        <v>585</v>
      </c>
      <c r="X195" s="22" t="s">
        <v>541</v>
      </c>
      <c r="Y195" s="22" t="s">
        <v>504</v>
      </c>
      <c r="Z195" s="22" t="s">
        <v>499</v>
      </c>
      <c r="AA195" s="22" t="s">
        <v>545</v>
      </c>
      <c r="AB195" s="22" t="s">
        <v>541</v>
      </c>
      <c r="AC195" s="22" t="s">
        <v>545</v>
      </c>
      <c r="AD195" s="22" t="s">
        <v>586</v>
      </c>
      <c r="AE195" s="22" t="s">
        <v>554</v>
      </c>
    </row>
    <row r="196" spans="1:31" ht="20.25" hidden="1" customHeight="1" x14ac:dyDescent="0.15">
      <c r="A196" s="22" t="s">
        <v>586</v>
      </c>
      <c r="B196" s="21">
        <v>141</v>
      </c>
      <c r="C196" s="22" t="s">
        <v>539</v>
      </c>
      <c r="D196" s="22" t="s">
        <v>494</v>
      </c>
      <c r="E196" s="22" t="s">
        <v>494</v>
      </c>
      <c r="F196" s="22" t="s">
        <v>82</v>
      </c>
      <c r="G196" s="22" t="s">
        <v>541</v>
      </c>
      <c r="H196" s="22" t="s">
        <v>83</v>
      </c>
      <c r="I196" s="22" t="s">
        <v>236</v>
      </c>
      <c r="J196" s="22" t="s">
        <v>237</v>
      </c>
      <c r="K196" s="22" t="s">
        <v>498</v>
      </c>
      <c r="L196" s="22" t="s">
        <v>536</v>
      </c>
      <c r="M196" s="22" t="s">
        <v>496</v>
      </c>
      <c r="N196" s="22" t="s">
        <v>496</v>
      </c>
      <c r="O196" s="22"/>
      <c r="P196" s="22"/>
      <c r="Q196" s="22"/>
      <c r="R196" s="22" t="s">
        <v>496</v>
      </c>
      <c r="S196" s="22" t="s">
        <v>537</v>
      </c>
      <c r="T196" s="22" t="s">
        <v>496</v>
      </c>
      <c r="U196" s="22" t="s">
        <v>496</v>
      </c>
      <c r="V196" s="22" t="s">
        <v>584</v>
      </c>
      <c r="W196" s="22" t="s">
        <v>585</v>
      </c>
      <c r="X196" s="22" t="s">
        <v>541</v>
      </c>
      <c r="Y196" s="22" t="s">
        <v>504</v>
      </c>
      <c r="Z196" s="22" t="s">
        <v>500</v>
      </c>
      <c r="AA196" s="22" t="s">
        <v>545</v>
      </c>
      <c r="AB196" s="22" t="s">
        <v>541</v>
      </c>
      <c r="AC196" s="22" t="s">
        <v>545</v>
      </c>
      <c r="AD196" s="22" t="s">
        <v>586</v>
      </c>
      <c r="AE196" s="22" t="s">
        <v>554</v>
      </c>
    </row>
    <row r="197" spans="1:31" ht="20.25" hidden="1" customHeight="1" x14ac:dyDescent="0.15">
      <c r="A197" s="27" t="s">
        <v>605</v>
      </c>
      <c r="B197" s="21">
        <v>141</v>
      </c>
      <c r="C197" s="22" t="s">
        <v>539</v>
      </c>
      <c r="D197" s="22" t="s">
        <v>494</v>
      </c>
      <c r="E197" s="22" t="s">
        <v>494</v>
      </c>
      <c r="F197" s="22" t="s">
        <v>82</v>
      </c>
      <c r="G197" s="22" t="s">
        <v>541</v>
      </c>
      <c r="H197" s="22" t="s">
        <v>83</v>
      </c>
      <c r="I197" s="22" t="s">
        <v>236</v>
      </c>
      <c r="J197" s="22" t="s">
        <v>237</v>
      </c>
      <c r="K197" s="22" t="s">
        <v>498</v>
      </c>
      <c r="L197" s="22" t="s">
        <v>536</v>
      </c>
      <c r="M197" s="22" t="s">
        <v>496</v>
      </c>
      <c r="N197" s="22" t="s">
        <v>496</v>
      </c>
      <c r="O197" s="22"/>
      <c r="P197" s="22"/>
      <c r="Q197" s="22"/>
      <c r="R197" s="22" t="s">
        <v>496</v>
      </c>
      <c r="S197" s="22" t="s">
        <v>537</v>
      </c>
      <c r="T197" s="22" t="s">
        <v>496</v>
      </c>
      <c r="U197" s="22" t="s">
        <v>537</v>
      </c>
      <c r="V197" s="22" t="s">
        <v>538</v>
      </c>
      <c r="W197" s="22" t="s">
        <v>504</v>
      </c>
      <c r="X197" s="22" t="s">
        <v>541</v>
      </c>
      <c r="Y197" s="22" t="s">
        <v>545</v>
      </c>
      <c r="Z197" s="22" t="s">
        <v>500</v>
      </c>
      <c r="AA197" s="22" t="s">
        <v>545</v>
      </c>
      <c r="AB197" s="22" t="s">
        <v>541</v>
      </c>
      <c r="AC197" s="22" t="s">
        <v>545</v>
      </c>
      <c r="AD197" s="22" t="s">
        <v>476</v>
      </c>
      <c r="AE197" s="22" t="s">
        <v>509</v>
      </c>
    </row>
    <row r="198" spans="1:31" ht="20.25" hidden="1" customHeight="1" x14ac:dyDescent="0.15">
      <c r="A198" s="22" t="s">
        <v>586</v>
      </c>
      <c r="B198" s="21">
        <v>142</v>
      </c>
      <c r="C198" s="22" t="s">
        <v>540</v>
      </c>
      <c r="D198" s="22" t="s">
        <v>494</v>
      </c>
      <c r="E198" s="22" t="s">
        <v>494</v>
      </c>
      <c r="F198" s="22" t="s">
        <v>82</v>
      </c>
      <c r="G198" s="22" t="s">
        <v>541</v>
      </c>
      <c r="H198" s="22" t="s">
        <v>83</v>
      </c>
      <c r="I198" s="22" t="s">
        <v>272</v>
      </c>
      <c r="J198" s="22" t="s">
        <v>273</v>
      </c>
      <c r="K198" s="22" t="s">
        <v>498</v>
      </c>
      <c r="L198" s="22" t="s">
        <v>541</v>
      </c>
      <c r="M198" s="22" t="s">
        <v>496</v>
      </c>
      <c r="N198" s="22" t="s">
        <v>496</v>
      </c>
      <c r="O198" s="22"/>
      <c r="P198" s="22"/>
      <c r="Q198" s="22"/>
      <c r="R198" s="22" t="s">
        <v>496</v>
      </c>
      <c r="S198" s="22" t="s">
        <v>537</v>
      </c>
      <c r="T198" s="22" t="s">
        <v>496</v>
      </c>
      <c r="U198" s="22" t="s">
        <v>496</v>
      </c>
      <c r="V198" s="22" t="s">
        <v>584</v>
      </c>
      <c r="W198" s="22" t="s">
        <v>585</v>
      </c>
      <c r="X198" s="22" t="s">
        <v>541</v>
      </c>
      <c r="Y198" s="22" t="s">
        <v>504</v>
      </c>
      <c r="Z198" s="22" t="s">
        <v>500</v>
      </c>
      <c r="AA198" s="22" t="s">
        <v>545</v>
      </c>
      <c r="AB198" s="22" t="s">
        <v>541</v>
      </c>
      <c r="AC198" s="22" t="s">
        <v>545</v>
      </c>
      <c r="AD198" s="22" t="s">
        <v>586</v>
      </c>
      <c r="AE198" s="22" t="s">
        <v>554</v>
      </c>
    </row>
    <row r="199" spans="1:31" ht="20.25" hidden="1" customHeight="1" x14ac:dyDescent="0.15">
      <c r="A199" s="27" t="s">
        <v>605</v>
      </c>
      <c r="B199" s="21">
        <v>142</v>
      </c>
      <c r="C199" s="22" t="s">
        <v>540</v>
      </c>
      <c r="D199" s="22" t="s">
        <v>494</v>
      </c>
      <c r="E199" s="22" t="s">
        <v>494</v>
      </c>
      <c r="F199" s="22" t="s">
        <v>82</v>
      </c>
      <c r="G199" s="22" t="s">
        <v>541</v>
      </c>
      <c r="H199" s="22" t="s">
        <v>83</v>
      </c>
      <c r="I199" s="22" t="s">
        <v>272</v>
      </c>
      <c r="J199" s="22" t="s">
        <v>273</v>
      </c>
      <c r="K199" s="22" t="s">
        <v>498</v>
      </c>
      <c r="L199" s="22" t="s">
        <v>541</v>
      </c>
      <c r="M199" s="22" t="s">
        <v>496</v>
      </c>
      <c r="N199" s="22" t="s">
        <v>496</v>
      </c>
      <c r="O199" s="22"/>
      <c r="P199" s="22"/>
      <c r="Q199" s="22"/>
      <c r="R199" s="22" t="s">
        <v>496</v>
      </c>
      <c r="S199" s="22" t="s">
        <v>537</v>
      </c>
      <c r="T199" s="22" t="s">
        <v>496</v>
      </c>
      <c r="U199" s="22" t="s">
        <v>537</v>
      </c>
      <c r="V199" s="22" t="s">
        <v>538</v>
      </c>
      <c r="W199" s="22" t="s">
        <v>504</v>
      </c>
      <c r="X199" s="22" t="s">
        <v>541</v>
      </c>
      <c r="Y199" s="22" t="s">
        <v>545</v>
      </c>
      <c r="Z199" s="22" t="s">
        <v>500</v>
      </c>
      <c r="AA199" s="22" t="s">
        <v>545</v>
      </c>
      <c r="AB199" s="22" t="s">
        <v>541</v>
      </c>
      <c r="AC199" s="22" t="s">
        <v>545</v>
      </c>
      <c r="AD199" s="22" t="s">
        <v>476</v>
      </c>
      <c r="AE199" s="22" t="s">
        <v>509</v>
      </c>
    </row>
    <row r="200" spans="1:31" ht="20.25" hidden="1" customHeight="1" x14ac:dyDescent="0.15">
      <c r="A200" s="24" t="s">
        <v>605</v>
      </c>
      <c r="B200" s="21">
        <v>143</v>
      </c>
      <c r="C200" s="22" t="s">
        <v>493</v>
      </c>
      <c r="D200" s="22" t="s">
        <v>494</v>
      </c>
      <c r="E200" s="22" t="s">
        <v>494</v>
      </c>
      <c r="F200" s="22" t="s">
        <v>587</v>
      </c>
      <c r="G200" s="22" t="s">
        <v>536</v>
      </c>
      <c r="H200" s="22" t="s">
        <v>619</v>
      </c>
      <c r="I200" s="22" t="s">
        <v>320</v>
      </c>
      <c r="J200" s="22" t="s">
        <v>321</v>
      </c>
      <c r="K200" s="22" t="s">
        <v>498</v>
      </c>
      <c r="L200" s="22" t="s">
        <v>499</v>
      </c>
      <c r="M200" s="22" t="s">
        <v>496</v>
      </c>
      <c r="N200" s="22" t="s">
        <v>496</v>
      </c>
      <c r="O200" s="22"/>
      <c r="P200" s="22"/>
      <c r="Q200" s="22" t="s">
        <v>496</v>
      </c>
      <c r="R200" s="22" t="s">
        <v>496</v>
      </c>
      <c r="S200" s="22" t="s">
        <v>501</v>
      </c>
      <c r="T200" s="22" t="s">
        <v>496</v>
      </c>
      <c r="U200" s="22" t="s">
        <v>501</v>
      </c>
      <c r="V200" s="22" t="s">
        <v>510</v>
      </c>
      <c r="W200" s="22" t="s">
        <v>504</v>
      </c>
      <c r="X200" s="22" t="s">
        <v>541</v>
      </c>
      <c r="Y200" s="22" t="s">
        <v>545</v>
      </c>
      <c r="Z200" s="22" t="s">
        <v>552</v>
      </c>
      <c r="AA200" s="22" t="s">
        <v>545</v>
      </c>
      <c r="AB200" s="22" t="s">
        <v>553</v>
      </c>
      <c r="AC200" s="22" t="s">
        <v>545</v>
      </c>
      <c r="AD200" s="22" t="s">
        <v>511</v>
      </c>
      <c r="AE200" s="22" t="s">
        <v>509</v>
      </c>
    </row>
    <row r="201" spans="1:31" ht="20.25" hidden="1" customHeight="1" x14ac:dyDescent="0.15">
      <c r="A201" s="22" t="s">
        <v>586</v>
      </c>
      <c r="B201" s="21">
        <v>143</v>
      </c>
      <c r="C201" s="22" t="s">
        <v>493</v>
      </c>
      <c r="D201" s="22" t="s">
        <v>494</v>
      </c>
      <c r="E201" s="22" t="s">
        <v>494</v>
      </c>
      <c r="F201" s="22" t="s">
        <v>587</v>
      </c>
      <c r="G201" s="22" t="s">
        <v>536</v>
      </c>
      <c r="H201" s="22" t="s">
        <v>87</v>
      </c>
      <c r="I201" s="22" t="s">
        <v>320</v>
      </c>
      <c r="J201" s="22" t="s">
        <v>321</v>
      </c>
      <c r="K201" s="22" t="s">
        <v>498</v>
      </c>
      <c r="L201" s="22" t="s">
        <v>499</v>
      </c>
      <c r="M201" s="22" t="s">
        <v>496</v>
      </c>
      <c r="N201" s="22" t="s">
        <v>496</v>
      </c>
      <c r="O201" s="22"/>
      <c r="P201" s="22"/>
      <c r="Q201" s="22" t="s">
        <v>496</v>
      </c>
      <c r="R201" s="22" t="s">
        <v>496</v>
      </c>
      <c r="S201" s="22" t="s">
        <v>501</v>
      </c>
      <c r="T201" s="22" t="s">
        <v>496</v>
      </c>
      <c r="U201" s="22" t="s">
        <v>496</v>
      </c>
      <c r="V201" s="22" t="s">
        <v>584</v>
      </c>
      <c r="W201" s="22" t="s">
        <v>585</v>
      </c>
      <c r="X201" s="22" t="s">
        <v>553</v>
      </c>
      <c r="Y201" s="22" t="s">
        <v>504</v>
      </c>
      <c r="Z201" s="22" t="s">
        <v>552</v>
      </c>
      <c r="AA201" s="22" t="s">
        <v>545</v>
      </c>
      <c r="AB201" s="22" t="s">
        <v>553</v>
      </c>
      <c r="AC201" s="22" t="s">
        <v>545</v>
      </c>
      <c r="AD201" s="22" t="s">
        <v>586</v>
      </c>
      <c r="AE201" s="22" t="s">
        <v>554</v>
      </c>
    </row>
    <row r="202" spans="1:31" ht="20.25" hidden="1" customHeight="1" x14ac:dyDescent="0.15">
      <c r="A202" s="22" t="s">
        <v>586</v>
      </c>
      <c r="B202" s="21">
        <v>144</v>
      </c>
      <c r="C202" s="22" t="s">
        <v>493</v>
      </c>
      <c r="D202" s="22" t="s">
        <v>512</v>
      </c>
      <c r="E202" s="22" t="s">
        <v>494</v>
      </c>
      <c r="F202" s="22" t="s">
        <v>587</v>
      </c>
      <c r="G202" s="22" t="s">
        <v>536</v>
      </c>
      <c r="H202" s="22" t="s">
        <v>88</v>
      </c>
      <c r="I202" s="22" t="s">
        <v>316</v>
      </c>
      <c r="J202" s="22" t="s">
        <v>317</v>
      </c>
      <c r="K202" s="22" t="s">
        <v>498</v>
      </c>
      <c r="L202" s="22" t="s">
        <v>498</v>
      </c>
      <c r="M202" s="22" t="s">
        <v>496</v>
      </c>
      <c r="N202" s="22" t="s">
        <v>496</v>
      </c>
      <c r="O202" s="22"/>
      <c r="P202" s="22"/>
      <c r="Q202" s="22" t="s">
        <v>496</v>
      </c>
      <c r="R202" s="22" t="s">
        <v>496</v>
      </c>
      <c r="S202" s="22" t="s">
        <v>501</v>
      </c>
      <c r="T202" s="22" t="s">
        <v>496</v>
      </c>
      <c r="U202" s="22" t="s">
        <v>496</v>
      </c>
      <c r="V202" s="22" t="s">
        <v>584</v>
      </c>
      <c r="W202" s="22" t="s">
        <v>585</v>
      </c>
      <c r="X202" s="22" t="s">
        <v>541</v>
      </c>
      <c r="Y202" s="22" t="s">
        <v>504</v>
      </c>
      <c r="Z202" s="22" t="s">
        <v>499</v>
      </c>
      <c r="AA202" s="22" t="s">
        <v>545</v>
      </c>
      <c r="AB202" s="22" t="s">
        <v>541</v>
      </c>
      <c r="AC202" s="22" t="s">
        <v>545</v>
      </c>
      <c r="AD202" s="22" t="s">
        <v>586</v>
      </c>
      <c r="AE202" s="22" t="s">
        <v>554</v>
      </c>
    </row>
    <row r="203" spans="1:31" ht="20.25" hidden="1" customHeight="1" x14ac:dyDescent="0.15">
      <c r="A203" s="24" t="s">
        <v>605</v>
      </c>
      <c r="B203" s="21">
        <v>144</v>
      </c>
      <c r="C203" s="22" t="s">
        <v>493</v>
      </c>
      <c r="D203" s="22" t="s">
        <v>512</v>
      </c>
      <c r="E203" s="22" t="s">
        <v>494</v>
      </c>
      <c r="F203" s="22" t="s">
        <v>587</v>
      </c>
      <c r="G203" s="22" t="s">
        <v>536</v>
      </c>
      <c r="H203" s="22" t="s">
        <v>88</v>
      </c>
      <c r="I203" s="22" t="s">
        <v>316</v>
      </c>
      <c r="J203" s="22" t="s">
        <v>317</v>
      </c>
      <c r="K203" s="22" t="s">
        <v>498</v>
      </c>
      <c r="L203" s="22" t="s">
        <v>498</v>
      </c>
      <c r="M203" s="22" t="s">
        <v>496</v>
      </c>
      <c r="N203" s="22" t="s">
        <v>496</v>
      </c>
      <c r="O203" s="22"/>
      <c r="P203" s="22"/>
      <c r="Q203" s="22" t="s">
        <v>496</v>
      </c>
      <c r="R203" s="22" t="s">
        <v>496</v>
      </c>
      <c r="S203" s="22" t="s">
        <v>501</v>
      </c>
      <c r="T203" s="22" t="s">
        <v>496</v>
      </c>
      <c r="U203" s="22" t="s">
        <v>501</v>
      </c>
      <c r="V203" s="22" t="s">
        <v>510</v>
      </c>
      <c r="W203" s="22" t="s">
        <v>504</v>
      </c>
      <c r="X203" s="22" t="s">
        <v>504</v>
      </c>
      <c r="Y203" s="22" t="s">
        <v>545</v>
      </c>
      <c r="Z203" s="22" t="s">
        <v>499</v>
      </c>
      <c r="AA203" s="22" t="s">
        <v>545</v>
      </c>
      <c r="AB203" s="22" t="s">
        <v>541</v>
      </c>
      <c r="AC203" s="22" t="s">
        <v>545</v>
      </c>
      <c r="AD203" s="22" t="s">
        <v>511</v>
      </c>
      <c r="AE203" s="22" t="s">
        <v>509</v>
      </c>
    </row>
    <row r="204" spans="1:31" ht="20.25" hidden="1" customHeight="1" x14ac:dyDescent="0.15">
      <c r="A204" s="22" t="s">
        <v>586</v>
      </c>
      <c r="B204" s="21">
        <v>145</v>
      </c>
      <c r="C204" s="22" t="s">
        <v>493</v>
      </c>
      <c r="D204" s="22" t="s">
        <v>516</v>
      </c>
      <c r="E204" s="22" t="s">
        <v>494</v>
      </c>
      <c r="F204" s="22" t="s">
        <v>587</v>
      </c>
      <c r="G204" s="22" t="s">
        <v>536</v>
      </c>
      <c r="H204" s="22" t="s">
        <v>89</v>
      </c>
      <c r="I204" s="22" t="s">
        <v>224</v>
      </c>
      <c r="J204" s="22" t="s">
        <v>225</v>
      </c>
      <c r="K204" s="22" t="s">
        <v>498</v>
      </c>
      <c r="L204" s="22" t="s">
        <v>522</v>
      </c>
      <c r="M204" s="22" t="s">
        <v>496</v>
      </c>
      <c r="N204" s="22" t="s">
        <v>496</v>
      </c>
      <c r="O204" s="22"/>
      <c r="P204" s="22"/>
      <c r="Q204" s="22" t="s">
        <v>496</v>
      </c>
      <c r="R204" s="22" t="s">
        <v>496</v>
      </c>
      <c r="S204" s="22" t="s">
        <v>501</v>
      </c>
      <c r="T204" s="22" t="s">
        <v>496</v>
      </c>
      <c r="U204" s="22" t="s">
        <v>496</v>
      </c>
      <c r="V204" s="22" t="s">
        <v>584</v>
      </c>
      <c r="W204" s="22" t="s">
        <v>585</v>
      </c>
      <c r="X204" s="22" t="s">
        <v>541</v>
      </c>
      <c r="Y204" s="22" t="s">
        <v>504</v>
      </c>
      <c r="Z204" s="22" t="s">
        <v>499</v>
      </c>
      <c r="AA204" s="22" t="s">
        <v>545</v>
      </c>
      <c r="AB204" s="22" t="s">
        <v>541</v>
      </c>
      <c r="AC204" s="22" t="s">
        <v>545</v>
      </c>
      <c r="AD204" s="22" t="s">
        <v>586</v>
      </c>
      <c r="AE204" s="22" t="s">
        <v>554</v>
      </c>
    </row>
    <row r="205" spans="1:31" ht="20.25" hidden="1" customHeight="1" x14ac:dyDescent="0.15">
      <c r="A205" s="24" t="s">
        <v>605</v>
      </c>
      <c r="B205" s="21">
        <v>146</v>
      </c>
      <c r="C205" s="22" t="s">
        <v>535</v>
      </c>
      <c r="D205" s="22" t="s">
        <v>494</v>
      </c>
      <c r="E205" s="22" t="s">
        <v>494</v>
      </c>
      <c r="F205" s="22" t="s">
        <v>587</v>
      </c>
      <c r="G205" s="22" t="s">
        <v>536</v>
      </c>
      <c r="H205" s="22" t="s">
        <v>87</v>
      </c>
      <c r="I205" s="22" t="s">
        <v>350</v>
      </c>
      <c r="J205" s="22" t="s">
        <v>351</v>
      </c>
      <c r="K205" s="22" t="s">
        <v>498</v>
      </c>
      <c r="L205" s="22" t="s">
        <v>536</v>
      </c>
      <c r="M205" s="22" t="s">
        <v>496</v>
      </c>
      <c r="N205" s="22" t="s">
        <v>496</v>
      </c>
      <c r="O205" s="22"/>
      <c r="P205" s="22"/>
      <c r="Q205" s="22" t="s">
        <v>496</v>
      </c>
      <c r="R205" s="22" t="s">
        <v>496</v>
      </c>
      <c r="S205" s="22" t="s">
        <v>501</v>
      </c>
      <c r="T205" s="22" t="s">
        <v>496</v>
      </c>
      <c r="U205" s="22" t="s">
        <v>501</v>
      </c>
      <c r="V205" s="22" t="s">
        <v>510</v>
      </c>
      <c r="W205" s="22" t="s">
        <v>504</v>
      </c>
      <c r="X205" s="22" t="s">
        <v>541</v>
      </c>
      <c r="Y205" s="22" t="s">
        <v>545</v>
      </c>
      <c r="Z205" s="22" t="s">
        <v>552</v>
      </c>
      <c r="AA205" s="22" t="s">
        <v>545</v>
      </c>
      <c r="AB205" s="22" t="s">
        <v>553</v>
      </c>
      <c r="AC205" s="22" t="s">
        <v>545</v>
      </c>
      <c r="AD205" s="22" t="s">
        <v>511</v>
      </c>
      <c r="AE205" s="22" t="s">
        <v>509</v>
      </c>
    </row>
    <row r="206" spans="1:31" ht="20.25" hidden="1" customHeight="1" x14ac:dyDescent="0.15">
      <c r="A206" s="22" t="s">
        <v>586</v>
      </c>
      <c r="B206" s="21">
        <v>146</v>
      </c>
      <c r="C206" s="22" t="s">
        <v>535</v>
      </c>
      <c r="D206" s="22" t="s">
        <v>494</v>
      </c>
      <c r="E206" s="22" t="s">
        <v>494</v>
      </c>
      <c r="F206" s="22" t="s">
        <v>587</v>
      </c>
      <c r="G206" s="22" t="s">
        <v>536</v>
      </c>
      <c r="H206" s="22" t="s">
        <v>87</v>
      </c>
      <c r="I206" s="22" t="s">
        <v>350</v>
      </c>
      <c r="J206" s="22" t="s">
        <v>351</v>
      </c>
      <c r="K206" s="22" t="s">
        <v>498</v>
      </c>
      <c r="L206" s="22" t="s">
        <v>536</v>
      </c>
      <c r="M206" s="22" t="s">
        <v>496</v>
      </c>
      <c r="N206" s="22" t="s">
        <v>496</v>
      </c>
      <c r="O206" s="22"/>
      <c r="P206" s="22"/>
      <c r="Q206" s="22" t="s">
        <v>496</v>
      </c>
      <c r="R206" s="22" t="s">
        <v>496</v>
      </c>
      <c r="S206" s="22" t="s">
        <v>501</v>
      </c>
      <c r="T206" s="22" t="s">
        <v>496</v>
      </c>
      <c r="U206" s="22" t="s">
        <v>496</v>
      </c>
      <c r="V206" s="22" t="s">
        <v>584</v>
      </c>
      <c r="W206" s="22" t="s">
        <v>585</v>
      </c>
      <c r="X206" s="22" t="s">
        <v>553</v>
      </c>
      <c r="Y206" s="22" t="s">
        <v>504</v>
      </c>
      <c r="Z206" s="22" t="s">
        <v>552</v>
      </c>
      <c r="AA206" s="22" t="s">
        <v>545</v>
      </c>
      <c r="AB206" s="22" t="s">
        <v>553</v>
      </c>
      <c r="AC206" s="22" t="s">
        <v>545</v>
      </c>
      <c r="AD206" s="22" t="s">
        <v>586</v>
      </c>
      <c r="AE206" s="22" t="s">
        <v>554</v>
      </c>
    </row>
    <row r="207" spans="1:31" ht="20.25" hidden="1" customHeight="1" x14ac:dyDescent="0.15">
      <c r="A207" s="24" t="s">
        <v>605</v>
      </c>
      <c r="B207" s="21">
        <v>147</v>
      </c>
      <c r="C207" s="22" t="s">
        <v>567</v>
      </c>
      <c r="D207" s="22" t="s">
        <v>494</v>
      </c>
      <c r="E207" s="22" t="s">
        <v>494</v>
      </c>
      <c r="F207" s="22" t="s">
        <v>587</v>
      </c>
      <c r="G207" s="22" t="s">
        <v>536</v>
      </c>
      <c r="H207" s="22" t="s">
        <v>87</v>
      </c>
      <c r="I207" s="22" t="s">
        <v>358</v>
      </c>
      <c r="J207" s="22" t="s">
        <v>359</v>
      </c>
      <c r="K207" s="22" t="s">
        <v>498</v>
      </c>
      <c r="L207" s="22" t="s">
        <v>541</v>
      </c>
      <c r="M207" s="22" t="s">
        <v>496</v>
      </c>
      <c r="N207" s="22" t="s">
        <v>496</v>
      </c>
      <c r="O207" s="22"/>
      <c r="P207" s="22"/>
      <c r="Q207" s="22" t="s">
        <v>496</v>
      </c>
      <c r="R207" s="22" t="s">
        <v>496</v>
      </c>
      <c r="S207" s="22" t="s">
        <v>501</v>
      </c>
      <c r="T207" s="22" t="s">
        <v>496</v>
      </c>
      <c r="U207" s="22" t="s">
        <v>501</v>
      </c>
      <c r="V207" s="22" t="s">
        <v>510</v>
      </c>
      <c r="W207" s="22" t="s">
        <v>504</v>
      </c>
      <c r="X207" s="22" t="s">
        <v>541</v>
      </c>
      <c r="Y207" s="22" t="s">
        <v>545</v>
      </c>
      <c r="Z207" s="22" t="s">
        <v>552</v>
      </c>
      <c r="AA207" s="22" t="s">
        <v>545</v>
      </c>
      <c r="AB207" s="22" t="s">
        <v>553</v>
      </c>
      <c r="AC207" s="22" t="s">
        <v>545</v>
      </c>
      <c r="AD207" s="22" t="s">
        <v>511</v>
      </c>
      <c r="AE207" s="22" t="s">
        <v>509</v>
      </c>
    </row>
    <row r="208" spans="1:31" ht="20.25" hidden="1" customHeight="1" x14ac:dyDescent="0.15">
      <c r="A208" s="22" t="s">
        <v>586</v>
      </c>
      <c r="B208" s="21">
        <v>147</v>
      </c>
      <c r="C208" s="22" t="s">
        <v>567</v>
      </c>
      <c r="D208" s="22" t="s">
        <v>494</v>
      </c>
      <c r="E208" s="22" t="s">
        <v>494</v>
      </c>
      <c r="F208" s="22" t="s">
        <v>587</v>
      </c>
      <c r="G208" s="22" t="s">
        <v>536</v>
      </c>
      <c r="H208" s="22" t="s">
        <v>87</v>
      </c>
      <c r="I208" s="22" t="s">
        <v>358</v>
      </c>
      <c r="J208" s="22" t="s">
        <v>359</v>
      </c>
      <c r="K208" s="22" t="s">
        <v>498</v>
      </c>
      <c r="L208" s="22" t="s">
        <v>541</v>
      </c>
      <c r="M208" s="22" t="s">
        <v>496</v>
      </c>
      <c r="N208" s="22" t="s">
        <v>496</v>
      </c>
      <c r="O208" s="22"/>
      <c r="P208" s="22"/>
      <c r="Q208" s="22" t="s">
        <v>496</v>
      </c>
      <c r="R208" s="22" t="s">
        <v>496</v>
      </c>
      <c r="S208" s="22" t="s">
        <v>501</v>
      </c>
      <c r="T208" s="22" t="s">
        <v>496</v>
      </c>
      <c r="U208" s="22" t="s">
        <v>496</v>
      </c>
      <c r="V208" s="22" t="s">
        <v>584</v>
      </c>
      <c r="W208" s="22" t="s">
        <v>585</v>
      </c>
      <c r="X208" s="22" t="s">
        <v>553</v>
      </c>
      <c r="Y208" s="22" t="s">
        <v>504</v>
      </c>
      <c r="Z208" s="22" t="s">
        <v>552</v>
      </c>
      <c r="AA208" s="22" t="s">
        <v>545</v>
      </c>
      <c r="AB208" s="22" t="s">
        <v>553</v>
      </c>
      <c r="AC208" s="22" t="s">
        <v>545</v>
      </c>
      <c r="AD208" s="22" t="s">
        <v>586</v>
      </c>
      <c r="AE208" s="22" t="s">
        <v>554</v>
      </c>
    </row>
    <row r="209" spans="1:31" ht="20.25" hidden="1" customHeight="1" x14ac:dyDescent="0.15">
      <c r="A209" s="22" t="s">
        <v>586</v>
      </c>
      <c r="B209" s="21">
        <v>148</v>
      </c>
      <c r="C209" s="22" t="s">
        <v>38</v>
      </c>
      <c r="D209" s="22" t="s">
        <v>494</v>
      </c>
      <c r="E209" s="22" t="s">
        <v>494</v>
      </c>
      <c r="F209" s="22" t="s">
        <v>587</v>
      </c>
      <c r="G209" s="22" t="s">
        <v>536</v>
      </c>
      <c r="H209" s="22" t="s">
        <v>87</v>
      </c>
      <c r="I209" s="22" t="s">
        <v>356</v>
      </c>
      <c r="J209" s="22" t="s">
        <v>357</v>
      </c>
      <c r="K209" s="22" t="s">
        <v>498</v>
      </c>
      <c r="L209" s="22" t="s">
        <v>499</v>
      </c>
      <c r="M209" s="22" t="s">
        <v>496</v>
      </c>
      <c r="N209" s="22" t="s">
        <v>496</v>
      </c>
      <c r="O209" s="22"/>
      <c r="P209" s="22"/>
      <c r="Q209" s="22" t="s">
        <v>496</v>
      </c>
      <c r="R209" s="22" t="s">
        <v>496</v>
      </c>
      <c r="S209" s="22" t="s">
        <v>537</v>
      </c>
      <c r="T209" s="22" t="s">
        <v>496</v>
      </c>
      <c r="U209" s="22" t="s">
        <v>496</v>
      </c>
      <c r="V209" s="22" t="s">
        <v>584</v>
      </c>
      <c r="W209" s="22" t="s">
        <v>585</v>
      </c>
      <c r="X209" s="22" t="s">
        <v>553</v>
      </c>
      <c r="Y209" s="22" t="s">
        <v>504</v>
      </c>
      <c r="Z209" s="22" t="s">
        <v>552</v>
      </c>
      <c r="AA209" s="22" t="s">
        <v>545</v>
      </c>
      <c r="AB209" s="22" t="s">
        <v>553</v>
      </c>
      <c r="AC209" s="22" t="s">
        <v>545</v>
      </c>
      <c r="AD209" s="22" t="s">
        <v>586</v>
      </c>
      <c r="AE209" s="22" t="s">
        <v>554</v>
      </c>
    </row>
    <row r="210" spans="1:31" ht="20.25" hidden="1" customHeight="1" x14ac:dyDescent="0.15">
      <c r="A210" s="24" t="s">
        <v>605</v>
      </c>
      <c r="B210" s="21">
        <v>148</v>
      </c>
      <c r="C210" s="22" t="s">
        <v>38</v>
      </c>
      <c r="D210" s="22" t="s">
        <v>494</v>
      </c>
      <c r="E210" s="22" t="s">
        <v>494</v>
      </c>
      <c r="F210" s="22" t="s">
        <v>587</v>
      </c>
      <c r="G210" s="22" t="s">
        <v>536</v>
      </c>
      <c r="H210" s="22" t="s">
        <v>87</v>
      </c>
      <c r="I210" s="22" t="s">
        <v>356</v>
      </c>
      <c r="J210" s="22" t="s">
        <v>357</v>
      </c>
      <c r="K210" s="22" t="s">
        <v>498</v>
      </c>
      <c r="L210" s="22" t="s">
        <v>499</v>
      </c>
      <c r="M210" s="22" t="s">
        <v>496</v>
      </c>
      <c r="N210" s="22" t="s">
        <v>496</v>
      </c>
      <c r="O210" s="22"/>
      <c r="P210" s="22"/>
      <c r="Q210" s="22" t="s">
        <v>496</v>
      </c>
      <c r="R210" s="22" t="s">
        <v>496</v>
      </c>
      <c r="S210" s="22" t="s">
        <v>537</v>
      </c>
      <c r="T210" s="22" t="s">
        <v>496</v>
      </c>
      <c r="U210" s="22" t="s">
        <v>537</v>
      </c>
      <c r="V210" s="22" t="s">
        <v>538</v>
      </c>
      <c r="W210" s="22" t="s">
        <v>504</v>
      </c>
      <c r="X210" s="22" t="s">
        <v>541</v>
      </c>
      <c r="Y210" s="22" t="s">
        <v>545</v>
      </c>
      <c r="Z210" s="22" t="s">
        <v>552</v>
      </c>
      <c r="AA210" s="22" t="s">
        <v>545</v>
      </c>
      <c r="AB210" s="22" t="s">
        <v>553</v>
      </c>
      <c r="AC210" s="22" t="s">
        <v>545</v>
      </c>
      <c r="AD210" s="22" t="s">
        <v>476</v>
      </c>
      <c r="AE210" s="22" t="s">
        <v>509</v>
      </c>
    </row>
    <row r="211" spans="1:31" ht="20.25" hidden="1" customHeight="1" x14ac:dyDescent="0.15">
      <c r="A211" s="22" t="s">
        <v>586</v>
      </c>
      <c r="B211" s="21">
        <v>149</v>
      </c>
      <c r="C211" s="22" t="s">
        <v>38</v>
      </c>
      <c r="D211" s="22" t="s">
        <v>512</v>
      </c>
      <c r="E211" s="22" t="s">
        <v>494</v>
      </c>
      <c r="F211" s="22" t="s">
        <v>587</v>
      </c>
      <c r="G211" s="22" t="s">
        <v>536</v>
      </c>
      <c r="H211" s="22" t="s">
        <v>88</v>
      </c>
      <c r="I211" s="22" t="s">
        <v>380</v>
      </c>
      <c r="J211" s="22" t="s">
        <v>381</v>
      </c>
      <c r="K211" s="22" t="s">
        <v>498</v>
      </c>
      <c r="L211" s="22" t="s">
        <v>498</v>
      </c>
      <c r="M211" s="22" t="s">
        <v>496</v>
      </c>
      <c r="N211" s="22" t="s">
        <v>496</v>
      </c>
      <c r="O211" s="22"/>
      <c r="P211" s="22"/>
      <c r="Q211" s="22" t="s">
        <v>496</v>
      </c>
      <c r="R211" s="22" t="s">
        <v>496</v>
      </c>
      <c r="S211" s="22" t="s">
        <v>537</v>
      </c>
      <c r="T211" s="22" t="s">
        <v>496</v>
      </c>
      <c r="U211" s="22" t="s">
        <v>496</v>
      </c>
      <c r="V211" s="22" t="s">
        <v>584</v>
      </c>
      <c r="W211" s="22" t="s">
        <v>585</v>
      </c>
      <c r="X211" s="22" t="s">
        <v>541</v>
      </c>
      <c r="Y211" s="22" t="s">
        <v>504</v>
      </c>
      <c r="Z211" s="22" t="s">
        <v>499</v>
      </c>
      <c r="AA211" s="22" t="s">
        <v>545</v>
      </c>
      <c r="AB211" s="22" t="s">
        <v>541</v>
      </c>
      <c r="AC211" s="22" t="s">
        <v>545</v>
      </c>
      <c r="AD211" s="22" t="s">
        <v>586</v>
      </c>
      <c r="AE211" s="22" t="s">
        <v>554</v>
      </c>
    </row>
    <row r="212" spans="1:31" ht="20.25" hidden="1" customHeight="1" x14ac:dyDescent="0.15">
      <c r="A212" s="24" t="s">
        <v>605</v>
      </c>
      <c r="B212" s="21">
        <v>149</v>
      </c>
      <c r="C212" s="22" t="s">
        <v>38</v>
      </c>
      <c r="D212" s="22" t="s">
        <v>512</v>
      </c>
      <c r="E212" s="22" t="s">
        <v>494</v>
      </c>
      <c r="F212" s="22" t="s">
        <v>587</v>
      </c>
      <c r="G212" s="22" t="s">
        <v>536</v>
      </c>
      <c r="H212" s="22" t="s">
        <v>88</v>
      </c>
      <c r="I212" s="22" t="s">
        <v>380</v>
      </c>
      <c r="J212" s="22" t="s">
        <v>381</v>
      </c>
      <c r="K212" s="22" t="s">
        <v>498</v>
      </c>
      <c r="L212" s="22" t="s">
        <v>498</v>
      </c>
      <c r="M212" s="22" t="s">
        <v>496</v>
      </c>
      <c r="N212" s="22" t="s">
        <v>496</v>
      </c>
      <c r="O212" s="22"/>
      <c r="P212" s="22"/>
      <c r="Q212" s="22" t="s">
        <v>496</v>
      </c>
      <c r="R212" s="22" t="s">
        <v>496</v>
      </c>
      <c r="S212" s="22" t="s">
        <v>537</v>
      </c>
      <c r="T212" s="22" t="s">
        <v>496</v>
      </c>
      <c r="U212" s="22" t="s">
        <v>537</v>
      </c>
      <c r="V212" s="22" t="s">
        <v>538</v>
      </c>
      <c r="W212" s="22" t="s">
        <v>504</v>
      </c>
      <c r="X212" s="22" t="s">
        <v>504</v>
      </c>
      <c r="Y212" s="22" t="s">
        <v>545</v>
      </c>
      <c r="Z212" s="22" t="s">
        <v>499</v>
      </c>
      <c r="AA212" s="22" t="s">
        <v>545</v>
      </c>
      <c r="AB212" s="22" t="s">
        <v>541</v>
      </c>
      <c r="AC212" s="22" t="s">
        <v>545</v>
      </c>
      <c r="AD212" s="22" t="s">
        <v>476</v>
      </c>
      <c r="AE212" s="22" t="s">
        <v>509</v>
      </c>
    </row>
    <row r="213" spans="1:31" ht="20.25" hidden="1" customHeight="1" x14ac:dyDescent="0.15">
      <c r="A213" s="22" t="s">
        <v>586</v>
      </c>
      <c r="B213" s="21">
        <v>150</v>
      </c>
      <c r="C213" s="22" t="s">
        <v>38</v>
      </c>
      <c r="D213" s="22" t="s">
        <v>516</v>
      </c>
      <c r="E213" s="22" t="s">
        <v>494</v>
      </c>
      <c r="F213" s="22" t="s">
        <v>587</v>
      </c>
      <c r="G213" s="22" t="s">
        <v>536</v>
      </c>
      <c r="H213" s="22" t="s">
        <v>89</v>
      </c>
      <c r="I213" s="22" t="s">
        <v>382</v>
      </c>
      <c r="J213" s="22" t="s">
        <v>383</v>
      </c>
      <c r="K213" s="22" t="s">
        <v>498</v>
      </c>
      <c r="L213" s="22" t="s">
        <v>522</v>
      </c>
      <c r="M213" s="22" t="s">
        <v>496</v>
      </c>
      <c r="N213" s="22" t="s">
        <v>496</v>
      </c>
      <c r="O213" s="22"/>
      <c r="P213" s="22"/>
      <c r="Q213" s="22" t="s">
        <v>496</v>
      </c>
      <c r="R213" s="22" t="s">
        <v>496</v>
      </c>
      <c r="S213" s="22" t="s">
        <v>537</v>
      </c>
      <c r="T213" s="22" t="s">
        <v>496</v>
      </c>
      <c r="U213" s="22" t="s">
        <v>496</v>
      </c>
      <c r="V213" s="22" t="s">
        <v>584</v>
      </c>
      <c r="W213" s="22" t="s">
        <v>585</v>
      </c>
      <c r="X213" s="22" t="s">
        <v>541</v>
      </c>
      <c r="Y213" s="22" t="s">
        <v>504</v>
      </c>
      <c r="Z213" s="22" t="s">
        <v>499</v>
      </c>
      <c r="AA213" s="22" t="s">
        <v>545</v>
      </c>
      <c r="AB213" s="22" t="s">
        <v>541</v>
      </c>
      <c r="AC213" s="22" t="s">
        <v>545</v>
      </c>
      <c r="AD213" s="22" t="s">
        <v>586</v>
      </c>
      <c r="AE213" s="22" t="s">
        <v>554</v>
      </c>
    </row>
    <row r="214" spans="1:31" ht="20.25" hidden="1" customHeight="1" x14ac:dyDescent="0.15">
      <c r="A214" s="22" t="s">
        <v>586</v>
      </c>
      <c r="B214" s="21">
        <v>151</v>
      </c>
      <c r="C214" s="22" t="s">
        <v>539</v>
      </c>
      <c r="D214" s="22" t="s">
        <v>494</v>
      </c>
      <c r="E214" s="22" t="s">
        <v>494</v>
      </c>
      <c r="F214" s="22" t="s">
        <v>587</v>
      </c>
      <c r="G214" s="22" t="s">
        <v>536</v>
      </c>
      <c r="H214" s="22" t="s">
        <v>87</v>
      </c>
      <c r="I214" s="22" t="s">
        <v>330</v>
      </c>
      <c r="J214" s="22" t="s">
        <v>331</v>
      </c>
      <c r="K214" s="22" t="s">
        <v>498</v>
      </c>
      <c r="L214" s="22" t="s">
        <v>536</v>
      </c>
      <c r="M214" s="22" t="s">
        <v>496</v>
      </c>
      <c r="N214" s="22" t="s">
        <v>496</v>
      </c>
      <c r="O214" s="22"/>
      <c r="P214" s="22"/>
      <c r="Q214" s="22" t="s">
        <v>496</v>
      </c>
      <c r="R214" s="22" t="s">
        <v>496</v>
      </c>
      <c r="S214" s="22" t="s">
        <v>537</v>
      </c>
      <c r="T214" s="22" t="s">
        <v>496</v>
      </c>
      <c r="U214" s="22" t="s">
        <v>496</v>
      </c>
      <c r="V214" s="22" t="s">
        <v>584</v>
      </c>
      <c r="W214" s="22" t="s">
        <v>585</v>
      </c>
      <c r="X214" s="22" t="s">
        <v>553</v>
      </c>
      <c r="Y214" s="22" t="s">
        <v>504</v>
      </c>
      <c r="Z214" s="22" t="s">
        <v>552</v>
      </c>
      <c r="AA214" s="22" t="s">
        <v>545</v>
      </c>
      <c r="AB214" s="22" t="s">
        <v>553</v>
      </c>
      <c r="AC214" s="22" t="s">
        <v>545</v>
      </c>
      <c r="AD214" s="22" t="s">
        <v>586</v>
      </c>
      <c r="AE214" s="22" t="s">
        <v>554</v>
      </c>
    </row>
    <row r="215" spans="1:31" ht="20.25" hidden="1" customHeight="1" x14ac:dyDescent="0.15">
      <c r="A215" s="24" t="s">
        <v>605</v>
      </c>
      <c r="B215" s="21">
        <v>151</v>
      </c>
      <c r="C215" s="22" t="s">
        <v>539</v>
      </c>
      <c r="D215" s="22" t="s">
        <v>494</v>
      </c>
      <c r="E215" s="22" t="s">
        <v>494</v>
      </c>
      <c r="F215" s="22" t="s">
        <v>587</v>
      </c>
      <c r="G215" s="22" t="s">
        <v>536</v>
      </c>
      <c r="H215" s="22" t="s">
        <v>87</v>
      </c>
      <c r="I215" s="22" t="s">
        <v>330</v>
      </c>
      <c r="J215" s="22" t="s">
        <v>331</v>
      </c>
      <c r="K215" s="22" t="s">
        <v>498</v>
      </c>
      <c r="L215" s="22" t="s">
        <v>536</v>
      </c>
      <c r="M215" s="22" t="s">
        <v>496</v>
      </c>
      <c r="N215" s="22" t="s">
        <v>496</v>
      </c>
      <c r="O215" s="22"/>
      <c r="P215" s="22"/>
      <c r="Q215" s="22" t="s">
        <v>496</v>
      </c>
      <c r="R215" s="22" t="s">
        <v>496</v>
      </c>
      <c r="S215" s="22" t="s">
        <v>537</v>
      </c>
      <c r="T215" s="22" t="s">
        <v>496</v>
      </c>
      <c r="U215" s="22" t="s">
        <v>537</v>
      </c>
      <c r="V215" s="22" t="s">
        <v>538</v>
      </c>
      <c r="W215" s="22" t="s">
        <v>504</v>
      </c>
      <c r="X215" s="22" t="s">
        <v>541</v>
      </c>
      <c r="Y215" s="22" t="s">
        <v>545</v>
      </c>
      <c r="Z215" s="22" t="s">
        <v>552</v>
      </c>
      <c r="AA215" s="22" t="s">
        <v>545</v>
      </c>
      <c r="AB215" s="22" t="s">
        <v>553</v>
      </c>
      <c r="AC215" s="22" t="s">
        <v>545</v>
      </c>
      <c r="AD215" s="22" t="s">
        <v>476</v>
      </c>
      <c r="AE215" s="22" t="s">
        <v>509</v>
      </c>
    </row>
    <row r="216" spans="1:31" ht="20.25" hidden="1" customHeight="1" x14ac:dyDescent="0.15">
      <c r="A216" s="24" t="s">
        <v>605</v>
      </c>
      <c r="B216" s="21">
        <v>152</v>
      </c>
      <c r="C216" s="22" t="s">
        <v>540</v>
      </c>
      <c r="D216" s="22" t="s">
        <v>494</v>
      </c>
      <c r="E216" s="22" t="s">
        <v>494</v>
      </c>
      <c r="F216" s="22" t="s">
        <v>587</v>
      </c>
      <c r="G216" s="22" t="s">
        <v>536</v>
      </c>
      <c r="H216" s="22" t="s">
        <v>87</v>
      </c>
      <c r="I216" s="22" t="s">
        <v>338</v>
      </c>
      <c r="J216" s="22" t="s">
        <v>339</v>
      </c>
      <c r="K216" s="22" t="s">
        <v>498</v>
      </c>
      <c r="L216" s="22" t="s">
        <v>541</v>
      </c>
      <c r="M216" s="22" t="s">
        <v>496</v>
      </c>
      <c r="N216" s="22" t="s">
        <v>496</v>
      </c>
      <c r="O216" s="22"/>
      <c r="P216" s="22"/>
      <c r="Q216" s="22" t="s">
        <v>496</v>
      </c>
      <c r="R216" s="22" t="s">
        <v>496</v>
      </c>
      <c r="S216" s="22" t="s">
        <v>537</v>
      </c>
      <c r="T216" s="22" t="s">
        <v>496</v>
      </c>
      <c r="U216" s="22" t="s">
        <v>537</v>
      </c>
      <c r="V216" s="22" t="s">
        <v>538</v>
      </c>
      <c r="W216" s="22" t="s">
        <v>504</v>
      </c>
      <c r="X216" s="22" t="s">
        <v>541</v>
      </c>
      <c r="Y216" s="22" t="s">
        <v>545</v>
      </c>
      <c r="Z216" s="22" t="s">
        <v>499</v>
      </c>
      <c r="AA216" s="22" t="s">
        <v>545</v>
      </c>
      <c r="AB216" s="22" t="s">
        <v>504</v>
      </c>
      <c r="AC216" s="22" t="s">
        <v>504</v>
      </c>
      <c r="AD216" s="22" t="s">
        <v>476</v>
      </c>
      <c r="AE216" s="22" t="s">
        <v>509</v>
      </c>
    </row>
    <row r="217" spans="1:31" ht="20.25" hidden="1" customHeight="1" x14ac:dyDescent="0.15">
      <c r="A217" s="48" t="s">
        <v>620</v>
      </c>
      <c r="B217" s="21">
        <v>153</v>
      </c>
      <c r="C217" s="22" t="s">
        <v>493</v>
      </c>
      <c r="D217" s="22" t="s">
        <v>494</v>
      </c>
      <c r="E217" s="22" t="s">
        <v>494</v>
      </c>
      <c r="F217" s="22" t="s">
        <v>588</v>
      </c>
      <c r="G217" s="22" t="s">
        <v>496</v>
      </c>
      <c r="H217" s="22" t="s">
        <v>79</v>
      </c>
      <c r="I217" s="22" t="s">
        <v>430</v>
      </c>
      <c r="J217" s="22" t="s">
        <v>431</v>
      </c>
      <c r="K217" s="22" t="s">
        <v>498</v>
      </c>
      <c r="L217" s="22" t="s">
        <v>499</v>
      </c>
      <c r="M217" s="22" t="s">
        <v>496</v>
      </c>
      <c r="N217" s="22" t="s">
        <v>496</v>
      </c>
      <c r="O217" s="22"/>
      <c r="P217" s="22"/>
      <c r="Q217" s="22" t="s">
        <v>496</v>
      </c>
      <c r="R217" s="22" t="s">
        <v>536</v>
      </c>
      <c r="S217" s="22" t="s">
        <v>501</v>
      </c>
      <c r="T217" s="22" t="s">
        <v>496</v>
      </c>
      <c r="U217" s="22" t="s">
        <v>496</v>
      </c>
      <c r="V217" s="22" t="s">
        <v>584</v>
      </c>
      <c r="W217" s="22" t="s">
        <v>585</v>
      </c>
      <c r="X217" s="22" t="s">
        <v>553</v>
      </c>
      <c r="Y217" s="22" t="s">
        <v>504</v>
      </c>
      <c r="Z217" s="22" t="s">
        <v>552</v>
      </c>
      <c r="AA217" s="22" t="s">
        <v>545</v>
      </c>
      <c r="AB217" s="22" t="s">
        <v>553</v>
      </c>
      <c r="AC217" s="22" t="s">
        <v>545</v>
      </c>
      <c r="AD217" s="22" t="s">
        <v>586</v>
      </c>
      <c r="AE217" s="22" t="s">
        <v>554</v>
      </c>
    </row>
    <row r="218" spans="1:31" ht="20.25" hidden="1" customHeight="1" x14ac:dyDescent="0.15">
      <c r="A218" s="24" t="s">
        <v>605</v>
      </c>
      <c r="B218" s="21">
        <v>153</v>
      </c>
      <c r="C218" s="22" t="s">
        <v>493</v>
      </c>
      <c r="D218" s="22" t="s">
        <v>494</v>
      </c>
      <c r="E218" s="22" t="s">
        <v>494</v>
      </c>
      <c r="F218" s="22" t="s">
        <v>588</v>
      </c>
      <c r="G218" s="22" t="s">
        <v>496</v>
      </c>
      <c r="H218" s="22" t="s">
        <v>79</v>
      </c>
      <c r="I218" s="22" t="s">
        <v>430</v>
      </c>
      <c r="J218" s="22" t="s">
        <v>431</v>
      </c>
      <c r="K218" s="22" t="s">
        <v>498</v>
      </c>
      <c r="L218" s="22" t="s">
        <v>499</v>
      </c>
      <c r="M218" s="22" t="s">
        <v>496</v>
      </c>
      <c r="N218" s="22" t="s">
        <v>496</v>
      </c>
      <c r="O218" s="22"/>
      <c r="P218" s="22"/>
      <c r="Q218" s="22" t="s">
        <v>496</v>
      </c>
      <c r="R218" s="22" t="s">
        <v>536</v>
      </c>
      <c r="S218" s="22" t="s">
        <v>501</v>
      </c>
      <c r="T218" s="22" t="s">
        <v>496</v>
      </c>
      <c r="U218" s="22" t="s">
        <v>501</v>
      </c>
      <c r="V218" s="22" t="s">
        <v>510</v>
      </c>
      <c r="W218" s="22" t="s">
        <v>504</v>
      </c>
      <c r="X218" s="22" t="s">
        <v>541</v>
      </c>
      <c r="Y218" s="22" t="s">
        <v>545</v>
      </c>
      <c r="Z218" s="22" t="s">
        <v>552</v>
      </c>
      <c r="AA218" s="22" t="s">
        <v>545</v>
      </c>
      <c r="AB218" s="22" t="s">
        <v>553</v>
      </c>
      <c r="AC218" s="22" t="s">
        <v>545</v>
      </c>
      <c r="AD218" s="22" t="s">
        <v>511</v>
      </c>
      <c r="AE218" s="22" t="s">
        <v>509</v>
      </c>
    </row>
    <row r="219" spans="1:31" ht="20.25" hidden="1" customHeight="1" x14ac:dyDescent="0.15">
      <c r="A219" s="48" t="s">
        <v>620</v>
      </c>
      <c r="B219" s="21">
        <v>154</v>
      </c>
      <c r="C219" s="22" t="s">
        <v>493</v>
      </c>
      <c r="D219" s="22" t="s">
        <v>512</v>
      </c>
      <c r="E219" s="22" t="s">
        <v>494</v>
      </c>
      <c r="F219" s="22" t="s">
        <v>588</v>
      </c>
      <c r="G219" s="22" t="s">
        <v>496</v>
      </c>
      <c r="H219" s="22" t="s">
        <v>80</v>
      </c>
      <c r="I219" s="22" t="s">
        <v>432</v>
      </c>
      <c r="J219" s="22" t="s">
        <v>433</v>
      </c>
      <c r="K219" s="22" t="s">
        <v>498</v>
      </c>
      <c r="L219" s="22" t="s">
        <v>498</v>
      </c>
      <c r="M219" s="22" t="s">
        <v>496</v>
      </c>
      <c r="N219" s="22" t="s">
        <v>496</v>
      </c>
      <c r="O219" s="22"/>
      <c r="P219" s="22"/>
      <c r="Q219" s="22" t="s">
        <v>496</v>
      </c>
      <c r="R219" s="22" t="s">
        <v>536</v>
      </c>
      <c r="S219" s="22" t="s">
        <v>501</v>
      </c>
      <c r="T219" s="22" t="s">
        <v>496</v>
      </c>
      <c r="U219" s="22" t="s">
        <v>496</v>
      </c>
      <c r="V219" s="22" t="s">
        <v>584</v>
      </c>
      <c r="W219" s="22" t="s">
        <v>585</v>
      </c>
      <c r="X219" s="22" t="s">
        <v>541</v>
      </c>
      <c r="Y219" s="22" t="s">
        <v>504</v>
      </c>
      <c r="Z219" s="22" t="s">
        <v>499</v>
      </c>
      <c r="AA219" s="22" t="s">
        <v>545</v>
      </c>
      <c r="AB219" s="22" t="s">
        <v>541</v>
      </c>
      <c r="AC219" s="22" t="s">
        <v>545</v>
      </c>
      <c r="AD219" s="22" t="s">
        <v>586</v>
      </c>
      <c r="AE219" s="22" t="s">
        <v>554</v>
      </c>
    </row>
    <row r="220" spans="1:31" ht="20.25" hidden="1" customHeight="1" x14ac:dyDescent="0.15">
      <c r="A220" s="24" t="s">
        <v>605</v>
      </c>
      <c r="B220" s="21">
        <v>154</v>
      </c>
      <c r="C220" s="22" t="s">
        <v>493</v>
      </c>
      <c r="D220" s="22" t="s">
        <v>512</v>
      </c>
      <c r="E220" s="22" t="s">
        <v>494</v>
      </c>
      <c r="F220" s="22" t="s">
        <v>588</v>
      </c>
      <c r="G220" s="22" t="s">
        <v>496</v>
      </c>
      <c r="H220" s="22" t="s">
        <v>80</v>
      </c>
      <c r="I220" s="22" t="s">
        <v>432</v>
      </c>
      <c r="J220" s="22" t="s">
        <v>433</v>
      </c>
      <c r="K220" s="22" t="s">
        <v>498</v>
      </c>
      <c r="L220" s="22" t="s">
        <v>498</v>
      </c>
      <c r="M220" s="22" t="s">
        <v>496</v>
      </c>
      <c r="N220" s="22" t="s">
        <v>496</v>
      </c>
      <c r="O220" s="22"/>
      <c r="P220" s="22"/>
      <c r="Q220" s="22" t="s">
        <v>496</v>
      </c>
      <c r="R220" s="22" t="s">
        <v>536</v>
      </c>
      <c r="S220" s="22" t="s">
        <v>501</v>
      </c>
      <c r="T220" s="22" t="s">
        <v>496</v>
      </c>
      <c r="U220" s="22" t="s">
        <v>501</v>
      </c>
      <c r="V220" s="22" t="s">
        <v>510</v>
      </c>
      <c r="W220" s="22" t="s">
        <v>504</v>
      </c>
      <c r="X220" s="22" t="s">
        <v>504</v>
      </c>
      <c r="Y220" s="22" t="s">
        <v>545</v>
      </c>
      <c r="Z220" s="22" t="s">
        <v>499</v>
      </c>
      <c r="AA220" s="22" t="s">
        <v>545</v>
      </c>
      <c r="AB220" s="22" t="s">
        <v>541</v>
      </c>
      <c r="AC220" s="22" t="s">
        <v>545</v>
      </c>
      <c r="AD220" s="22" t="s">
        <v>511</v>
      </c>
      <c r="AE220" s="22" t="s">
        <v>509</v>
      </c>
    </row>
    <row r="221" spans="1:31" ht="20.25" hidden="1" customHeight="1" x14ac:dyDescent="0.15">
      <c r="A221" s="48" t="s">
        <v>620</v>
      </c>
      <c r="B221" s="21">
        <v>155</v>
      </c>
      <c r="C221" s="22" t="s">
        <v>493</v>
      </c>
      <c r="D221" s="22" t="s">
        <v>516</v>
      </c>
      <c r="E221" s="22" t="s">
        <v>494</v>
      </c>
      <c r="F221" s="22" t="s">
        <v>588</v>
      </c>
      <c r="G221" s="22" t="s">
        <v>496</v>
      </c>
      <c r="H221" s="22" t="s">
        <v>81</v>
      </c>
      <c r="I221" s="22" t="s">
        <v>366</v>
      </c>
      <c r="J221" s="22" t="s">
        <v>367</v>
      </c>
      <c r="K221" s="22" t="s">
        <v>498</v>
      </c>
      <c r="L221" s="22" t="s">
        <v>522</v>
      </c>
      <c r="M221" s="22" t="s">
        <v>496</v>
      </c>
      <c r="N221" s="22" t="s">
        <v>496</v>
      </c>
      <c r="O221" s="22"/>
      <c r="P221" s="22"/>
      <c r="Q221" s="22" t="s">
        <v>496</v>
      </c>
      <c r="R221" s="22" t="s">
        <v>536</v>
      </c>
      <c r="S221" s="22" t="s">
        <v>501</v>
      </c>
      <c r="T221" s="22" t="s">
        <v>496</v>
      </c>
      <c r="U221" s="22" t="s">
        <v>496</v>
      </c>
      <c r="V221" s="22" t="s">
        <v>584</v>
      </c>
      <c r="W221" s="22" t="s">
        <v>585</v>
      </c>
      <c r="X221" s="22" t="s">
        <v>541</v>
      </c>
      <c r="Y221" s="22" t="s">
        <v>504</v>
      </c>
      <c r="Z221" s="22" t="s">
        <v>499</v>
      </c>
      <c r="AA221" s="22" t="s">
        <v>545</v>
      </c>
      <c r="AB221" s="22" t="s">
        <v>541</v>
      </c>
      <c r="AC221" s="22" t="s">
        <v>545</v>
      </c>
      <c r="AD221" s="22" t="s">
        <v>586</v>
      </c>
      <c r="AE221" s="22" t="s">
        <v>554</v>
      </c>
    </row>
    <row r="222" spans="1:31" ht="20.25" hidden="1" customHeight="1" x14ac:dyDescent="0.15">
      <c r="A222" s="48" t="s">
        <v>620</v>
      </c>
      <c r="B222" s="21">
        <v>156</v>
      </c>
      <c r="C222" s="22" t="s">
        <v>535</v>
      </c>
      <c r="D222" s="22" t="s">
        <v>494</v>
      </c>
      <c r="E222" s="22" t="s">
        <v>494</v>
      </c>
      <c r="F222" s="22" t="s">
        <v>588</v>
      </c>
      <c r="G222" s="22" t="s">
        <v>496</v>
      </c>
      <c r="H222" s="22" t="s">
        <v>79</v>
      </c>
      <c r="I222" s="22" t="s">
        <v>342</v>
      </c>
      <c r="J222" s="22" t="s">
        <v>343</v>
      </c>
      <c r="K222" s="22" t="s">
        <v>498</v>
      </c>
      <c r="L222" s="22" t="s">
        <v>536</v>
      </c>
      <c r="M222" s="22" t="s">
        <v>496</v>
      </c>
      <c r="N222" s="22" t="s">
        <v>496</v>
      </c>
      <c r="O222" s="22"/>
      <c r="P222" s="22"/>
      <c r="Q222" s="22" t="s">
        <v>496</v>
      </c>
      <c r="R222" s="22" t="s">
        <v>536</v>
      </c>
      <c r="S222" s="22" t="s">
        <v>501</v>
      </c>
      <c r="T222" s="22" t="s">
        <v>496</v>
      </c>
      <c r="U222" s="22" t="s">
        <v>496</v>
      </c>
      <c r="V222" s="22" t="s">
        <v>584</v>
      </c>
      <c r="W222" s="22" t="s">
        <v>585</v>
      </c>
      <c r="X222" s="22" t="s">
        <v>553</v>
      </c>
      <c r="Y222" s="22" t="s">
        <v>504</v>
      </c>
      <c r="Z222" s="22" t="s">
        <v>552</v>
      </c>
      <c r="AA222" s="22" t="s">
        <v>545</v>
      </c>
      <c r="AB222" s="22" t="s">
        <v>553</v>
      </c>
      <c r="AC222" s="22" t="s">
        <v>545</v>
      </c>
      <c r="AD222" s="22" t="s">
        <v>586</v>
      </c>
      <c r="AE222" s="22" t="s">
        <v>554</v>
      </c>
    </row>
    <row r="223" spans="1:31" ht="20.25" hidden="1" customHeight="1" x14ac:dyDescent="0.15">
      <c r="A223" s="24" t="s">
        <v>605</v>
      </c>
      <c r="B223" s="21">
        <v>156</v>
      </c>
      <c r="C223" s="22" t="s">
        <v>535</v>
      </c>
      <c r="D223" s="22" t="s">
        <v>494</v>
      </c>
      <c r="E223" s="22" t="s">
        <v>494</v>
      </c>
      <c r="F223" s="22" t="s">
        <v>588</v>
      </c>
      <c r="G223" s="22" t="s">
        <v>496</v>
      </c>
      <c r="H223" s="22" t="s">
        <v>79</v>
      </c>
      <c r="I223" s="22" t="s">
        <v>342</v>
      </c>
      <c r="J223" s="22" t="s">
        <v>343</v>
      </c>
      <c r="K223" s="22" t="s">
        <v>498</v>
      </c>
      <c r="L223" s="22" t="s">
        <v>536</v>
      </c>
      <c r="M223" s="22" t="s">
        <v>496</v>
      </c>
      <c r="N223" s="22" t="s">
        <v>496</v>
      </c>
      <c r="O223" s="22"/>
      <c r="P223" s="22"/>
      <c r="Q223" s="22" t="s">
        <v>496</v>
      </c>
      <c r="R223" s="22" t="s">
        <v>536</v>
      </c>
      <c r="S223" s="22" t="s">
        <v>501</v>
      </c>
      <c r="T223" s="22" t="s">
        <v>496</v>
      </c>
      <c r="U223" s="22" t="s">
        <v>501</v>
      </c>
      <c r="V223" s="22" t="s">
        <v>510</v>
      </c>
      <c r="W223" s="22" t="s">
        <v>504</v>
      </c>
      <c r="X223" s="22" t="s">
        <v>541</v>
      </c>
      <c r="Y223" s="22" t="s">
        <v>545</v>
      </c>
      <c r="Z223" s="22" t="s">
        <v>552</v>
      </c>
      <c r="AA223" s="22" t="s">
        <v>545</v>
      </c>
      <c r="AB223" s="22" t="s">
        <v>553</v>
      </c>
      <c r="AC223" s="22" t="s">
        <v>545</v>
      </c>
      <c r="AD223" s="22" t="s">
        <v>511</v>
      </c>
      <c r="AE223" s="22" t="s">
        <v>509</v>
      </c>
    </row>
    <row r="224" spans="1:31" ht="20.25" hidden="1" customHeight="1" x14ac:dyDescent="0.15">
      <c r="A224" s="48" t="s">
        <v>620</v>
      </c>
      <c r="B224" s="21">
        <v>157</v>
      </c>
      <c r="C224" s="22" t="s">
        <v>567</v>
      </c>
      <c r="D224" s="22" t="s">
        <v>494</v>
      </c>
      <c r="E224" s="22" t="s">
        <v>494</v>
      </c>
      <c r="F224" s="22" t="s">
        <v>588</v>
      </c>
      <c r="G224" s="22" t="s">
        <v>496</v>
      </c>
      <c r="H224" s="22" t="s">
        <v>79</v>
      </c>
      <c r="I224" s="22" t="s">
        <v>402</v>
      </c>
      <c r="J224" s="22" t="s">
        <v>403</v>
      </c>
      <c r="K224" s="22" t="s">
        <v>498</v>
      </c>
      <c r="L224" s="22" t="s">
        <v>541</v>
      </c>
      <c r="M224" s="22" t="s">
        <v>496</v>
      </c>
      <c r="N224" s="22" t="s">
        <v>496</v>
      </c>
      <c r="O224" s="22"/>
      <c r="P224" s="22"/>
      <c r="Q224" s="22" t="s">
        <v>496</v>
      </c>
      <c r="R224" s="22" t="s">
        <v>536</v>
      </c>
      <c r="S224" s="22" t="s">
        <v>501</v>
      </c>
      <c r="T224" s="22" t="s">
        <v>496</v>
      </c>
      <c r="U224" s="22" t="s">
        <v>496</v>
      </c>
      <c r="V224" s="22" t="s">
        <v>584</v>
      </c>
      <c r="W224" s="22" t="s">
        <v>585</v>
      </c>
      <c r="X224" s="22" t="s">
        <v>553</v>
      </c>
      <c r="Y224" s="22" t="s">
        <v>504</v>
      </c>
      <c r="Z224" s="22" t="s">
        <v>552</v>
      </c>
      <c r="AA224" s="22" t="s">
        <v>545</v>
      </c>
      <c r="AB224" s="22" t="s">
        <v>553</v>
      </c>
      <c r="AC224" s="22" t="s">
        <v>545</v>
      </c>
      <c r="AD224" s="22" t="s">
        <v>586</v>
      </c>
      <c r="AE224" s="22" t="s">
        <v>554</v>
      </c>
    </row>
    <row r="225" spans="1:31" ht="20.25" hidden="1" customHeight="1" x14ac:dyDescent="0.15">
      <c r="A225" s="24" t="s">
        <v>605</v>
      </c>
      <c r="B225" s="21">
        <v>157</v>
      </c>
      <c r="C225" s="22" t="s">
        <v>567</v>
      </c>
      <c r="D225" s="22" t="s">
        <v>494</v>
      </c>
      <c r="E225" s="22" t="s">
        <v>494</v>
      </c>
      <c r="F225" s="22" t="s">
        <v>588</v>
      </c>
      <c r="G225" s="22" t="s">
        <v>496</v>
      </c>
      <c r="H225" s="22" t="s">
        <v>79</v>
      </c>
      <c r="I225" s="22" t="s">
        <v>402</v>
      </c>
      <c r="J225" s="22" t="s">
        <v>403</v>
      </c>
      <c r="K225" s="22" t="s">
        <v>498</v>
      </c>
      <c r="L225" s="22" t="s">
        <v>541</v>
      </c>
      <c r="M225" s="22" t="s">
        <v>496</v>
      </c>
      <c r="N225" s="22" t="s">
        <v>496</v>
      </c>
      <c r="O225" s="22"/>
      <c r="P225" s="22"/>
      <c r="Q225" s="22" t="s">
        <v>496</v>
      </c>
      <c r="R225" s="22" t="s">
        <v>536</v>
      </c>
      <c r="S225" s="22" t="s">
        <v>501</v>
      </c>
      <c r="T225" s="22" t="s">
        <v>496</v>
      </c>
      <c r="U225" s="22" t="s">
        <v>501</v>
      </c>
      <c r="V225" s="22" t="s">
        <v>510</v>
      </c>
      <c r="W225" s="22" t="s">
        <v>504</v>
      </c>
      <c r="X225" s="22" t="s">
        <v>541</v>
      </c>
      <c r="Y225" s="22" t="s">
        <v>545</v>
      </c>
      <c r="Z225" s="22" t="s">
        <v>552</v>
      </c>
      <c r="AA225" s="22" t="s">
        <v>545</v>
      </c>
      <c r="AB225" s="22" t="s">
        <v>553</v>
      </c>
      <c r="AC225" s="22" t="s">
        <v>545</v>
      </c>
      <c r="AD225" s="22" t="s">
        <v>511</v>
      </c>
      <c r="AE225" s="22" t="s">
        <v>509</v>
      </c>
    </row>
    <row r="226" spans="1:31" ht="20.25" hidden="1" customHeight="1" x14ac:dyDescent="0.15">
      <c r="A226" s="48" t="s">
        <v>620</v>
      </c>
      <c r="B226" s="21">
        <v>158</v>
      </c>
      <c r="C226" s="22" t="s">
        <v>38</v>
      </c>
      <c r="D226" s="22" t="s">
        <v>494</v>
      </c>
      <c r="E226" s="22" t="s">
        <v>494</v>
      </c>
      <c r="F226" s="22" t="s">
        <v>588</v>
      </c>
      <c r="G226" s="22" t="s">
        <v>496</v>
      </c>
      <c r="H226" s="22" t="s">
        <v>79</v>
      </c>
      <c r="I226" s="22" t="s">
        <v>360</v>
      </c>
      <c r="J226" s="22" t="s">
        <v>361</v>
      </c>
      <c r="K226" s="22" t="s">
        <v>498</v>
      </c>
      <c r="L226" s="22" t="s">
        <v>499</v>
      </c>
      <c r="M226" s="22" t="s">
        <v>496</v>
      </c>
      <c r="N226" s="22" t="s">
        <v>496</v>
      </c>
      <c r="O226" s="22"/>
      <c r="P226" s="22"/>
      <c r="Q226" s="22" t="s">
        <v>496</v>
      </c>
      <c r="R226" s="22" t="s">
        <v>536</v>
      </c>
      <c r="S226" s="22" t="s">
        <v>537</v>
      </c>
      <c r="T226" s="22" t="s">
        <v>496</v>
      </c>
      <c r="U226" s="22" t="s">
        <v>496</v>
      </c>
      <c r="V226" s="22" t="s">
        <v>584</v>
      </c>
      <c r="W226" s="22" t="s">
        <v>585</v>
      </c>
      <c r="X226" s="22" t="s">
        <v>553</v>
      </c>
      <c r="Y226" s="22" t="s">
        <v>504</v>
      </c>
      <c r="Z226" s="22" t="s">
        <v>552</v>
      </c>
      <c r="AA226" s="22" t="s">
        <v>545</v>
      </c>
      <c r="AB226" s="22" t="s">
        <v>553</v>
      </c>
      <c r="AC226" s="22" t="s">
        <v>545</v>
      </c>
      <c r="AD226" s="22" t="s">
        <v>586</v>
      </c>
      <c r="AE226" s="22" t="s">
        <v>554</v>
      </c>
    </row>
    <row r="227" spans="1:31" ht="20.25" hidden="1" customHeight="1" x14ac:dyDescent="0.15">
      <c r="A227" s="24" t="s">
        <v>605</v>
      </c>
      <c r="B227" s="21">
        <v>158</v>
      </c>
      <c r="C227" s="22" t="s">
        <v>38</v>
      </c>
      <c r="D227" s="22" t="s">
        <v>494</v>
      </c>
      <c r="E227" s="22" t="s">
        <v>494</v>
      </c>
      <c r="F227" s="22" t="s">
        <v>588</v>
      </c>
      <c r="G227" s="22" t="s">
        <v>496</v>
      </c>
      <c r="H227" s="22" t="s">
        <v>79</v>
      </c>
      <c r="I227" s="22" t="s">
        <v>360</v>
      </c>
      <c r="J227" s="22" t="s">
        <v>361</v>
      </c>
      <c r="K227" s="22" t="s">
        <v>498</v>
      </c>
      <c r="L227" s="22" t="s">
        <v>499</v>
      </c>
      <c r="M227" s="22" t="s">
        <v>496</v>
      </c>
      <c r="N227" s="22" t="s">
        <v>496</v>
      </c>
      <c r="O227" s="22"/>
      <c r="P227" s="22"/>
      <c r="Q227" s="22" t="s">
        <v>496</v>
      </c>
      <c r="R227" s="22" t="s">
        <v>536</v>
      </c>
      <c r="S227" s="22" t="s">
        <v>537</v>
      </c>
      <c r="T227" s="22" t="s">
        <v>496</v>
      </c>
      <c r="U227" s="22" t="s">
        <v>537</v>
      </c>
      <c r="V227" s="22" t="s">
        <v>538</v>
      </c>
      <c r="W227" s="22" t="s">
        <v>504</v>
      </c>
      <c r="X227" s="22" t="s">
        <v>541</v>
      </c>
      <c r="Y227" s="22" t="s">
        <v>545</v>
      </c>
      <c r="Z227" s="22" t="s">
        <v>552</v>
      </c>
      <c r="AA227" s="22" t="s">
        <v>545</v>
      </c>
      <c r="AB227" s="22" t="s">
        <v>553</v>
      </c>
      <c r="AC227" s="22" t="s">
        <v>545</v>
      </c>
      <c r="AD227" s="22" t="s">
        <v>476</v>
      </c>
      <c r="AE227" s="22" t="s">
        <v>509</v>
      </c>
    </row>
    <row r="228" spans="1:31" ht="20.25" hidden="1" customHeight="1" x14ac:dyDescent="0.15">
      <c r="A228" s="48" t="s">
        <v>620</v>
      </c>
      <c r="B228" s="21">
        <v>159</v>
      </c>
      <c r="C228" s="22" t="s">
        <v>38</v>
      </c>
      <c r="D228" s="22" t="s">
        <v>512</v>
      </c>
      <c r="E228" s="22" t="s">
        <v>494</v>
      </c>
      <c r="F228" s="22" t="s">
        <v>588</v>
      </c>
      <c r="G228" s="22" t="s">
        <v>496</v>
      </c>
      <c r="H228" s="22" t="s">
        <v>80</v>
      </c>
      <c r="I228" s="22" t="s">
        <v>112</v>
      </c>
      <c r="J228" s="22" t="s">
        <v>113</v>
      </c>
      <c r="K228" s="22" t="s">
        <v>498</v>
      </c>
      <c r="L228" s="22" t="s">
        <v>498</v>
      </c>
      <c r="M228" s="22" t="s">
        <v>496</v>
      </c>
      <c r="N228" s="22" t="s">
        <v>496</v>
      </c>
      <c r="O228" s="22"/>
      <c r="P228" s="22"/>
      <c r="Q228" s="22" t="s">
        <v>496</v>
      </c>
      <c r="R228" s="22" t="s">
        <v>536</v>
      </c>
      <c r="S228" s="22" t="s">
        <v>537</v>
      </c>
      <c r="T228" s="22" t="s">
        <v>496</v>
      </c>
      <c r="U228" s="22" t="s">
        <v>496</v>
      </c>
      <c r="V228" s="22" t="s">
        <v>584</v>
      </c>
      <c r="W228" s="22" t="s">
        <v>585</v>
      </c>
      <c r="X228" s="22" t="s">
        <v>541</v>
      </c>
      <c r="Y228" s="22" t="s">
        <v>504</v>
      </c>
      <c r="Z228" s="22" t="s">
        <v>499</v>
      </c>
      <c r="AA228" s="22" t="s">
        <v>545</v>
      </c>
      <c r="AB228" s="22" t="s">
        <v>541</v>
      </c>
      <c r="AC228" s="22" t="s">
        <v>545</v>
      </c>
      <c r="AD228" s="22" t="s">
        <v>586</v>
      </c>
      <c r="AE228" s="22" t="s">
        <v>554</v>
      </c>
    </row>
    <row r="229" spans="1:31" ht="20.25" hidden="1" customHeight="1" x14ac:dyDescent="0.15">
      <c r="A229" s="24" t="s">
        <v>605</v>
      </c>
      <c r="B229" s="21">
        <v>159</v>
      </c>
      <c r="C229" s="22" t="s">
        <v>38</v>
      </c>
      <c r="D229" s="22" t="s">
        <v>512</v>
      </c>
      <c r="E229" s="22" t="s">
        <v>494</v>
      </c>
      <c r="F229" s="22" t="s">
        <v>588</v>
      </c>
      <c r="G229" s="22" t="s">
        <v>496</v>
      </c>
      <c r="H229" s="22" t="s">
        <v>80</v>
      </c>
      <c r="I229" s="22" t="s">
        <v>112</v>
      </c>
      <c r="J229" s="22" t="s">
        <v>113</v>
      </c>
      <c r="K229" s="22" t="s">
        <v>498</v>
      </c>
      <c r="L229" s="22" t="s">
        <v>498</v>
      </c>
      <c r="M229" s="22" t="s">
        <v>496</v>
      </c>
      <c r="N229" s="22" t="s">
        <v>496</v>
      </c>
      <c r="O229" s="22"/>
      <c r="P229" s="22"/>
      <c r="Q229" s="22" t="s">
        <v>496</v>
      </c>
      <c r="R229" s="22" t="s">
        <v>536</v>
      </c>
      <c r="S229" s="22" t="s">
        <v>537</v>
      </c>
      <c r="T229" s="22" t="s">
        <v>496</v>
      </c>
      <c r="U229" s="22" t="s">
        <v>537</v>
      </c>
      <c r="V229" s="22" t="s">
        <v>538</v>
      </c>
      <c r="W229" s="22" t="s">
        <v>504</v>
      </c>
      <c r="X229" s="22" t="s">
        <v>504</v>
      </c>
      <c r="Y229" s="22" t="s">
        <v>545</v>
      </c>
      <c r="Z229" s="22" t="s">
        <v>499</v>
      </c>
      <c r="AA229" s="22" t="s">
        <v>545</v>
      </c>
      <c r="AB229" s="22" t="s">
        <v>541</v>
      </c>
      <c r="AC229" s="22" t="s">
        <v>545</v>
      </c>
      <c r="AD229" s="22" t="s">
        <v>476</v>
      </c>
      <c r="AE229" s="22" t="s">
        <v>509</v>
      </c>
    </row>
    <row r="230" spans="1:31" ht="20.25" hidden="1" customHeight="1" x14ac:dyDescent="0.15">
      <c r="A230" s="48" t="s">
        <v>620</v>
      </c>
      <c r="B230" s="21">
        <v>160</v>
      </c>
      <c r="C230" s="22" t="s">
        <v>38</v>
      </c>
      <c r="D230" s="22" t="s">
        <v>516</v>
      </c>
      <c r="E230" s="22" t="s">
        <v>494</v>
      </c>
      <c r="F230" s="22" t="s">
        <v>588</v>
      </c>
      <c r="G230" s="22" t="s">
        <v>496</v>
      </c>
      <c r="H230" s="22" t="s">
        <v>81</v>
      </c>
      <c r="I230" s="22" t="s">
        <v>426</v>
      </c>
      <c r="J230" s="22" t="s">
        <v>427</v>
      </c>
      <c r="K230" s="22" t="s">
        <v>498</v>
      </c>
      <c r="L230" s="22" t="s">
        <v>522</v>
      </c>
      <c r="M230" s="22" t="s">
        <v>496</v>
      </c>
      <c r="N230" s="22" t="s">
        <v>496</v>
      </c>
      <c r="O230" s="22"/>
      <c r="P230" s="22"/>
      <c r="Q230" s="22" t="s">
        <v>496</v>
      </c>
      <c r="R230" s="22" t="s">
        <v>536</v>
      </c>
      <c r="S230" s="22" t="s">
        <v>537</v>
      </c>
      <c r="T230" s="22" t="s">
        <v>496</v>
      </c>
      <c r="U230" s="22" t="s">
        <v>496</v>
      </c>
      <c r="V230" s="22" t="s">
        <v>584</v>
      </c>
      <c r="W230" s="22" t="s">
        <v>585</v>
      </c>
      <c r="X230" s="22" t="s">
        <v>541</v>
      </c>
      <c r="Y230" s="22" t="s">
        <v>504</v>
      </c>
      <c r="Z230" s="22" t="s">
        <v>499</v>
      </c>
      <c r="AA230" s="22" t="s">
        <v>545</v>
      </c>
      <c r="AB230" s="22" t="s">
        <v>541</v>
      </c>
      <c r="AC230" s="22" t="s">
        <v>545</v>
      </c>
      <c r="AD230" s="22" t="s">
        <v>586</v>
      </c>
      <c r="AE230" s="22" t="s">
        <v>554</v>
      </c>
    </row>
    <row r="231" spans="1:31" ht="20.25" hidden="1" customHeight="1" x14ac:dyDescent="0.15">
      <c r="A231" s="48" t="s">
        <v>620</v>
      </c>
      <c r="B231" s="21">
        <v>161</v>
      </c>
      <c r="C231" s="22" t="s">
        <v>539</v>
      </c>
      <c r="D231" s="22" t="s">
        <v>494</v>
      </c>
      <c r="E231" s="22" t="s">
        <v>494</v>
      </c>
      <c r="F231" s="22" t="s">
        <v>588</v>
      </c>
      <c r="G231" s="22" t="s">
        <v>496</v>
      </c>
      <c r="H231" s="22" t="s">
        <v>79</v>
      </c>
      <c r="I231" s="22" t="s">
        <v>262</v>
      </c>
      <c r="J231" s="22" t="s">
        <v>263</v>
      </c>
      <c r="K231" s="22" t="s">
        <v>498</v>
      </c>
      <c r="L231" s="22" t="s">
        <v>536</v>
      </c>
      <c r="M231" s="22" t="s">
        <v>496</v>
      </c>
      <c r="N231" s="22" t="s">
        <v>496</v>
      </c>
      <c r="O231" s="22"/>
      <c r="P231" s="22"/>
      <c r="Q231" s="22" t="s">
        <v>496</v>
      </c>
      <c r="R231" s="22" t="s">
        <v>536</v>
      </c>
      <c r="S231" s="22" t="s">
        <v>537</v>
      </c>
      <c r="T231" s="22" t="s">
        <v>496</v>
      </c>
      <c r="U231" s="22" t="s">
        <v>496</v>
      </c>
      <c r="V231" s="22" t="s">
        <v>584</v>
      </c>
      <c r="W231" s="22" t="s">
        <v>585</v>
      </c>
      <c r="X231" s="22" t="s">
        <v>553</v>
      </c>
      <c r="Y231" s="22" t="s">
        <v>504</v>
      </c>
      <c r="Z231" s="22" t="s">
        <v>552</v>
      </c>
      <c r="AA231" s="22" t="s">
        <v>545</v>
      </c>
      <c r="AB231" s="22" t="s">
        <v>553</v>
      </c>
      <c r="AC231" s="22" t="s">
        <v>545</v>
      </c>
      <c r="AD231" s="22" t="s">
        <v>586</v>
      </c>
      <c r="AE231" s="22" t="s">
        <v>554</v>
      </c>
    </row>
    <row r="232" spans="1:31" ht="20.25" hidden="1" customHeight="1" x14ac:dyDescent="0.15">
      <c r="A232" s="24" t="s">
        <v>605</v>
      </c>
      <c r="B232" s="21">
        <v>161</v>
      </c>
      <c r="C232" s="22" t="s">
        <v>539</v>
      </c>
      <c r="D232" s="22" t="s">
        <v>494</v>
      </c>
      <c r="E232" s="22" t="s">
        <v>494</v>
      </c>
      <c r="F232" s="22" t="s">
        <v>588</v>
      </c>
      <c r="G232" s="22" t="s">
        <v>496</v>
      </c>
      <c r="H232" s="22" t="s">
        <v>79</v>
      </c>
      <c r="I232" s="22" t="s">
        <v>262</v>
      </c>
      <c r="J232" s="22" t="s">
        <v>263</v>
      </c>
      <c r="K232" s="22" t="s">
        <v>498</v>
      </c>
      <c r="L232" s="22" t="s">
        <v>536</v>
      </c>
      <c r="M232" s="22" t="s">
        <v>496</v>
      </c>
      <c r="N232" s="22" t="s">
        <v>496</v>
      </c>
      <c r="O232" s="22"/>
      <c r="P232" s="22"/>
      <c r="Q232" s="22" t="s">
        <v>496</v>
      </c>
      <c r="R232" s="22" t="s">
        <v>536</v>
      </c>
      <c r="S232" s="22" t="s">
        <v>537</v>
      </c>
      <c r="T232" s="22" t="s">
        <v>496</v>
      </c>
      <c r="U232" s="22" t="s">
        <v>537</v>
      </c>
      <c r="V232" s="22" t="s">
        <v>538</v>
      </c>
      <c r="W232" s="22" t="s">
        <v>504</v>
      </c>
      <c r="X232" s="22" t="s">
        <v>541</v>
      </c>
      <c r="Y232" s="22" t="s">
        <v>545</v>
      </c>
      <c r="Z232" s="22" t="s">
        <v>552</v>
      </c>
      <c r="AA232" s="22" t="s">
        <v>545</v>
      </c>
      <c r="AB232" s="22" t="s">
        <v>553</v>
      </c>
      <c r="AC232" s="22" t="s">
        <v>545</v>
      </c>
      <c r="AD232" s="22" t="s">
        <v>476</v>
      </c>
      <c r="AE232" s="22" t="s">
        <v>509</v>
      </c>
    </row>
    <row r="233" spans="1:31" ht="20.25" hidden="1" customHeight="1" x14ac:dyDescent="0.15">
      <c r="A233" s="48" t="s">
        <v>620</v>
      </c>
      <c r="B233" s="21">
        <v>162</v>
      </c>
      <c r="C233" s="22" t="s">
        <v>540</v>
      </c>
      <c r="D233" s="22" t="s">
        <v>494</v>
      </c>
      <c r="E233" s="22" t="s">
        <v>494</v>
      </c>
      <c r="F233" s="22" t="s">
        <v>588</v>
      </c>
      <c r="G233" s="22" t="s">
        <v>496</v>
      </c>
      <c r="H233" s="22" t="s">
        <v>79</v>
      </c>
      <c r="I233" s="22" t="s">
        <v>248</v>
      </c>
      <c r="J233" s="22" t="s">
        <v>249</v>
      </c>
      <c r="K233" s="22" t="s">
        <v>498</v>
      </c>
      <c r="L233" s="22" t="s">
        <v>541</v>
      </c>
      <c r="M233" s="22" t="s">
        <v>496</v>
      </c>
      <c r="N233" s="22" t="s">
        <v>496</v>
      </c>
      <c r="O233" s="22"/>
      <c r="P233" s="22"/>
      <c r="Q233" s="22" t="s">
        <v>496</v>
      </c>
      <c r="R233" s="22" t="s">
        <v>536</v>
      </c>
      <c r="S233" s="22" t="s">
        <v>537</v>
      </c>
      <c r="T233" s="22" t="s">
        <v>496</v>
      </c>
      <c r="U233" s="22" t="s">
        <v>496</v>
      </c>
      <c r="V233" s="22" t="s">
        <v>584</v>
      </c>
      <c r="W233" s="22" t="s">
        <v>585</v>
      </c>
      <c r="X233" s="22" t="s">
        <v>553</v>
      </c>
      <c r="Y233" s="22" t="s">
        <v>504</v>
      </c>
      <c r="Z233" s="22" t="s">
        <v>552</v>
      </c>
      <c r="AA233" s="22" t="s">
        <v>545</v>
      </c>
      <c r="AB233" s="22" t="s">
        <v>553</v>
      </c>
      <c r="AC233" s="22" t="s">
        <v>545</v>
      </c>
      <c r="AD233" s="22" t="s">
        <v>586</v>
      </c>
      <c r="AE233" s="22" t="s">
        <v>554</v>
      </c>
    </row>
    <row r="234" spans="1:31" ht="20.25" hidden="1" customHeight="1" x14ac:dyDescent="0.15">
      <c r="A234" s="24" t="s">
        <v>605</v>
      </c>
      <c r="B234" s="21">
        <v>162</v>
      </c>
      <c r="C234" s="22" t="s">
        <v>540</v>
      </c>
      <c r="D234" s="22" t="s">
        <v>494</v>
      </c>
      <c r="E234" s="22" t="s">
        <v>494</v>
      </c>
      <c r="F234" s="22" t="s">
        <v>588</v>
      </c>
      <c r="G234" s="22" t="s">
        <v>496</v>
      </c>
      <c r="H234" s="22" t="s">
        <v>79</v>
      </c>
      <c r="I234" s="22" t="s">
        <v>248</v>
      </c>
      <c r="J234" s="22" t="s">
        <v>249</v>
      </c>
      <c r="K234" s="22" t="s">
        <v>498</v>
      </c>
      <c r="L234" s="22" t="s">
        <v>541</v>
      </c>
      <c r="M234" s="22" t="s">
        <v>496</v>
      </c>
      <c r="N234" s="22" t="s">
        <v>496</v>
      </c>
      <c r="O234" s="22"/>
      <c r="P234" s="22"/>
      <c r="Q234" s="22" t="s">
        <v>496</v>
      </c>
      <c r="R234" s="22" t="s">
        <v>536</v>
      </c>
      <c r="S234" s="22" t="s">
        <v>537</v>
      </c>
      <c r="T234" s="22" t="s">
        <v>496</v>
      </c>
      <c r="U234" s="22" t="s">
        <v>537</v>
      </c>
      <c r="V234" s="22" t="s">
        <v>538</v>
      </c>
      <c r="W234" s="22" t="s">
        <v>504</v>
      </c>
      <c r="X234" s="22" t="s">
        <v>541</v>
      </c>
      <c r="Y234" s="22" t="s">
        <v>545</v>
      </c>
      <c r="Z234" s="22" t="s">
        <v>552</v>
      </c>
      <c r="AA234" s="22" t="s">
        <v>545</v>
      </c>
      <c r="AB234" s="22" t="s">
        <v>553</v>
      </c>
      <c r="AC234" s="22" t="s">
        <v>545</v>
      </c>
      <c r="AD234" s="22" t="s">
        <v>476</v>
      </c>
      <c r="AE234" s="22" t="s">
        <v>509</v>
      </c>
    </row>
    <row r="235" spans="1:31" ht="20.25" hidden="1" customHeight="1" x14ac:dyDescent="0.15">
      <c r="A235" s="48" t="s">
        <v>621</v>
      </c>
      <c r="B235" s="21">
        <v>163</v>
      </c>
      <c r="C235" s="22" t="s">
        <v>493</v>
      </c>
      <c r="D235" s="22" t="s">
        <v>494</v>
      </c>
      <c r="E235" s="22" t="s">
        <v>494</v>
      </c>
      <c r="F235" s="22" t="s">
        <v>589</v>
      </c>
      <c r="G235" s="22" t="s">
        <v>496</v>
      </c>
      <c r="H235" s="22" t="s">
        <v>91</v>
      </c>
      <c r="I235" s="22" t="s">
        <v>274</v>
      </c>
      <c r="J235" s="22" t="s">
        <v>275</v>
      </c>
      <c r="K235" s="22" t="s">
        <v>498</v>
      </c>
      <c r="L235" s="22" t="s">
        <v>499</v>
      </c>
      <c r="M235" s="22" t="s">
        <v>496</v>
      </c>
      <c r="N235" s="22" t="s">
        <v>496</v>
      </c>
      <c r="O235" s="22"/>
      <c r="P235" s="22"/>
      <c r="Q235" s="22" t="s">
        <v>496</v>
      </c>
      <c r="R235" s="22" t="s">
        <v>536</v>
      </c>
      <c r="S235" s="22" t="s">
        <v>501</v>
      </c>
      <c r="T235" s="22" t="s">
        <v>496</v>
      </c>
      <c r="U235" s="22" t="s">
        <v>496</v>
      </c>
      <c r="V235" s="22" t="s">
        <v>584</v>
      </c>
      <c r="W235" s="22" t="s">
        <v>585</v>
      </c>
      <c r="X235" s="22" t="s">
        <v>553</v>
      </c>
      <c r="Y235" s="22" t="s">
        <v>504</v>
      </c>
      <c r="Z235" s="22" t="s">
        <v>552</v>
      </c>
      <c r="AA235" s="22" t="s">
        <v>545</v>
      </c>
      <c r="AB235" s="22" t="s">
        <v>553</v>
      </c>
      <c r="AC235" s="22" t="s">
        <v>545</v>
      </c>
      <c r="AD235" s="22" t="s">
        <v>586</v>
      </c>
      <c r="AE235" s="22" t="s">
        <v>554</v>
      </c>
    </row>
    <row r="236" spans="1:31" ht="20.25" hidden="1" customHeight="1" x14ac:dyDescent="0.15">
      <c r="A236" s="24" t="s">
        <v>605</v>
      </c>
      <c r="B236" s="21">
        <v>163</v>
      </c>
      <c r="C236" s="22" t="s">
        <v>493</v>
      </c>
      <c r="D236" s="22" t="s">
        <v>494</v>
      </c>
      <c r="E236" s="22" t="s">
        <v>494</v>
      </c>
      <c r="F236" s="22" t="s">
        <v>589</v>
      </c>
      <c r="G236" s="22" t="s">
        <v>496</v>
      </c>
      <c r="H236" s="22" t="s">
        <v>91</v>
      </c>
      <c r="I236" s="22" t="s">
        <v>274</v>
      </c>
      <c r="J236" s="22" t="s">
        <v>275</v>
      </c>
      <c r="K236" s="22" t="s">
        <v>498</v>
      </c>
      <c r="L236" s="22" t="s">
        <v>499</v>
      </c>
      <c r="M236" s="22" t="s">
        <v>496</v>
      </c>
      <c r="N236" s="22" t="s">
        <v>496</v>
      </c>
      <c r="O236" s="22"/>
      <c r="P236" s="22"/>
      <c r="Q236" s="22" t="s">
        <v>496</v>
      </c>
      <c r="R236" s="22" t="s">
        <v>536</v>
      </c>
      <c r="S236" s="22" t="s">
        <v>501</v>
      </c>
      <c r="T236" s="22" t="s">
        <v>496</v>
      </c>
      <c r="U236" s="22" t="s">
        <v>501</v>
      </c>
      <c r="V236" s="22" t="s">
        <v>510</v>
      </c>
      <c r="W236" s="22" t="s">
        <v>504</v>
      </c>
      <c r="X236" s="22" t="s">
        <v>541</v>
      </c>
      <c r="Y236" s="22" t="s">
        <v>545</v>
      </c>
      <c r="Z236" s="22" t="s">
        <v>552</v>
      </c>
      <c r="AA236" s="22" t="s">
        <v>545</v>
      </c>
      <c r="AB236" s="22" t="s">
        <v>553</v>
      </c>
      <c r="AC236" s="22" t="s">
        <v>545</v>
      </c>
      <c r="AD236" s="22" t="s">
        <v>511</v>
      </c>
      <c r="AE236" s="22" t="s">
        <v>509</v>
      </c>
    </row>
    <row r="237" spans="1:31" ht="20.25" hidden="1" customHeight="1" x14ac:dyDescent="0.15">
      <c r="A237" s="24" t="s">
        <v>605</v>
      </c>
      <c r="B237" s="21">
        <v>164</v>
      </c>
      <c r="C237" s="22" t="s">
        <v>493</v>
      </c>
      <c r="D237" s="22" t="s">
        <v>512</v>
      </c>
      <c r="E237" s="22" t="s">
        <v>494</v>
      </c>
      <c r="F237" s="22" t="s">
        <v>589</v>
      </c>
      <c r="G237" s="22" t="s">
        <v>496</v>
      </c>
      <c r="H237" s="22" t="s">
        <v>92</v>
      </c>
      <c r="I237" s="22" t="s">
        <v>428</v>
      </c>
      <c r="J237" s="22" t="s">
        <v>429</v>
      </c>
      <c r="K237" s="22" t="s">
        <v>498</v>
      </c>
      <c r="L237" s="22" t="s">
        <v>498</v>
      </c>
      <c r="M237" s="22" t="s">
        <v>496</v>
      </c>
      <c r="N237" s="22" t="s">
        <v>496</v>
      </c>
      <c r="O237" s="22"/>
      <c r="P237" s="22"/>
      <c r="Q237" s="22" t="s">
        <v>496</v>
      </c>
      <c r="R237" s="22" t="s">
        <v>536</v>
      </c>
      <c r="S237" s="22" t="s">
        <v>501</v>
      </c>
      <c r="T237" s="22" t="s">
        <v>496</v>
      </c>
      <c r="U237" s="22" t="s">
        <v>501</v>
      </c>
      <c r="V237" s="22" t="s">
        <v>510</v>
      </c>
      <c r="W237" s="22" t="s">
        <v>504</v>
      </c>
      <c r="X237" s="22" t="s">
        <v>504</v>
      </c>
      <c r="Y237" s="22" t="s">
        <v>545</v>
      </c>
      <c r="Z237" s="22" t="s">
        <v>499</v>
      </c>
      <c r="AA237" s="22" t="s">
        <v>545</v>
      </c>
      <c r="AB237" s="22" t="s">
        <v>541</v>
      </c>
      <c r="AC237" s="22" t="s">
        <v>545</v>
      </c>
      <c r="AD237" s="22" t="s">
        <v>511</v>
      </c>
      <c r="AE237" s="22" t="s">
        <v>509</v>
      </c>
    </row>
    <row r="238" spans="1:31" ht="20.25" hidden="1" customHeight="1" x14ac:dyDescent="0.15">
      <c r="A238" s="48" t="s">
        <v>621</v>
      </c>
      <c r="B238" s="21">
        <v>164</v>
      </c>
      <c r="C238" s="22" t="s">
        <v>493</v>
      </c>
      <c r="D238" s="22" t="s">
        <v>512</v>
      </c>
      <c r="E238" s="22" t="s">
        <v>494</v>
      </c>
      <c r="F238" s="22" t="s">
        <v>589</v>
      </c>
      <c r="G238" s="22" t="s">
        <v>496</v>
      </c>
      <c r="H238" s="22" t="s">
        <v>92</v>
      </c>
      <c r="I238" s="22" t="s">
        <v>428</v>
      </c>
      <c r="J238" s="22" t="s">
        <v>429</v>
      </c>
      <c r="K238" s="22" t="s">
        <v>498</v>
      </c>
      <c r="L238" s="22" t="s">
        <v>498</v>
      </c>
      <c r="M238" s="22" t="s">
        <v>496</v>
      </c>
      <c r="N238" s="22" t="s">
        <v>496</v>
      </c>
      <c r="O238" s="22"/>
      <c r="P238" s="22"/>
      <c r="Q238" s="22" t="s">
        <v>496</v>
      </c>
      <c r="R238" s="22" t="s">
        <v>536</v>
      </c>
      <c r="S238" s="22" t="s">
        <v>501</v>
      </c>
      <c r="T238" s="22" t="s">
        <v>496</v>
      </c>
      <c r="U238" s="22" t="s">
        <v>496</v>
      </c>
      <c r="V238" s="22" t="s">
        <v>584</v>
      </c>
      <c r="W238" s="22" t="s">
        <v>585</v>
      </c>
      <c r="X238" s="22" t="s">
        <v>541</v>
      </c>
      <c r="Y238" s="22" t="s">
        <v>504</v>
      </c>
      <c r="Z238" s="22" t="s">
        <v>499</v>
      </c>
      <c r="AA238" s="22" t="s">
        <v>545</v>
      </c>
      <c r="AB238" s="22" t="s">
        <v>541</v>
      </c>
      <c r="AC238" s="22" t="s">
        <v>545</v>
      </c>
      <c r="AD238" s="22" t="s">
        <v>586</v>
      </c>
      <c r="AE238" s="22" t="s">
        <v>554</v>
      </c>
    </row>
    <row r="239" spans="1:31" ht="20.25" hidden="1" customHeight="1" x14ac:dyDescent="0.15">
      <c r="A239" s="48" t="s">
        <v>621</v>
      </c>
      <c r="B239" s="21">
        <v>165</v>
      </c>
      <c r="C239" s="22" t="s">
        <v>493</v>
      </c>
      <c r="D239" s="22" t="s">
        <v>516</v>
      </c>
      <c r="E239" s="22" t="s">
        <v>494</v>
      </c>
      <c r="F239" s="22" t="s">
        <v>589</v>
      </c>
      <c r="G239" s="22" t="s">
        <v>496</v>
      </c>
      <c r="H239" s="22" t="s">
        <v>93</v>
      </c>
      <c r="I239" s="22" t="s">
        <v>246</v>
      </c>
      <c r="J239" s="22" t="s">
        <v>247</v>
      </c>
      <c r="K239" s="22" t="s">
        <v>498</v>
      </c>
      <c r="L239" s="22" t="s">
        <v>522</v>
      </c>
      <c r="M239" s="22" t="s">
        <v>496</v>
      </c>
      <c r="N239" s="22" t="s">
        <v>496</v>
      </c>
      <c r="O239" s="22"/>
      <c r="P239" s="22"/>
      <c r="Q239" s="22" t="s">
        <v>496</v>
      </c>
      <c r="R239" s="22" t="s">
        <v>536</v>
      </c>
      <c r="S239" s="22" t="s">
        <v>501</v>
      </c>
      <c r="T239" s="22" t="s">
        <v>496</v>
      </c>
      <c r="U239" s="22" t="s">
        <v>496</v>
      </c>
      <c r="V239" s="22" t="s">
        <v>584</v>
      </c>
      <c r="W239" s="22" t="s">
        <v>585</v>
      </c>
      <c r="X239" s="22" t="s">
        <v>541</v>
      </c>
      <c r="Y239" s="22" t="s">
        <v>504</v>
      </c>
      <c r="Z239" s="22" t="s">
        <v>499</v>
      </c>
      <c r="AA239" s="22" t="s">
        <v>545</v>
      </c>
      <c r="AB239" s="22" t="s">
        <v>541</v>
      </c>
      <c r="AC239" s="22" t="s">
        <v>545</v>
      </c>
      <c r="AD239" s="22" t="s">
        <v>586</v>
      </c>
      <c r="AE239" s="22" t="s">
        <v>554</v>
      </c>
    </row>
    <row r="240" spans="1:31" ht="20.25" hidden="1" customHeight="1" x14ac:dyDescent="0.15">
      <c r="A240" s="48" t="s">
        <v>621</v>
      </c>
      <c r="B240" s="21">
        <v>166</v>
      </c>
      <c r="C240" s="22" t="s">
        <v>535</v>
      </c>
      <c r="D240" s="22" t="s">
        <v>494</v>
      </c>
      <c r="E240" s="22" t="s">
        <v>494</v>
      </c>
      <c r="F240" s="22" t="s">
        <v>589</v>
      </c>
      <c r="G240" s="22" t="s">
        <v>496</v>
      </c>
      <c r="H240" s="22" t="s">
        <v>91</v>
      </c>
      <c r="I240" s="22" t="s">
        <v>240</v>
      </c>
      <c r="J240" s="22" t="s">
        <v>241</v>
      </c>
      <c r="K240" s="22" t="s">
        <v>498</v>
      </c>
      <c r="L240" s="22" t="s">
        <v>536</v>
      </c>
      <c r="M240" s="22" t="s">
        <v>496</v>
      </c>
      <c r="N240" s="22" t="s">
        <v>496</v>
      </c>
      <c r="O240" s="22"/>
      <c r="P240" s="22"/>
      <c r="Q240" s="22" t="s">
        <v>496</v>
      </c>
      <c r="R240" s="22" t="s">
        <v>536</v>
      </c>
      <c r="S240" s="22" t="s">
        <v>501</v>
      </c>
      <c r="T240" s="22" t="s">
        <v>496</v>
      </c>
      <c r="U240" s="22" t="s">
        <v>496</v>
      </c>
      <c r="V240" s="22" t="s">
        <v>584</v>
      </c>
      <c r="W240" s="22" t="s">
        <v>585</v>
      </c>
      <c r="X240" s="22" t="s">
        <v>553</v>
      </c>
      <c r="Y240" s="22" t="s">
        <v>504</v>
      </c>
      <c r="Z240" s="22" t="s">
        <v>552</v>
      </c>
      <c r="AA240" s="22" t="s">
        <v>545</v>
      </c>
      <c r="AB240" s="22" t="s">
        <v>553</v>
      </c>
      <c r="AC240" s="22" t="s">
        <v>545</v>
      </c>
      <c r="AD240" s="22" t="s">
        <v>586</v>
      </c>
      <c r="AE240" s="22" t="s">
        <v>554</v>
      </c>
    </row>
    <row r="241" spans="1:31" ht="20.25" hidden="1" customHeight="1" x14ac:dyDescent="0.15">
      <c r="A241" s="24" t="s">
        <v>605</v>
      </c>
      <c r="B241" s="21">
        <v>166</v>
      </c>
      <c r="C241" s="22" t="s">
        <v>535</v>
      </c>
      <c r="D241" s="22" t="s">
        <v>494</v>
      </c>
      <c r="E241" s="22" t="s">
        <v>494</v>
      </c>
      <c r="F241" s="22" t="s">
        <v>589</v>
      </c>
      <c r="G241" s="22" t="s">
        <v>496</v>
      </c>
      <c r="H241" s="22" t="s">
        <v>91</v>
      </c>
      <c r="I241" s="22" t="s">
        <v>240</v>
      </c>
      <c r="J241" s="22" t="s">
        <v>241</v>
      </c>
      <c r="K241" s="22" t="s">
        <v>498</v>
      </c>
      <c r="L241" s="22" t="s">
        <v>536</v>
      </c>
      <c r="M241" s="22" t="s">
        <v>496</v>
      </c>
      <c r="N241" s="22" t="s">
        <v>496</v>
      </c>
      <c r="O241" s="22"/>
      <c r="P241" s="22"/>
      <c r="Q241" s="22" t="s">
        <v>496</v>
      </c>
      <c r="R241" s="22" t="s">
        <v>536</v>
      </c>
      <c r="S241" s="22" t="s">
        <v>501</v>
      </c>
      <c r="T241" s="22" t="s">
        <v>496</v>
      </c>
      <c r="U241" s="22" t="s">
        <v>501</v>
      </c>
      <c r="V241" s="22" t="s">
        <v>510</v>
      </c>
      <c r="W241" s="22" t="s">
        <v>504</v>
      </c>
      <c r="X241" s="22" t="s">
        <v>541</v>
      </c>
      <c r="Y241" s="22" t="s">
        <v>545</v>
      </c>
      <c r="Z241" s="22" t="s">
        <v>552</v>
      </c>
      <c r="AA241" s="22" t="s">
        <v>545</v>
      </c>
      <c r="AB241" s="22" t="s">
        <v>553</v>
      </c>
      <c r="AC241" s="22" t="s">
        <v>545</v>
      </c>
      <c r="AD241" s="22" t="s">
        <v>511</v>
      </c>
      <c r="AE241" s="22" t="s">
        <v>509</v>
      </c>
    </row>
    <row r="242" spans="1:31" ht="20.25" hidden="1" customHeight="1" x14ac:dyDescent="0.15">
      <c r="A242" s="48" t="s">
        <v>621</v>
      </c>
      <c r="B242" s="21">
        <v>167</v>
      </c>
      <c r="C242" s="22" t="s">
        <v>567</v>
      </c>
      <c r="D242" s="22" t="s">
        <v>494</v>
      </c>
      <c r="E242" s="22" t="s">
        <v>494</v>
      </c>
      <c r="F242" s="22" t="s">
        <v>589</v>
      </c>
      <c r="G242" s="22" t="s">
        <v>496</v>
      </c>
      <c r="H242" s="22" t="s">
        <v>91</v>
      </c>
      <c r="I242" s="22" t="s">
        <v>256</v>
      </c>
      <c r="J242" s="22" t="s">
        <v>257</v>
      </c>
      <c r="K242" s="22" t="s">
        <v>498</v>
      </c>
      <c r="L242" s="22" t="s">
        <v>541</v>
      </c>
      <c r="M242" s="22" t="s">
        <v>496</v>
      </c>
      <c r="N242" s="22" t="s">
        <v>496</v>
      </c>
      <c r="O242" s="22"/>
      <c r="P242" s="22"/>
      <c r="Q242" s="22" t="s">
        <v>496</v>
      </c>
      <c r="R242" s="22" t="s">
        <v>536</v>
      </c>
      <c r="S242" s="22" t="s">
        <v>501</v>
      </c>
      <c r="T242" s="22" t="s">
        <v>496</v>
      </c>
      <c r="U242" s="22" t="s">
        <v>496</v>
      </c>
      <c r="V242" s="22" t="s">
        <v>584</v>
      </c>
      <c r="W242" s="22" t="s">
        <v>585</v>
      </c>
      <c r="X242" s="22" t="s">
        <v>553</v>
      </c>
      <c r="Y242" s="22" t="s">
        <v>504</v>
      </c>
      <c r="Z242" s="22" t="s">
        <v>552</v>
      </c>
      <c r="AA242" s="22" t="s">
        <v>545</v>
      </c>
      <c r="AB242" s="22" t="s">
        <v>553</v>
      </c>
      <c r="AC242" s="22" t="s">
        <v>545</v>
      </c>
      <c r="AD242" s="22" t="s">
        <v>586</v>
      </c>
      <c r="AE242" s="22" t="s">
        <v>554</v>
      </c>
    </row>
    <row r="243" spans="1:31" ht="20.25" hidden="1" customHeight="1" x14ac:dyDescent="0.15">
      <c r="A243" s="24" t="s">
        <v>605</v>
      </c>
      <c r="B243" s="21">
        <v>167</v>
      </c>
      <c r="C243" s="22" t="s">
        <v>567</v>
      </c>
      <c r="D243" s="22" t="s">
        <v>494</v>
      </c>
      <c r="E243" s="22" t="s">
        <v>494</v>
      </c>
      <c r="F243" s="22" t="s">
        <v>589</v>
      </c>
      <c r="G243" s="22" t="s">
        <v>496</v>
      </c>
      <c r="H243" s="22" t="s">
        <v>91</v>
      </c>
      <c r="I243" s="22" t="s">
        <v>256</v>
      </c>
      <c r="J243" s="22" t="s">
        <v>257</v>
      </c>
      <c r="K243" s="22" t="s">
        <v>498</v>
      </c>
      <c r="L243" s="22" t="s">
        <v>541</v>
      </c>
      <c r="M243" s="22" t="s">
        <v>496</v>
      </c>
      <c r="N243" s="22" t="s">
        <v>496</v>
      </c>
      <c r="O243" s="22"/>
      <c r="P243" s="22"/>
      <c r="Q243" s="22" t="s">
        <v>496</v>
      </c>
      <c r="R243" s="22" t="s">
        <v>536</v>
      </c>
      <c r="S243" s="22" t="s">
        <v>501</v>
      </c>
      <c r="T243" s="22" t="s">
        <v>496</v>
      </c>
      <c r="U243" s="22" t="s">
        <v>501</v>
      </c>
      <c r="V243" s="22" t="s">
        <v>510</v>
      </c>
      <c r="W243" s="22" t="s">
        <v>504</v>
      </c>
      <c r="X243" s="22" t="s">
        <v>541</v>
      </c>
      <c r="Y243" s="22" t="s">
        <v>545</v>
      </c>
      <c r="Z243" s="22" t="s">
        <v>552</v>
      </c>
      <c r="AA243" s="22" t="s">
        <v>545</v>
      </c>
      <c r="AB243" s="22" t="s">
        <v>553</v>
      </c>
      <c r="AC243" s="22" t="s">
        <v>545</v>
      </c>
      <c r="AD243" s="22" t="s">
        <v>511</v>
      </c>
      <c r="AE243" s="22" t="s">
        <v>509</v>
      </c>
    </row>
    <row r="244" spans="1:31" ht="20.25" hidden="1" customHeight="1" x14ac:dyDescent="0.15">
      <c r="A244" s="48" t="s">
        <v>621</v>
      </c>
      <c r="B244" s="21">
        <v>168</v>
      </c>
      <c r="C244" s="22" t="s">
        <v>38</v>
      </c>
      <c r="D244" s="22" t="s">
        <v>494</v>
      </c>
      <c r="E244" s="22" t="s">
        <v>494</v>
      </c>
      <c r="F244" s="22" t="s">
        <v>589</v>
      </c>
      <c r="G244" s="22" t="s">
        <v>496</v>
      </c>
      <c r="H244" s="22" t="s">
        <v>91</v>
      </c>
      <c r="I244" s="22" t="s">
        <v>266</v>
      </c>
      <c r="J244" s="22" t="s">
        <v>267</v>
      </c>
      <c r="K244" s="22" t="s">
        <v>498</v>
      </c>
      <c r="L244" s="22" t="s">
        <v>499</v>
      </c>
      <c r="M244" s="22" t="s">
        <v>496</v>
      </c>
      <c r="N244" s="22" t="s">
        <v>496</v>
      </c>
      <c r="O244" s="22"/>
      <c r="P244" s="22"/>
      <c r="Q244" s="22" t="s">
        <v>496</v>
      </c>
      <c r="R244" s="22" t="s">
        <v>536</v>
      </c>
      <c r="S244" s="22" t="s">
        <v>537</v>
      </c>
      <c r="T244" s="22" t="s">
        <v>496</v>
      </c>
      <c r="U244" s="22" t="s">
        <v>496</v>
      </c>
      <c r="V244" s="22" t="s">
        <v>584</v>
      </c>
      <c r="W244" s="22" t="s">
        <v>585</v>
      </c>
      <c r="X244" s="22" t="s">
        <v>553</v>
      </c>
      <c r="Y244" s="22" t="s">
        <v>504</v>
      </c>
      <c r="Z244" s="22" t="s">
        <v>552</v>
      </c>
      <c r="AA244" s="22" t="s">
        <v>545</v>
      </c>
      <c r="AB244" s="22" t="s">
        <v>553</v>
      </c>
      <c r="AC244" s="22" t="s">
        <v>545</v>
      </c>
      <c r="AD244" s="22" t="s">
        <v>586</v>
      </c>
      <c r="AE244" s="22" t="s">
        <v>554</v>
      </c>
    </row>
    <row r="245" spans="1:31" ht="20.25" hidden="1" customHeight="1" x14ac:dyDescent="0.15">
      <c r="A245" s="24" t="s">
        <v>605</v>
      </c>
      <c r="B245" s="21">
        <v>168</v>
      </c>
      <c r="C245" s="22" t="s">
        <v>38</v>
      </c>
      <c r="D245" s="22" t="s">
        <v>494</v>
      </c>
      <c r="E245" s="22" t="s">
        <v>494</v>
      </c>
      <c r="F245" s="22" t="s">
        <v>589</v>
      </c>
      <c r="G245" s="22" t="s">
        <v>496</v>
      </c>
      <c r="H245" s="22" t="s">
        <v>91</v>
      </c>
      <c r="I245" s="22" t="s">
        <v>266</v>
      </c>
      <c r="J245" s="22" t="s">
        <v>267</v>
      </c>
      <c r="K245" s="22" t="s">
        <v>498</v>
      </c>
      <c r="L245" s="22" t="s">
        <v>499</v>
      </c>
      <c r="M245" s="22" t="s">
        <v>496</v>
      </c>
      <c r="N245" s="22" t="s">
        <v>496</v>
      </c>
      <c r="O245" s="22"/>
      <c r="P245" s="22"/>
      <c r="Q245" s="22" t="s">
        <v>496</v>
      </c>
      <c r="R245" s="22" t="s">
        <v>536</v>
      </c>
      <c r="S245" s="22" t="s">
        <v>537</v>
      </c>
      <c r="T245" s="22" t="s">
        <v>496</v>
      </c>
      <c r="U245" s="22" t="s">
        <v>537</v>
      </c>
      <c r="V245" s="22" t="s">
        <v>538</v>
      </c>
      <c r="W245" s="22" t="s">
        <v>504</v>
      </c>
      <c r="X245" s="22" t="s">
        <v>541</v>
      </c>
      <c r="Y245" s="22" t="s">
        <v>545</v>
      </c>
      <c r="Z245" s="22" t="s">
        <v>552</v>
      </c>
      <c r="AA245" s="22" t="s">
        <v>545</v>
      </c>
      <c r="AB245" s="22" t="s">
        <v>553</v>
      </c>
      <c r="AC245" s="22" t="s">
        <v>545</v>
      </c>
      <c r="AD245" s="22" t="s">
        <v>476</v>
      </c>
      <c r="AE245" s="22" t="s">
        <v>509</v>
      </c>
    </row>
    <row r="246" spans="1:31" ht="20.25" hidden="1" customHeight="1" x14ac:dyDescent="0.15">
      <c r="A246" s="48" t="s">
        <v>621</v>
      </c>
      <c r="B246" s="21">
        <v>169</v>
      </c>
      <c r="C246" s="22" t="s">
        <v>38</v>
      </c>
      <c r="D246" s="22" t="s">
        <v>512</v>
      </c>
      <c r="E246" s="22" t="s">
        <v>494</v>
      </c>
      <c r="F246" s="22" t="s">
        <v>589</v>
      </c>
      <c r="G246" s="22" t="s">
        <v>496</v>
      </c>
      <c r="H246" s="22" t="s">
        <v>92</v>
      </c>
      <c r="I246" s="22" t="s">
        <v>280</v>
      </c>
      <c r="J246" s="22" t="s">
        <v>281</v>
      </c>
      <c r="K246" s="22" t="s">
        <v>498</v>
      </c>
      <c r="L246" s="22" t="s">
        <v>498</v>
      </c>
      <c r="M246" s="22" t="s">
        <v>496</v>
      </c>
      <c r="N246" s="22" t="s">
        <v>496</v>
      </c>
      <c r="O246" s="22"/>
      <c r="P246" s="22"/>
      <c r="Q246" s="22" t="s">
        <v>496</v>
      </c>
      <c r="R246" s="22" t="s">
        <v>536</v>
      </c>
      <c r="S246" s="22" t="s">
        <v>537</v>
      </c>
      <c r="T246" s="22" t="s">
        <v>496</v>
      </c>
      <c r="U246" s="22" t="s">
        <v>496</v>
      </c>
      <c r="V246" s="22" t="s">
        <v>584</v>
      </c>
      <c r="W246" s="22" t="s">
        <v>585</v>
      </c>
      <c r="X246" s="22" t="s">
        <v>541</v>
      </c>
      <c r="Y246" s="22" t="s">
        <v>504</v>
      </c>
      <c r="Z246" s="22" t="s">
        <v>499</v>
      </c>
      <c r="AA246" s="22" t="s">
        <v>545</v>
      </c>
      <c r="AB246" s="22" t="s">
        <v>541</v>
      </c>
      <c r="AC246" s="22" t="s">
        <v>545</v>
      </c>
      <c r="AD246" s="22" t="s">
        <v>586</v>
      </c>
      <c r="AE246" s="22" t="s">
        <v>554</v>
      </c>
    </row>
    <row r="247" spans="1:31" ht="20.25" hidden="1" customHeight="1" x14ac:dyDescent="0.15">
      <c r="A247" s="24" t="s">
        <v>605</v>
      </c>
      <c r="B247" s="21">
        <v>169</v>
      </c>
      <c r="C247" s="22" t="s">
        <v>38</v>
      </c>
      <c r="D247" s="22" t="s">
        <v>512</v>
      </c>
      <c r="E247" s="22" t="s">
        <v>494</v>
      </c>
      <c r="F247" s="22" t="s">
        <v>589</v>
      </c>
      <c r="G247" s="22" t="s">
        <v>496</v>
      </c>
      <c r="H247" s="22" t="s">
        <v>92</v>
      </c>
      <c r="I247" s="22" t="s">
        <v>280</v>
      </c>
      <c r="J247" s="22" t="s">
        <v>281</v>
      </c>
      <c r="K247" s="22" t="s">
        <v>498</v>
      </c>
      <c r="L247" s="22" t="s">
        <v>498</v>
      </c>
      <c r="M247" s="22" t="s">
        <v>496</v>
      </c>
      <c r="N247" s="22" t="s">
        <v>496</v>
      </c>
      <c r="O247" s="22"/>
      <c r="P247" s="22"/>
      <c r="Q247" s="22" t="s">
        <v>496</v>
      </c>
      <c r="R247" s="22" t="s">
        <v>536</v>
      </c>
      <c r="S247" s="22" t="s">
        <v>537</v>
      </c>
      <c r="T247" s="22" t="s">
        <v>496</v>
      </c>
      <c r="U247" s="22" t="s">
        <v>537</v>
      </c>
      <c r="V247" s="22" t="s">
        <v>538</v>
      </c>
      <c r="W247" s="22" t="s">
        <v>504</v>
      </c>
      <c r="X247" s="22" t="s">
        <v>504</v>
      </c>
      <c r="Y247" s="22" t="s">
        <v>545</v>
      </c>
      <c r="Z247" s="22" t="s">
        <v>499</v>
      </c>
      <c r="AA247" s="22" t="s">
        <v>545</v>
      </c>
      <c r="AB247" s="22" t="s">
        <v>541</v>
      </c>
      <c r="AC247" s="22" t="s">
        <v>545</v>
      </c>
      <c r="AD247" s="22" t="s">
        <v>476</v>
      </c>
      <c r="AE247" s="22" t="s">
        <v>509</v>
      </c>
    </row>
    <row r="248" spans="1:31" ht="20.25" hidden="1" customHeight="1" x14ac:dyDescent="0.15">
      <c r="A248" s="48" t="s">
        <v>621</v>
      </c>
      <c r="B248" s="21">
        <v>170</v>
      </c>
      <c r="C248" s="22" t="s">
        <v>38</v>
      </c>
      <c r="D248" s="22" t="s">
        <v>516</v>
      </c>
      <c r="E248" s="22" t="s">
        <v>494</v>
      </c>
      <c r="F248" s="22" t="s">
        <v>589</v>
      </c>
      <c r="G248" s="22" t="s">
        <v>496</v>
      </c>
      <c r="H248" s="22" t="s">
        <v>93</v>
      </c>
      <c r="I248" s="22" t="s">
        <v>294</v>
      </c>
      <c r="J248" s="22" t="s">
        <v>295</v>
      </c>
      <c r="K248" s="22" t="s">
        <v>498</v>
      </c>
      <c r="L248" s="22" t="s">
        <v>522</v>
      </c>
      <c r="M248" s="22" t="s">
        <v>496</v>
      </c>
      <c r="N248" s="22" t="s">
        <v>496</v>
      </c>
      <c r="O248" s="22"/>
      <c r="P248" s="22"/>
      <c r="Q248" s="22" t="s">
        <v>496</v>
      </c>
      <c r="R248" s="22" t="s">
        <v>536</v>
      </c>
      <c r="S248" s="22" t="s">
        <v>537</v>
      </c>
      <c r="T248" s="22" t="s">
        <v>496</v>
      </c>
      <c r="U248" s="22" t="s">
        <v>496</v>
      </c>
      <c r="V248" s="22" t="s">
        <v>584</v>
      </c>
      <c r="W248" s="22" t="s">
        <v>585</v>
      </c>
      <c r="X248" s="22" t="s">
        <v>541</v>
      </c>
      <c r="Y248" s="22" t="s">
        <v>504</v>
      </c>
      <c r="Z248" s="22" t="s">
        <v>499</v>
      </c>
      <c r="AA248" s="22" t="s">
        <v>545</v>
      </c>
      <c r="AB248" s="22" t="s">
        <v>541</v>
      </c>
      <c r="AC248" s="22" t="s">
        <v>545</v>
      </c>
      <c r="AD248" s="22" t="s">
        <v>586</v>
      </c>
      <c r="AE248" s="22" t="s">
        <v>554</v>
      </c>
    </row>
    <row r="249" spans="1:31" ht="20.25" hidden="1" customHeight="1" x14ac:dyDescent="0.15">
      <c r="A249" s="48" t="s">
        <v>621</v>
      </c>
      <c r="B249" s="21">
        <v>171</v>
      </c>
      <c r="C249" s="22" t="s">
        <v>539</v>
      </c>
      <c r="D249" s="22" t="s">
        <v>494</v>
      </c>
      <c r="E249" s="22" t="s">
        <v>494</v>
      </c>
      <c r="F249" s="22" t="s">
        <v>589</v>
      </c>
      <c r="G249" s="22" t="s">
        <v>496</v>
      </c>
      <c r="H249" s="22" t="s">
        <v>91</v>
      </c>
      <c r="I249" s="22" t="s">
        <v>310</v>
      </c>
      <c r="J249" s="22" t="s">
        <v>311</v>
      </c>
      <c r="K249" s="22" t="s">
        <v>498</v>
      </c>
      <c r="L249" s="22" t="s">
        <v>536</v>
      </c>
      <c r="M249" s="22" t="s">
        <v>496</v>
      </c>
      <c r="N249" s="22" t="s">
        <v>496</v>
      </c>
      <c r="O249" s="22"/>
      <c r="P249" s="22"/>
      <c r="Q249" s="22" t="s">
        <v>496</v>
      </c>
      <c r="R249" s="22" t="s">
        <v>536</v>
      </c>
      <c r="S249" s="22" t="s">
        <v>537</v>
      </c>
      <c r="T249" s="22" t="s">
        <v>496</v>
      </c>
      <c r="U249" s="22" t="s">
        <v>496</v>
      </c>
      <c r="V249" s="22" t="s">
        <v>584</v>
      </c>
      <c r="W249" s="22" t="s">
        <v>585</v>
      </c>
      <c r="X249" s="22" t="s">
        <v>553</v>
      </c>
      <c r="Y249" s="22" t="s">
        <v>504</v>
      </c>
      <c r="Z249" s="22" t="s">
        <v>552</v>
      </c>
      <c r="AA249" s="22" t="s">
        <v>545</v>
      </c>
      <c r="AB249" s="22" t="s">
        <v>553</v>
      </c>
      <c r="AC249" s="22" t="s">
        <v>545</v>
      </c>
      <c r="AD249" s="22" t="s">
        <v>586</v>
      </c>
      <c r="AE249" s="22" t="s">
        <v>554</v>
      </c>
    </row>
    <row r="250" spans="1:31" ht="20.25" hidden="1" customHeight="1" x14ac:dyDescent="0.15">
      <c r="A250" s="24" t="s">
        <v>605</v>
      </c>
      <c r="B250" s="21">
        <v>171</v>
      </c>
      <c r="C250" s="22" t="s">
        <v>539</v>
      </c>
      <c r="D250" s="22" t="s">
        <v>494</v>
      </c>
      <c r="E250" s="22" t="s">
        <v>494</v>
      </c>
      <c r="F250" s="22" t="s">
        <v>589</v>
      </c>
      <c r="G250" s="22" t="s">
        <v>496</v>
      </c>
      <c r="H250" s="22" t="s">
        <v>91</v>
      </c>
      <c r="I250" s="22" t="s">
        <v>310</v>
      </c>
      <c r="J250" s="22" t="s">
        <v>311</v>
      </c>
      <c r="K250" s="22" t="s">
        <v>498</v>
      </c>
      <c r="L250" s="22" t="s">
        <v>536</v>
      </c>
      <c r="M250" s="22" t="s">
        <v>496</v>
      </c>
      <c r="N250" s="22" t="s">
        <v>496</v>
      </c>
      <c r="O250" s="22"/>
      <c r="P250" s="22"/>
      <c r="Q250" s="22" t="s">
        <v>496</v>
      </c>
      <c r="R250" s="22" t="s">
        <v>536</v>
      </c>
      <c r="S250" s="22" t="s">
        <v>537</v>
      </c>
      <c r="T250" s="22" t="s">
        <v>496</v>
      </c>
      <c r="U250" s="22" t="s">
        <v>537</v>
      </c>
      <c r="V250" s="22" t="s">
        <v>538</v>
      </c>
      <c r="W250" s="22" t="s">
        <v>504</v>
      </c>
      <c r="X250" s="22" t="s">
        <v>541</v>
      </c>
      <c r="Y250" s="22" t="s">
        <v>545</v>
      </c>
      <c r="Z250" s="22" t="s">
        <v>552</v>
      </c>
      <c r="AA250" s="22" t="s">
        <v>545</v>
      </c>
      <c r="AB250" s="22" t="s">
        <v>553</v>
      </c>
      <c r="AC250" s="22" t="s">
        <v>545</v>
      </c>
      <c r="AD250" s="22" t="s">
        <v>476</v>
      </c>
      <c r="AE250" s="22" t="s">
        <v>509</v>
      </c>
    </row>
    <row r="251" spans="1:31" ht="20.25" hidden="1" customHeight="1" x14ac:dyDescent="0.15">
      <c r="A251" s="48" t="s">
        <v>621</v>
      </c>
      <c r="B251" s="21">
        <v>172</v>
      </c>
      <c r="C251" s="22" t="s">
        <v>540</v>
      </c>
      <c r="D251" s="22" t="s">
        <v>494</v>
      </c>
      <c r="E251" s="22" t="s">
        <v>494</v>
      </c>
      <c r="F251" s="22" t="s">
        <v>589</v>
      </c>
      <c r="G251" s="22" t="s">
        <v>496</v>
      </c>
      <c r="H251" s="22" t="s">
        <v>91</v>
      </c>
      <c r="I251" s="22" t="s">
        <v>290</v>
      </c>
      <c r="J251" s="22" t="s">
        <v>291</v>
      </c>
      <c r="K251" s="22" t="s">
        <v>498</v>
      </c>
      <c r="L251" s="22" t="s">
        <v>541</v>
      </c>
      <c r="M251" s="22" t="s">
        <v>496</v>
      </c>
      <c r="N251" s="22" t="s">
        <v>496</v>
      </c>
      <c r="O251" s="22"/>
      <c r="P251" s="22"/>
      <c r="Q251" s="22" t="s">
        <v>496</v>
      </c>
      <c r="R251" s="22" t="s">
        <v>536</v>
      </c>
      <c r="S251" s="22" t="s">
        <v>537</v>
      </c>
      <c r="T251" s="22" t="s">
        <v>496</v>
      </c>
      <c r="U251" s="22" t="s">
        <v>496</v>
      </c>
      <c r="V251" s="22" t="s">
        <v>584</v>
      </c>
      <c r="W251" s="22" t="s">
        <v>585</v>
      </c>
      <c r="X251" s="22" t="s">
        <v>553</v>
      </c>
      <c r="Y251" s="22" t="s">
        <v>504</v>
      </c>
      <c r="Z251" s="22" t="s">
        <v>552</v>
      </c>
      <c r="AA251" s="22" t="s">
        <v>545</v>
      </c>
      <c r="AB251" s="22" t="s">
        <v>553</v>
      </c>
      <c r="AC251" s="22" t="s">
        <v>545</v>
      </c>
      <c r="AD251" s="22" t="s">
        <v>586</v>
      </c>
      <c r="AE251" s="22" t="s">
        <v>554</v>
      </c>
    </row>
    <row r="252" spans="1:31" ht="20.25" hidden="1" customHeight="1" x14ac:dyDescent="0.15">
      <c r="A252" s="24" t="s">
        <v>605</v>
      </c>
      <c r="B252" s="21">
        <v>172</v>
      </c>
      <c r="C252" s="22" t="s">
        <v>540</v>
      </c>
      <c r="D252" s="22" t="s">
        <v>494</v>
      </c>
      <c r="E252" s="22" t="s">
        <v>494</v>
      </c>
      <c r="F252" s="22" t="s">
        <v>589</v>
      </c>
      <c r="G252" s="22" t="s">
        <v>496</v>
      </c>
      <c r="H252" s="22" t="s">
        <v>91</v>
      </c>
      <c r="I252" s="22" t="s">
        <v>290</v>
      </c>
      <c r="J252" s="22" t="s">
        <v>291</v>
      </c>
      <c r="K252" s="22" t="s">
        <v>498</v>
      </c>
      <c r="L252" s="22" t="s">
        <v>541</v>
      </c>
      <c r="M252" s="22" t="s">
        <v>496</v>
      </c>
      <c r="N252" s="22" t="s">
        <v>496</v>
      </c>
      <c r="O252" s="22"/>
      <c r="P252" s="22"/>
      <c r="Q252" s="22" t="s">
        <v>496</v>
      </c>
      <c r="R252" s="22" t="s">
        <v>536</v>
      </c>
      <c r="S252" s="22" t="s">
        <v>537</v>
      </c>
      <c r="T252" s="22" t="s">
        <v>496</v>
      </c>
      <c r="U252" s="22" t="s">
        <v>537</v>
      </c>
      <c r="V252" s="22" t="s">
        <v>538</v>
      </c>
      <c r="W252" s="22" t="s">
        <v>504</v>
      </c>
      <c r="X252" s="22" t="s">
        <v>541</v>
      </c>
      <c r="Y252" s="22" t="s">
        <v>545</v>
      </c>
      <c r="Z252" s="22" t="s">
        <v>552</v>
      </c>
      <c r="AA252" s="22" t="s">
        <v>545</v>
      </c>
      <c r="AB252" s="22" t="s">
        <v>553</v>
      </c>
      <c r="AC252" s="22" t="s">
        <v>545</v>
      </c>
      <c r="AD252" s="22" t="s">
        <v>476</v>
      </c>
      <c r="AE252" s="22" t="s">
        <v>509</v>
      </c>
    </row>
    <row r="253" spans="1:31" ht="20.25" hidden="1" customHeight="1" x14ac:dyDescent="0.15">
      <c r="A253" s="24" t="s">
        <v>605</v>
      </c>
      <c r="B253" s="21">
        <v>173</v>
      </c>
      <c r="C253" s="22" t="s">
        <v>493</v>
      </c>
      <c r="D253" s="22" t="s">
        <v>494</v>
      </c>
      <c r="E253" s="22" t="s">
        <v>494</v>
      </c>
      <c r="F253" s="22" t="s">
        <v>94</v>
      </c>
      <c r="G253" s="22" t="s">
        <v>496</v>
      </c>
      <c r="H253" s="22" t="s">
        <v>95</v>
      </c>
      <c r="I253" s="22" t="s">
        <v>284</v>
      </c>
      <c r="J253" s="22" t="s">
        <v>285</v>
      </c>
      <c r="K253" s="22" t="s">
        <v>498</v>
      </c>
      <c r="L253" s="22" t="s">
        <v>499</v>
      </c>
      <c r="M253" s="22" t="s">
        <v>496</v>
      </c>
      <c r="N253" s="22" t="s">
        <v>496</v>
      </c>
      <c r="O253" s="22"/>
      <c r="P253" s="22"/>
      <c r="Q253" s="22" t="s">
        <v>496</v>
      </c>
      <c r="R253" s="22" t="s">
        <v>590</v>
      </c>
      <c r="S253" s="22" t="s">
        <v>501</v>
      </c>
      <c r="T253" s="22" t="s">
        <v>496</v>
      </c>
      <c r="U253" s="22" t="s">
        <v>501</v>
      </c>
      <c r="V253" s="22" t="s">
        <v>510</v>
      </c>
      <c r="W253" s="22" t="s">
        <v>504</v>
      </c>
      <c r="X253" s="22" t="s">
        <v>541</v>
      </c>
      <c r="Y253" s="22" t="s">
        <v>545</v>
      </c>
      <c r="Z253" s="22" t="s">
        <v>591</v>
      </c>
      <c r="AA253" s="22" t="s">
        <v>545</v>
      </c>
      <c r="AB253" s="22" t="s">
        <v>592</v>
      </c>
      <c r="AC253" s="22" t="s">
        <v>545</v>
      </c>
      <c r="AD253" s="22" t="s">
        <v>511</v>
      </c>
      <c r="AE253" s="22" t="s">
        <v>509</v>
      </c>
    </row>
    <row r="254" spans="1:31" ht="20.25" hidden="1" customHeight="1" x14ac:dyDescent="0.15">
      <c r="A254" s="48" t="s">
        <v>622</v>
      </c>
      <c r="B254" s="21">
        <v>173</v>
      </c>
      <c r="C254" s="22" t="s">
        <v>493</v>
      </c>
      <c r="D254" s="22" t="s">
        <v>494</v>
      </c>
      <c r="E254" s="22" t="s">
        <v>494</v>
      </c>
      <c r="F254" s="22" t="s">
        <v>94</v>
      </c>
      <c r="G254" s="22" t="s">
        <v>496</v>
      </c>
      <c r="H254" s="22" t="s">
        <v>95</v>
      </c>
      <c r="I254" s="22" t="s">
        <v>284</v>
      </c>
      <c r="J254" s="22" t="s">
        <v>285</v>
      </c>
      <c r="K254" s="22" t="s">
        <v>498</v>
      </c>
      <c r="L254" s="22" t="s">
        <v>499</v>
      </c>
      <c r="M254" s="22" t="s">
        <v>496</v>
      </c>
      <c r="N254" s="22" t="s">
        <v>496</v>
      </c>
      <c r="O254" s="22"/>
      <c r="P254" s="22"/>
      <c r="Q254" s="22" t="s">
        <v>496</v>
      </c>
      <c r="R254" s="22" t="s">
        <v>590</v>
      </c>
      <c r="S254" s="22" t="s">
        <v>501</v>
      </c>
      <c r="T254" s="22" t="s">
        <v>496</v>
      </c>
      <c r="U254" s="22" t="s">
        <v>496</v>
      </c>
      <c r="V254" s="22" t="s">
        <v>584</v>
      </c>
      <c r="W254" s="22" t="s">
        <v>585</v>
      </c>
      <c r="X254" s="22" t="s">
        <v>592</v>
      </c>
      <c r="Y254" s="22" t="s">
        <v>504</v>
      </c>
      <c r="Z254" s="22" t="s">
        <v>591</v>
      </c>
      <c r="AA254" s="22" t="s">
        <v>545</v>
      </c>
      <c r="AB254" s="22" t="s">
        <v>592</v>
      </c>
      <c r="AC254" s="22" t="s">
        <v>545</v>
      </c>
      <c r="AD254" s="22" t="s">
        <v>586</v>
      </c>
      <c r="AE254" s="22" t="s">
        <v>554</v>
      </c>
    </row>
    <row r="255" spans="1:31" ht="20.25" hidden="1" customHeight="1" x14ac:dyDescent="0.15">
      <c r="A255" s="24" t="s">
        <v>605</v>
      </c>
      <c r="B255" s="21">
        <v>174</v>
      </c>
      <c r="C255" s="22" t="s">
        <v>493</v>
      </c>
      <c r="D255" s="22" t="s">
        <v>512</v>
      </c>
      <c r="E255" s="22" t="s">
        <v>494</v>
      </c>
      <c r="F255" s="22" t="s">
        <v>94</v>
      </c>
      <c r="G255" s="22" t="s">
        <v>496</v>
      </c>
      <c r="H255" s="22" t="s">
        <v>96</v>
      </c>
      <c r="I255" s="22" t="s">
        <v>232</v>
      </c>
      <c r="J255" s="22" t="s">
        <v>233</v>
      </c>
      <c r="K255" s="22" t="s">
        <v>498</v>
      </c>
      <c r="L255" s="22" t="s">
        <v>498</v>
      </c>
      <c r="M255" s="22" t="s">
        <v>496</v>
      </c>
      <c r="N255" s="22" t="s">
        <v>496</v>
      </c>
      <c r="O255" s="22"/>
      <c r="P255" s="22"/>
      <c r="Q255" s="22" t="s">
        <v>496</v>
      </c>
      <c r="R255" s="22" t="s">
        <v>590</v>
      </c>
      <c r="S255" s="22" t="s">
        <v>501</v>
      </c>
      <c r="T255" s="22" t="s">
        <v>496</v>
      </c>
      <c r="U255" s="22" t="s">
        <v>501</v>
      </c>
      <c r="V255" s="22" t="s">
        <v>510</v>
      </c>
      <c r="W255" s="22" t="s">
        <v>504</v>
      </c>
      <c r="X255" s="22" t="s">
        <v>504</v>
      </c>
      <c r="Y255" s="22" t="s">
        <v>545</v>
      </c>
      <c r="Z255" s="22" t="s">
        <v>593</v>
      </c>
      <c r="AA255" s="22" t="s">
        <v>545</v>
      </c>
      <c r="AB255" s="22" t="s">
        <v>594</v>
      </c>
      <c r="AC255" s="22" t="s">
        <v>545</v>
      </c>
      <c r="AD255" s="22" t="s">
        <v>511</v>
      </c>
      <c r="AE255" s="22" t="s">
        <v>509</v>
      </c>
    </row>
    <row r="256" spans="1:31" ht="20.25" hidden="1" customHeight="1" x14ac:dyDescent="0.15">
      <c r="A256" s="48" t="s">
        <v>622</v>
      </c>
      <c r="B256" s="21">
        <v>174</v>
      </c>
      <c r="C256" s="22" t="s">
        <v>493</v>
      </c>
      <c r="D256" s="22" t="s">
        <v>512</v>
      </c>
      <c r="E256" s="22" t="s">
        <v>494</v>
      </c>
      <c r="F256" s="22" t="s">
        <v>94</v>
      </c>
      <c r="G256" s="22" t="s">
        <v>496</v>
      </c>
      <c r="H256" s="22" t="s">
        <v>96</v>
      </c>
      <c r="I256" s="22" t="s">
        <v>232</v>
      </c>
      <c r="J256" s="22" t="s">
        <v>233</v>
      </c>
      <c r="K256" s="22" t="s">
        <v>498</v>
      </c>
      <c r="L256" s="22" t="s">
        <v>498</v>
      </c>
      <c r="M256" s="22" t="s">
        <v>496</v>
      </c>
      <c r="N256" s="22" t="s">
        <v>496</v>
      </c>
      <c r="O256" s="22"/>
      <c r="P256" s="22"/>
      <c r="Q256" s="22" t="s">
        <v>496</v>
      </c>
      <c r="R256" s="22" t="s">
        <v>590</v>
      </c>
      <c r="S256" s="22" t="s">
        <v>501</v>
      </c>
      <c r="T256" s="22" t="s">
        <v>496</v>
      </c>
      <c r="U256" s="22" t="s">
        <v>496</v>
      </c>
      <c r="V256" s="22" t="s">
        <v>584</v>
      </c>
      <c r="W256" s="22" t="s">
        <v>585</v>
      </c>
      <c r="X256" s="22" t="s">
        <v>594</v>
      </c>
      <c r="Y256" s="22" t="s">
        <v>504</v>
      </c>
      <c r="Z256" s="22" t="s">
        <v>593</v>
      </c>
      <c r="AA256" s="22" t="s">
        <v>545</v>
      </c>
      <c r="AB256" s="22" t="s">
        <v>594</v>
      </c>
      <c r="AC256" s="22" t="s">
        <v>545</v>
      </c>
      <c r="AD256" s="22" t="s">
        <v>586</v>
      </c>
      <c r="AE256" s="22" t="s">
        <v>554</v>
      </c>
    </row>
    <row r="257" spans="1:31" ht="20.25" hidden="1" customHeight="1" x14ac:dyDescent="0.15">
      <c r="A257" s="48" t="s">
        <v>622</v>
      </c>
      <c r="B257" s="21">
        <v>175</v>
      </c>
      <c r="C257" s="22" t="s">
        <v>493</v>
      </c>
      <c r="D257" s="22" t="s">
        <v>516</v>
      </c>
      <c r="E257" s="22" t="s">
        <v>494</v>
      </c>
      <c r="F257" s="22" t="s">
        <v>94</v>
      </c>
      <c r="G257" s="22" t="s">
        <v>496</v>
      </c>
      <c r="H257" s="22" t="s">
        <v>97</v>
      </c>
      <c r="I257" s="22" t="s">
        <v>244</v>
      </c>
      <c r="J257" s="22" t="s">
        <v>245</v>
      </c>
      <c r="K257" s="22" t="s">
        <v>498</v>
      </c>
      <c r="L257" s="22" t="s">
        <v>522</v>
      </c>
      <c r="M257" s="22" t="s">
        <v>496</v>
      </c>
      <c r="N257" s="22" t="s">
        <v>496</v>
      </c>
      <c r="O257" s="22"/>
      <c r="P257" s="22"/>
      <c r="Q257" s="22" t="s">
        <v>496</v>
      </c>
      <c r="R257" s="22" t="s">
        <v>590</v>
      </c>
      <c r="S257" s="22" t="s">
        <v>501</v>
      </c>
      <c r="T257" s="22" t="s">
        <v>496</v>
      </c>
      <c r="U257" s="22" t="s">
        <v>496</v>
      </c>
      <c r="V257" s="22" t="s">
        <v>584</v>
      </c>
      <c r="W257" s="22" t="s">
        <v>585</v>
      </c>
      <c r="X257" s="22" t="s">
        <v>594</v>
      </c>
      <c r="Y257" s="22" t="s">
        <v>504</v>
      </c>
      <c r="Z257" s="22" t="s">
        <v>593</v>
      </c>
      <c r="AA257" s="22" t="s">
        <v>545</v>
      </c>
      <c r="AB257" s="22" t="s">
        <v>594</v>
      </c>
      <c r="AC257" s="22" t="s">
        <v>545</v>
      </c>
      <c r="AD257" s="22" t="s">
        <v>586</v>
      </c>
      <c r="AE257" s="22" t="s">
        <v>554</v>
      </c>
    </row>
    <row r="258" spans="1:31" ht="20.25" hidden="1" customHeight="1" x14ac:dyDescent="0.15">
      <c r="A258" s="48" t="s">
        <v>622</v>
      </c>
      <c r="B258" s="21">
        <v>176</v>
      </c>
      <c r="C258" s="22" t="s">
        <v>535</v>
      </c>
      <c r="D258" s="22" t="s">
        <v>494</v>
      </c>
      <c r="E258" s="22" t="s">
        <v>494</v>
      </c>
      <c r="F258" s="22" t="s">
        <v>94</v>
      </c>
      <c r="G258" s="22" t="s">
        <v>496</v>
      </c>
      <c r="H258" s="22" t="s">
        <v>95</v>
      </c>
      <c r="I258" s="22" t="s">
        <v>364</v>
      </c>
      <c r="J258" s="22" t="s">
        <v>365</v>
      </c>
      <c r="K258" s="22" t="s">
        <v>498</v>
      </c>
      <c r="L258" s="22" t="s">
        <v>536</v>
      </c>
      <c r="M258" s="22" t="s">
        <v>496</v>
      </c>
      <c r="N258" s="22" t="s">
        <v>496</v>
      </c>
      <c r="O258" s="22"/>
      <c r="P258" s="22"/>
      <c r="Q258" s="22" t="s">
        <v>496</v>
      </c>
      <c r="R258" s="22" t="s">
        <v>590</v>
      </c>
      <c r="S258" s="22" t="s">
        <v>501</v>
      </c>
      <c r="T258" s="22" t="s">
        <v>496</v>
      </c>
      <c r="U258" s="22" t="s">
        <v>496</v>
      </c>
      <c r="V258" s="22" t="s">
        <v>584</v>
      </c>
      <c r="W258" s="22" t="s">
        <v>585</v>
      </c>
      <c r="X258" s="22" t="s">
        <v>592</v>
      </c>
      <c r="Y258" s="22" t="s">
        <v>504</v>
      </c>
      <c r="Z258" s="22" t="s">
        <v>591</v>
      </c>
      <c r="AA258" s="22" t="s">
        <v>545</v>
      </c>
      <c r="AB258" s="22" t="s">
        <v>592</v>
      </c>
      <c r="AC258" s="22" t="s">
        <v>545</v>
      </c>
      <c r="AD258" s="22" t="s">
        <v>586</v>
      </c>
      <c r="AE258" s="22" t="s">
        <v>554</v>
      </c>
    </row>
    <row r="259" spans="1:31" ht="20.25" hidden="1" customHeight="1" x14ac:dyDescent="0.15">
      <c r="A259" s="24" t="s">
        <v>605</v>
      </c>
      <c r="B259" s="21">
        <v>176</v>
      </c>
      <c r="C259" s="22" t="s">
        <v>535</v>
      </c>
      <c r="D259" s="22" t="s">
        <v>494</v>
      </c>
      <c r="E259" s="22" t="s">
        <v>494</v>
      </c>
      <c r="F259" s="22" t="s">
        <v>94</v>
      </c>
      <c r="G259" s="22" t="s">
        <v>496</v>
      </c>
      <c r="H259" s="22" t="s">
        <v>95</v>
      </c>
      <c r="I259" s="22" t="s">
        <v>364</v>
      </c>
      <c r="J259" s="22" t="s">
        <v>365</v>
      </c>
      <c r="K259" s="22" t="s">
        <v>498</v>
      </c>
      <c r="L259" s="22" t="s">
        <v>536</v>
      </c>
      <c r="M259" s="22" t="s">
        <v>496</v>
      </c>
      <c r="N259" s="22" t="s">
        <v>496</v>
      </c>
      <c r="O259" s="22"/>
      <c r="P259" s="22"/>
      <c r="Q259" s="22" t="s">
        <v>496</v>
      </c>
      <c r="R259" s="22" t="s">
        <v>590</v>
      </c>
      <c r="S259" s="22" t="s">
        <v>501</v>
      </c>
      <c r="T259" s="22" t="s">
        <v>496</v>
      </c>
      <c r="U259" s="22" t="s">
        <v>501</v>
      </c>
      <c r="V259" s="22" t="s">
        <v>510</v>
      </c>
      <c r="W259" s="22" t="s">
        <v>504</v>
      </c>
      <c r="X259" s="22" t="s">
        <v>541</v>
      </c>
      <c r="Y259" s="22" t="s">
        <v>545</v>
      </c>
      <c r="Z259" s="22" t="s">
        <v>591</v>
      </c>
      <c r="AA259" s="22" t="s">
        <v>545</v>
      </c>
      <c r="AB259" s="22" t="s">
        <v>592</v>
      </c>
      <c r="AC259" s="22" t="s">
        <v>545</v>
      </c>
      <c r="AD259" s="22" t="s">
        <v>511</v>
      </c>
      <c r="AE259" s="22" t="s">
        <v>509</v>
      </c>
    </row>
    <row r="260" spans="1:31" ht="20.25" hidden="1" customHeight="1" x14ac:dyDescent="0.15">
      <c r="A260" s="48" t="s">
        <v>622</v>
      </c>
      <c r="B260" s="21">
        <v>177</v>
      </c>
      <c r="C260" s="22" t="s">
        <v>567</v>
      </c>
      <c r="D260" s="22" t="s">
        <v>494</v>
      </c>
      <c r="E260" s="22" t="s">
        <v>494</v>
      </c>
      <c r="F260" s="22" t="s">
        <v>94</v>
      </c>
      <c r="G260" s="22" t="s">
        <v>496</v>
      </c>
      <c r="H260" s="22" t="s">
        <v>95</v>
      </c>
      <c r="I260" s="22" t="s">
        <v>164</v>
      </c>
      <c r="J260" s="22" t="s">
        <v>165</v>
      </c>
      <c r="K260" s="22" t="s">
        <v>498</v>
      </c>
      <c r="L260" s="22" t="s">
        <v>541</v>
      </c>
      <c r="M260" s="22" t="s">
        <v>496</v>
      </c>
      <c r="N260" s="22" t="s">
        <v>496</v>
      </c>
      <c r="O260" s="22"/>
      <c r="P260" s="22"/>
      <c r="Q260" s="22" t="s">
        <v>496</v>
      </c>
      <c r="R260" s="22" t="s">
        <v>590</v>
      </c>
      <c r="S260" s="22" t="s">
        <v>501</v>
      </c>
      <c r="T260" s="22" t="s">
        <v>496</v>
      </c>
      <c r="U260" s="22" t="s">
        <v>496</v>
      </c>
      <c r="V260" s="22" t="s">
        <v>584</v>
      </c>
      <c r="W260" s="22" t="s">
        <v>585</v>
      </c>
      <c r="X260" s="22" t="s">
        <v>592</v>
      </c>
      <c r="Y260" s="22" t="s">
        <v>504</v>
      </c>
      <c r="Z260" s="22" t="s">
        <v>591</v>
      </c>
      <c r="AA260" s="22" t="s">
        <v>545</v>
      </c>
      <c r="AB260" s="22" t="s">
        <v>592</v>
      </c>
      <c r="AC260" s="22" t="s">
        <v>545</v>
      </c>
      <c r="AD260" s="22" t="s">
        <v>586</v>
      </c>
      <c r="AE260" s="22" t="s">
        <v>554</v>
      </c>
    </row>
    <row r="261" spans="1:31" ht="20.25" hidden="1" customHeight="1" x14ac:dyDescent="0.15">
      <c r="A261" s="24" t="s">
        <v>605</v>
      </c>
      <c r="B261" s="21">
        <v>177</v>
      </c>
      <c r="C261" s="22" t="s">
        <v>567</v>
      </c>
      <c r="D261" s="22" t="s">
        <v>494</v>
      </c>
      <c r="E261" s="22" t="s">
        <v>494</v>
      </c>
      <c r="F261" s="22" t="s">
        <v>94</v>
      </c>
      <c r="G261" s="22" t="s">
        <v>496</v>
      </c>
      <c r="H261" s="22" t="s">
        <v>95</v>
      </c>
      <c r="I261" s="22" t="s">
        <v>164</v>
      </c>
      <c r="J261" s="22" t="s">
        <v>165</v>
      </c>
      <c r="K261" s="22" t="s">
        <v>498</v>
      </c>
      <c r="L261" s="22" t="s">
        <v>541</v>
      </c>
      <c r="M261" s="22" t="s">
        <v>496</v>
      </c>
      <c r="N261" s="22" t="s">
        <v>496</v>
      </c>
      <c r="O261" s="22"/>
      <c r="P261" s="22"/>
      <c r="Q261" s="22" t="s">
        <v>496</v>
      </c>
      <c r="R261" s="22" t="s">
        <v>590</v>
      </c>
      <c r="S261" s="22" t="s">
        <v>501</v>
      </c>
      <c r="T261" s="22" t="s">
        <v>496</v>
      </c>
      <c r="U261" s="22" t="s">
        <v>501</v>
      </c>
      <c r="V261" s="22" t="s">
        <v>510</v>
      </c>
      <c r="W261" s="22" t="s">
        <v>504</v>
      </c>
      <c r="X261" s="22" t="s">
        <v>541</v>
      </c>
      <c r="Y261" s="22" t="s">
        <v>545</v>
      </c>
      <c r="Z261" s="22" t="s">
        <v>591</v>
      </c>
      <c r="AA261" s="22" t="s">
        <v>545</v>
      </c>
      <c r="AB261" s="22" t="s">
        <v>592</v>
      </c>
      <c r="AC261" s="22" t="s">
        <v>545</v>
      </c>
      <c r="AD261" s="22" t="s">
        <v>511</v>
      </c>
      <c r="AE261" s="22" t="s">
        <v>509</v>
      </c>
    </row>
    <row r="262" spans="1:31" ht="20.25" hidden="1" customHeight="1" x14ac:dyDescent="0.15">
      <c r="A262" s="48" t="s">
        <v>622</v>
      </c>
      <c r="B262" s="21">
        <v>178</v>
      </c>
      <c r="C262" s="22" t="s">
        <v>38</v>
      </c>
      <c r="D262" s="22" t="s">
        <v>494</v>
      </c>
      <c r="E262" s="22" t="s">
        <v>494</v>
      </c>
      <c r="F262" s="22" t="s">
        <v>94</v>
      </c>
      <c r="G262" s="22" t="s">
        <v>496</v>
      </c>
      <c r="H262" s="22" t="s">
        <v>95</v>
      </c>
      <c r="I262" s="22" t="s">
        <v>154</v>
      </c>
      <c r="J262" s="22" t="s">
        <v>155</v>
      </c>
      <c r="K262" s="22" t="s">
        <v>498</v>
      </c>
      <c r="L262" s="22" t="s">
        <v>499</v>
      </c>
      <c r="M262" s="22" t="s">
        <v>496</v>
      </c>
      <c r="N262" s="22" t="s">
        <v>496</v>
      </c>
      <c r="O262" s="22"/>
      <c r="P262" s="22"/>
      <c r="Q262" s="22" t="s">
        <v>496</v>
      </c>
      <c r="R262" s="22" t="s">
        <v>590</v>
      </c>
      <c r="S262" s="22" t="s">
        <v>537</v>
      </c>
      <c r="T262" s="22" t="s">
        <v>496</v>
      </c>
      <c r="U262" s="22" t="s">
        <v>496</v>
      </c>
      <c r="V262" s="22" t="s">
        <v>584</v>
      </c>
      <c r="W262" s="22" t="s">
        <v>585</v>
      </c>
      <c r="X262" s="22" t="s">
        <v>592</v>
      </c>
      <c r="Y262" s="22" t="s">
        <v>504</v>
      </c>
      <c r="Z262" s="22" t="s">
        <v>591</v>
      </c>
      <c r="AA262" s="22" t="s">
        <v>545</v>
      </c>
      <c r="AB262" s="22" t="s">
        <v>592</v>
      </c>
      <c r="AC262" s="22" t="s">
        <v>545</v>
      </c>
      <c r="AD262" s="22" t="s">
        <v>586</v>
      </c>
      <c r="AE262" s="22" t="s">
        <v>554</v>
      </c>
    </row>
    <row r="263" spans="1:31" ht="20.25" hidden="1" customHeight="1" x14ac:dyDescent="0.15">
      <c r="A263" s="24" t="s">
        <v>605</v>
      </c>
      <c r="B263" s="21">
        <v>178</v>
      </c>
      <c r="C263" s="22" t="s">
        <v>38</v>
      </c>
      <c r="D263" s="22" t="s">
        <v>494</v>
      </c>
      <c r="E263" s="22" t="s">
        <v>494</v>
      </c>
      <c r="F263" s="22" t="s">
        <v>94</v>
      </c>
      <c r="G263" s="22" t="s">
        <v>496</v>
      </c>
      <c r="H263" s="22" t="s">
        <v>95</v>
      </c>
      <c r="I263" s="22" t="s">
        <v>154</v>
      </c>
      <c r="J263" s="22" t="s">
        <v>155</v>
      </c>
      <c r="K263" s="22" t="s">
        <v>498</v>
      </c>
      <c r="L263" s="22" t="s">
        <v>499</v>
      </c>
      <c r="M263" s="22" t="s">
        <v>496</v>
      </c>
      <c r="N263" s="22" t="s">
        <v>496</v>
      </c>
      <c r="O263" s="22"/>
      <c r="P263" s="22"/>
      <c r="Q263" s="22" t="s">
        <v>496</v>
      </c>
      <c r="R263" s="22" t="s">
        <v>590</v>
      </c>
      <c r="S263" s="22" t="s">
        <v>537</v>
      </c>
      <c r="T263" s="22" t="s">
        <v>496</v>
      </c>
      <c r="U263" s="22" t="s">
        <v>537</v>
      </c>
      <c r="V263" s="22" t="s">
        <v>538</v>
      </c>
      <c r="W263" s="22" t="s">
        <v>504</v>
      </c>
      <c r="X263" s="22" t="s">
        <v>541</v>
      </c>
      <c r="Y263" s="22" t="s">
        <v>545</v>
      </c>
      <c r="Z263" s="22" t="s">
        <v>591</v>
      </c>
      <c r="AA263" s="22" t="s">
        <v>545</v>
      </c>
      <c r="AB263" s="22" t="s">
        <v>592</v>
      </c>
      <c r="AC263" s="22" t="s">
        <v>545</v>
      </c>
      <c r="AD263" s="22" t="s">
        <v>476</v>
      </c>
      <c r="AE263" s="22" t="s">
        <v>509</v>
      </c>
    </row>
    <row r="264" spans="1:31" ht="20.25" hidden="1" customHeight="1" x14ac:dyDescent="0.15">
      <c r="A264" s="24" t="s">
        <v>605</v>
      </c>
      <c r="B264" s="21">
        <v>179</v>
      </c>
      <c r="C264" s="22" t="s">
        <v>38</v>
      </c>
      <c r="D264" s="22" t="s">
        <v>512</v>
      </c>
      <c r="E264" s="22" t="s">
        <v>494</v>
      </c>
      <c r="F264" s="22" t="s">
        <v>94</v>
      </c>
      <c r="G264" s="22" t="s">
        <v>496</v>
      </c>
      <c r="H264" s="22" t="s">
        <v>96</v>
      </c>
      <c r="I264" s="22" t="s">
        <v>168</v>
      </c>
      <c r="J264" s="22" t="s">
        <v>169</v>
      </c>
      <c r="K264" s="22" t="s">
        <v>498</v>
      </c>
      <c r="L264" s="22" t="s">
        <v>498</v>
      </c>
      <c r="M264" s="22" t="s">
        <v>496</v>
      </c>
      <c r="N264" s="22" t="s">
        <v>496</v>
      </c>
      <c r="O264" s="22"/>
      <c r="P264" s="22"/>
      <c r="Q264" s="22" t="s">
        <v>496</v>
      </c>
      <c r="R264" s="22" t="s">
        <v>590</v>
      </c>
      <c r="S264" s="22" t="s">
        <v>537</v>
      </c>
      <c r="T264" s="22" t="s">
        <v>496</v>
      </c>
      <c r="U264" s="22" t="s">
        <v>537</v>
      </c>
      <c r="V264" s="22" t="s">
        <v>538</v>
      </c>
      <c r="W264" s="22" t="s">
        <v>504</v>
      </c>
      <c r="X264" s="22" t="s">
        <v>504</v>
      </c>
      <c r="Y264" s="22" t="s">
        <v>545</v>
      </c>
      <c r="Z264" s="22" t="s">
        <v>593</v>
      </c>
      <c r="AA264" s="22" t="s">
        <v>545</v>
      </c>
      <c r="AB264" s="22" t="s">
        <v>594</v>
      </c>
      <c r="AC264" s="22" t="s">
        <v>545</v>
      </c>
      <c r="AD264" s="22" t="s">
        <v>476</v>
      </c>
      <c r="AE264" s="22" t="s">
        <v>509</v>
      </c>
    </row>
    <row r="265" spans="1:31" ht="20.25" hidden="1" customHeight="1" x14ac:dyDescent="0.15">
      <c r="A265" s="48" t="s">
        <v>622</v>
      </c>
      <c r="B265" s="21">
        <v>179</v>
      </c>
      <c r="C265" s="22" t="s">
        <v>38</v>
      </c>
      <c r="D265" s="22" t="s">
        <v>512</v>
      </c>
      <c r="E265" s="22" t="s">
        <v>494</v>
      </c>
      <c r="F265" s="22" t="s">
        <v>94</v>
      </c>
      <c r="G265" s="22" t="s">
        <v>496</v>
      </c>
      <c r="H265" s="22" t="s">
        <v>96</v>
      </c>
      <c r="I265" s="22" t="s">
        <v>168</v>
      </c>
      <c r="J265" s="22" t="s">
        <v>169</v>
      </c>
      <c r="K265" s="22" t="s">
        <v>498</v>
      </c>
      <c r="L265" s="22" t="s">
        <v>498</v>
      </c>
      <c r="M265" s="22" t="s">
        <v>496</v>
      </c>
      <c r="N265" s="22" t="s">
        <v>496</v>
      </c>
      <c r="O265" s="22"/>
      <c r="P265" s="22"/>
      <c r="Q265" s="22" t="s">
        <v>496</v>
      </c>
      <c r="R265" s="22" t="s">
        <v>590</v>
      </c>
      <c r="S265" s="22" t="s">
        <v>537</v>
      </c>
      <c r="T265" s="22" t="s">
        <v>496</v>
      </c>
      <c r="U265" s="22" t="s">
        <v>496</v>
      </c>
      <c r="V265" s="22" t="s">
        <v>584</v>
      </c>
      <c r="W265" s="22" t="s">
        <v>585</v>
      </c>
      <c r="X265" s="22" t="s">
        <v>594</v>
      </c>
      <c r="Y265" s="22" t="s">
        <v>504</v>
      </c>
      <c r="Z265" s="22" t="s">
        <v>593</v>
      </c>
      <c r="AA265" s="22" t="s">
        <v>545</v>
      </c>
      <c r="AB265" s="22" t="s">
        <v>594</v>
      </c>
      <c r="AC265" s="22" t="s">
        <v>545</v>
      </c>
      <c r="AD265" s="22" t="s">
        <v>586</v>
      </c>
      <c r="AE265" s="22" t="s">
        <v>554</v>
      </c>
    </row>
    <row r="266" spans="1:31" ht="20.25" hidden="1" customHeight="1" x14ac:dyDescent="0.15">
      <c r="A266" s="48" t="s">
        <v>622</v>
      </c>
      <c r="B266" s="21">
        <v>180</v>
      </c>
      <c r="C266" s="22" t="s">
        <v>38</v>
      </c>
      <c r="D266" s="22" t="s">
        <v>516</v>
      </c>
      <c r="E266" s="22" t="s">
        <v>494</v>
      </c>
      <c r="F266" s="22" t="s">
        <v>94</v>
      </c>
      <c r="G266" s="22" t="s">
        <v>496</v>
      </c>
      <c r="H266" s="22" t="s">
        <v>97</v>
      </c>
      <c r="I266" s="22" t="s">
        <v>144</v>
      </c>
      <c r="J266" s="22" t="s">
        <v>145</v>
      </c>
      <c r="K266" s="22" t="s">
        <v>498</v>
      </c>
      <c r="L266" s="22" t="s">
        <v>522</v>
      </c>
      <c r="M266" s="22" t="s">
        <v>496</v>
      </c>
      <c r="N266" s="22" t="s">
        <v>496</v>
      </c>
      <c r="O266" s="22"/>
      <c r="P266" s="22"/>
      <c r="Q266" s="22" t="s">
        <v>496</v>
      </c>
      <c r="R266" s="22" t="s">
        <v>590</v>
      </c>
      <c r="S266" s="22" t="s">
        <v>537</v>
      </c>
      <c r="T266" s="22" t="s">
        <v>496</v>
      </c>
      <c r="U266" s="22" t="s">
        <v>496</v>
      </c>
      <c r="V266" s="22" t="s">
        <v>584</v>
      </c>
      <c r="W266" s="22" t="s">
        <v>585</v>
      </c>
      <c r="X266" s="22" t="s">
        <v>595</v>
      </c>
      <c r="Y266" s="22" t="s">
        <v>504</v>
      </c>
      <c r="Z266" s="22" t="s">
        <v>596</v>
      </c>
      <c r="AA266" s="22" t="s">
        <v>545</v>
      </c>
      <c r="AB266" s="22" t="s">
        <v>595</v>
      </c>
      <c r="AC266" s="22" t="s">
        <v>545</v>
      </c>
      <c r="AD266" s="22" t="s">
        <v>586</v>
      </c>
      <c r="AE266" s="22" t="s">
        <v>554</v>
      </c>
    </row>
    <row r="267" spans="1:31" ht="20.25" hidden="1" customHeight="1" x14ac:dyDescent="0.15">
      <c r="A267" s="48" t="s">
        <v>622</v>
      </c>
      <c r="B267" s="21">
        <v>181</v>
      </c>
      <c r="C267" s="22" t="s">
        <v>539</v>
      </c>
      <c r="D267" s="22" t="s">
        <v>494</v>
      </c>
      <c r="E267" s="22" t="s">
        <v>494</v>
      </c>
      <c r="F267" s="22" t="s">
        <v>94</v>
      </c>
      <c r="G267" s="22" t="s">
        <v>496</v>
      </c>
      <c r="H267" s="22" t="s">
        <v>95</v>
      </c>
      <c r="I267" s="22" t="s">
        <v>156</v>
      </c>
      <c r="J267" s="22" t="s">
        <v>157</v>
      </c>
      <c r="K267" s="22" t="s">
        <v>498</v>
      </c>
      <c r="L267" s="22" t="s">
        <v>536</v>
      </c>
      <c r="M267" s="22" t="s">
        <v>496</v>
      </c>
      <c r="N267" s="22" t="s">
        <v>496</v>
      </c>
      <c r="O267" s="22"/>
      <c r="P267" s="22"/>
      <c r="Q267" s="22" t="s">
        <v>496</v>
      </c>
      <c r="R267" s="22" t="s">
        <v>590</v>
      </c>
      <c r="S267" s="22" t="s">
        <v>537</v>
      </c>
      <c r="T267" s="22" t="s">
        <v>496</v>
      </c>
      <c r="U267" s="22" t="s">
        <v>496</v>
      </c>
      <c r="V267" s="22" t="s">
        <v>584</v>
      </c>
      <c r="W267" s="22" t="s">
        <v>585</v>
      </c>
      <c r="X267" s="22" t="s">
        <v>592</v>
      </c>
      <c r="Y267" s="22" t="s">
        <v>504</v>
      </c>
      <c r="Z267" s="22" t="s">
        <v>591</v>
      </c>
      <c r="AA267" s="22" t="s">
        <v>545</v>
      </c>
      <c r="AB267" s="22" t="s">
        <v>592</v>
      </c>
      <c r="AC267" s="22" t="s">
        <v>545</v>
      </c>
      <c r="AD267" s="22" t="s">
        <v>586</v>
      </c>
      <c r="AE267" s="22" t="s">
        <v>554</v>
      </c>
    </row>
    <row r="268" spans="1:31" ht="20.25" hidden="1" customHeight="1" x14ac:dyDescent="0.15">
      <c r="A268" s="24" t="s">
        <v>605</v>
      </c>
      <c r="B268" s="21">
        <v>181</v>
      </c>
      <c r="C268" s="22" t="s">
        <v>539</v>
      </c>
      <c r="D268" s="22" t="s">
        <v>494</v>
      </c>
      <c r="E268" s="22" t="s">
        <v>494</v>
      </c>
      <c r="F268" s="22" t="s">
        <v>94</v>
      </c>
      <c r="G268" s="22" t="s">
        <v>496</v>
      </c>
      <c r="H268" s="22" t="s">
        <v>95</v>
      </c>
      <c r="I268" s="22" t="s">
        <v>156</v>
      </c>
      <c r="J268" s="22" t="s">
        <v>157</v>
      </c>
      <c r="K268" s="22" t="s">
        <v>498</v>
      </c>
      <c r="L268" s="22" t="s">
        <v>536</v>
      </c>
      <c r="M268" s="22" t="s">
        <v>496</v>
      </c>
      <c r="N268" s="22" t="s">
        <v>496</v>
      </c>
      <c r="O268" s="22"/>
      <c r="P268" s="22"/>
      <c r="Q268" s="22" t="s">
        <v>496</v>
      </c>
      <c r="R268" s="22" t="s">
        <v>590</v>
      </c>
      <c r="S268" s="22" t="s">
        <v>537</v>
      </c>
      <c r="T268" s="22" t="s">
        <v>496</v>
      </c>
      <c r="U268" s="22" t="s">
        <v>537</v>
      </c>
      <c r="V268" s="22" t="s">
        <v>538</v>
      </c>
      <c r="W268" s="22" t="s">
        <v>504</v>
      </c>
      <c r="X268" s="22" t="s">
        <v>541</v>
      </c>
      <c r="Y268" s="22" t="s">
        <v>545</v>
      </c>
      <c r="Z268" s="22" t="s">
        <v>591</v>
      </c>
      <c r="AA268" s="22" t="s">
        <v>545</v>
      </c>
      <c r="AB268" s="22" t="s">
        <v>592</v>
      </c>
      <c r="AC268" s="22" t="s">
        <v>545</v>
      </c>
      <c r="AD268" s="22" t="s">
        <v>476</v>
      </c>
      <c r="AE268" s="22" t="s">
        <v>509</v>
      </c>
    </row>
    <row r="269" spans="1:31" ht="20.25" hidden="1" customHeight="1" x14ac:dyDescent="0.15">
      <c r="A269" s="24" t="s">
        <v>605</v>
      </c>
      <c r="B269" s="21">
        <v>182</v>
      </c>
      <c r="C269" s="22" t="s">
        <v>540</v>
      </c>
      <c r="D269" s="22" t="s">
        <v>494</v>
      </c>
      <c r="E269" s="22" t="s">
        <v>494</v>
      </c>
      <c r="F269" s="22" t="s">
        <v>94</v>
      </c>
      <c r="G269" s="22" t="s">
        <v>496</v>
      </c>
      <c r="H269" s="22" t="s">
        <v>95</v>
      </c>
      <c r="I269" s="22" t="s">
        <v>160</v>
      </c>
      <c r="J269" s="22" t="s">
        <v>161</v>
      </c>
      <c r="K269" s="22" t="s">
        <v>498</v>
      </c>
      <c r="L269" s="22" t="s">
        <v>541</v>
      </c>
      <c r="M269" s="22" t="s">
        <v>496</v>
      </c>
      <c r="N269" s="22" t="s">
        <v>496</v>
      </c>
      <c r="O269" s="22"/>
      <c r="P269" s="22"/>
      <c r="Q269" s="22" t="s">
        <v>496</v>
      </c>
      <c r="R269" s="22" t="s">
        <v>590</v>
      </c>
      <c r="S269" s="22" t="s">
        <v>537</v>
      </c>
      <c r="T269" s="22" t="s">
        <v>496</v>
      </c>
      <c r="U269" s="22" t="s">
        <v>537</v>
      </c>
      <c r="V269" s="22" t="s">
        <v>538</v>
      </c>
      <c r="W269" s="22" t="s">
        <v>504</v>
      </c>
      <c r="X269" s="22" t="s">
        <v>541</v>
      </c>
      <c r="Y269" s="22" t="s">
        <v>545</v>
      </c>
      <c r="Z269" s="22" t="s">
        <v>591</v>
      </c>
      <c r="AA269" s="22" t="s">
        <v>545</v>
      </c>
      <c r="AB269" s="22" t="s">
        <v>592</v>
      </c>
      <c r="AC269" s="22" t="s">
        <v>545</v>
      </c>
      <c r="AD269" s="22" t="s">
        <v>476</v>
      </c>
      <c r="AE269" s="22" t="s">
        <v>509</v>
      </c>
    </row>
    <row r="270" spans="1:31" ht="20.25" hidden="1" customHeight="1" x14ac:dyDescent="0.15">
      <c r="A270" s="48" t="s">
        <v>622</v>
      </c>
      <c r="B270" s="21">
        <v>182</v>
      </c>
      <c r="C270" s="22" t="s">
        <v>540</v>
      </c>
      <c r="D270" s="22" t="s">
        <v>494</v>
      </c>
      <c r="E270" s="22" t="s">
        <v>494</v>
      </c>
      <c r="F270" s="22" t="s">
        <v>94</v>
      </c>
      <c r="G270" s="22" t="s">
        <v>496</v>
      </c>
      <c r="H270" s="22" t="s">
        <v>95</v>
      </c>
      <c r="I270" s="22" t="s">
        <v>160</v>
      </c>
      <c r="J270" s="22" t="s">
        <v>161</v>
      </c>
      <c r="K270" s="22" t="s">
        <v>498</v>
      </c>
      <c r="L270" s="22" t="s">
        <v>541</v>
      </c>
      <c r="M270" s="22" t="s">
        <v>496</v>
      </c>
      <c r="N270" s="22" t="s">
        <v>496</v>
      </c>
      <c r="O270" s="22"/>
      <c r="P270" s="22"/>
      <c r="Q270" s="22" t="s">
        <v>496</v>
      </c>
      <c r="R270" s="22" t="s">
        <v>590</v>
      </c>
      <c r="S270" s="22" t="s">
        <v>537</v>
      </c>
      <c r="T270" s="22" t="s">
        <v>496</v>
      </c>
      <c r="U270" s="22" t="s">
        <v>496</v>
      </c>
      <c r="V270" s="22" t="s">
        <v>584</v>
      </c>
      <c r="W270" s="22" t="s">
        <v>585</v>
      </c>
      <c r="X270" s="22" t="s">
        <v>592</v>
      </c>
      <c r="Y270" s="22" t="s">
        <v>504</v>
      </c>
      <c r="Z270" s="22" t="s">
        <v>591</v>
      </c>
      <c r="AA270" s="22" t="s">
        <v>545</v>
      </c>
      <c r="AB270" s="22" t="s">
        <v>592</v>
      </c>
      <c r="AC270" s="22" t="s">
        <v>545</v>
      </c>
      <c r="AD270" s="22" t="s">
        <v>586</v>
      </c>
      <c r="AE270" s="22" t="s">
        <v>554</v>
      </c>
    </row>
  </sheetData>
  <autoFilter ref="A1:AE270" xr:uid="{5BAFAF5E-F807-4F5B-86B0-F9EF270F0707}">
    <filterColumn colId="9">
      <filters>
        <filter val="4935552335408"/>
      </filters>
    </filterColumn>
  </autoFilter>
  <phoneticPr fontId="6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6E9D-5242-47F4-A0BD-6E1B8B3499A0}">
  <dimension ref="A1:P25"/>
  <sheetViews>
    <sheetView workbookViewId="0">
      <pane xSplit="2" ySplit="1" topLeftCell="D17" activePane="bottomRight" state="frozen"/>
      <selection pane="topRight" activeCell="C1" sqref="C1"/>
      <selection pane="bottomLeft" activeCell="A2" sqref="A2"/>
      <selection pane="bottomRight" activeCell="L24" sqref="L24"/>
    </sheetView>
  </sheetViews>
  <sheetFormatPr defaultColWidth="32.875" defaultRowHeight="18.75" x14ac:dyDescent="0.4"/>
  <cols>
    <col min="1" max="1" width="5.25" bestFit="1" customWidth="1"/>
    <col min="2" max="2" width="10.125" bestFit="1" customWidth="1"/>
    <col min="3" max="3" width="32.125" bestFit="1" customWidth="1"/>
    <col min="4" max="4" width="15" bestFit="1" customWidth="1"/>
    <col min="5" max="5" width="10.5" bestFit="1" customWidth="1"/>
    <col min="6" max="6" width="5.25" bestFit="1" customWidth="1"/>
    <col min="7" max="8" width="9.875" bestFit="1" customWidth="1"/>
    <col min="9" max="9" width="9" bestFit="1" customWidth="1"/>
    <col min="10" max="10" width="7.125" bestFit="1" customWidth="1"/>
    <col min="11" max="11" width="18.125" bestFit="1" customWidth="1"/>
    <col min="12" max="12" width="10.625" bestFit="1" customWidth="1"/>
    <col min="13" max="13" width="9" bestFit="1" customWidth="1"/>
    <col min="14" max="14" width="11" bestFit="1" customWidth="1"/>
    <col min="15" max="16" width="13" bestFit="1" customWidth="1"/>
  </cols>
  <sheetData>
    <row r="1" spans="1:16" x14ac:dyDescent="0.15">
      <c r="A1" s="179" t="s">
        <v>466</v>
      </c>
      <c r="B1" s="179" t="s">
        <v>757</v>
      </c>
      <c r="C1" s="179" t="s">
        <v>473</v>
      </c>
      <c r="D1" s="179" t="s">
        <v>474</v>
      </c>
      <c r="E1" s="179" t="s">
        <v>758</v>
      </c>
      <c r="F1" s="179" t="s">
        <v>472</v>
      </c>
      <c r="G1" s="179" t="s">
        <v>482</v>
      </c>
      <c r="H1" s="179" t="s">
        <v>483</v>
      </c>
      <c r="I1" s="179" t="s">
        <v>484</v>
      </c>
      <c r="J1" s="179" t="s">
        <v>485</v>
      </c>
      <c r="K1" s="179" t="s">
        <v>491</v>
      </c>
      <c r="L1" s="179" t="s">
        <v>492</v>
      </c>
      <c r="M1" s="179" t="s">
        <v>487</v>
      </c>
      <c r="N1" s="179" t="s">
        <v>488</v>
      </c>
      <c r="O1" s="179" t="s">
        <v>489</v>
      </c>
      <c r="P1" s="179" t="s">
        <v>490</v>
      </c>
    </row>
    <row r="2" spans="1:16" x14ac:dyDescent="0.15">
      <c r="A2" s="180">
        <v>1</v>
      </c>
      <c r="B2" s="181" t="s">
        <v>759</v>
      </c>
      <c r="C2" s="181" t="s">
        <v>760</v>
      </c>
      <c r="D2" s="181" t="s">
        <v>761</v>
      </c>
      <c r="E2" s="181" t="s">
        <v>545</v>
      </c>
      <c r="F2" s="181" t="s">
        <v>541</v>
      </c>
      <c r="G2" s="181" t="s">
        <v>762</v>
      </c>
      <c r="H2" s="181" t="s">
        <v>503</v>
      </c>
      <c r="I2" s="181" t="s">
        <v>504</v>
      </c>
      <c r="J2" s="181" t="s">
        <v>505</v>
      </c>
      <c r="K2" s="181" t="s">
        <v>508</v>
      </c>
      <c r="L2" s="181" t="s">
        <v>509</v>
      </c>
      <c r="M2" s="181" t="s">
        <v>500</v>
      </c>
      <c r="N2" s="181" t="s">
        <v>506</v>
      </c>
      <c r="O2" s="181" t="s">
        <v>505</v>
      </c>
      <c r="P2" s="181" t="s">
        <v>506</v>
      </c>
    </row>
    <row r="3" spans="1:16" x14ac:dyDescent="0.15">
      <c r="A3" s="180">
        <v>1</v>
      </c>
      <c r="B3" s="181" t="s">
        <v>759</v>
      </c>
      <c r="C3" s="181" t="s">
        <v>760</v>
      </c>
      <c r="D3" s="181" t="s">
        <v>761</v>
      </c>
      <c r="E3" s="181" t="s">
        <v>545</v>
      </c>
      <c r="F3" s="181" t="s">
        <v>541</v>
      </c>
      <c r="G3" s="181" t="s">
        <v>496</v>
      </c>
      <c r="H3" s="181" t="s">
        <v>544</v>
      </c>
      <c r="I3" s="181" t="s">
        <v>545</v>
      </c>
      <c r="J3" s="181" t="s">
        <v>505</v>
      </c>
      <c r="K3" s="181" t="s">
        <v>663</v>
      </c>
      <c r="L3" s="181" t="s">
        <v>547</v>
      </c>
      <c r="M3" s="181" t="s">
        <v>500</v>
      </c>
      <c r="N3" s="181" t="s">
        <v>506</v>
      </c>
      <c r="O3" s="181" t="s">
        <v>505</v>
      </c>
      <c r="P3" s="181" t="s">
        <v>506</v>
      </c>
    </row>
    <row r="4" spans="1:16" x14ac:dyDescent="0.15">
      <c r="A4" s="180">
        <v>2</v>
      </c>
      <c r="B4" s="181" t="s">
        <v>763</v>
      </c>
      <c r="C4" s="181" t="s">
        <v>764</v>
      </c>
      <c r="D4" s="181" t="s">
        <v>765</v>
      </c>
      <c r="E4" s="181" t="s">
        <v>545</v>
      </c>
      <c r="F4" s="181" t="s">
        <v>541</v>
      </c>
      <c r="G4" s="181" t="s">
        <v>496</v>
      </c>
      <c r="H4" s="181" t="s">
        <v>544</v>
      </c>
      <c r="I4" s="181" t="s">
        <v>545</v>
      </c>
      <c r="J4" s="181" t="s">
        <v>505</v>
      </c>
      <c r="K4" s="181" t="s">
        <v>663</v>
      </c>
      <c r="L4" s="181" t="s">
        <v>547</v>
      </c>
      <c r="M4" s="181" t="s">
        <v>498</v>
      </c>
      <c r="N4" s="181" t="s">
        <v>506</v>
      </c>
      <c r="O4" s="181" t="s">
        <v>505</v>
      </c>
      <c r="P4" s="181" t="s">
        <v>506</v>
      </c>
    </row>
    <row r="5" spans="1:16" x14ac:dyDescent="0.15">
      <c r="A5" s="180">
        <v>3</v>
      </c>
      <c r="B5" s="181" t="s">
        <v>766</v>
      </c>
      <c r="C5" s="181" t="s">
        <v>767</v>
      </c>
      <c r="D5" s="181" t="s">
        <v>768</v>
      </c>
      <c r="E5" s="181" t="s">
        <v>545</v>
      </c>
      <c r="F5" s="181" t="s">
        <v>541</v>
      </c>
      <c r="G5" s="181" t="s">
        <v>496</v>
      </c>
      <c r="H5" s="181" t="s">
        <v>544</v>
      </c>
      <c r="I5" s="181" t="s">
        <v>545</v>
      </c>
      <c r="J5" s="181" t="s">
        <v>505</v>
      </c>
      <c r="K5" s="181" t="s">
        <v>663</v>
      </c>
      <c r="L5" s="181" t="s">
        <v>547</v>
      </c>
      <c r="M5" s="181" t="s">
        <v>498</v>
      </c>
      <c r="N5" s="181" t="s">
        <v>506</v>
      </c>
      <c r="O5" s="181" t="s">
        <v>505</v>
      </c>
      <c r="P5" s="181" t="s">
        <v>506</v>
      </c>
    </row>
    <row r="6" spans="1:16" x14ac:dyDescent="0.15">
      <c r="A6" s="180">
        <v>4</v>
      </c>
      <c r="B6" s="181" t="s">
        <v>759</v>
      </c>
      <c r="C6" s="181" t="s">
        <v>769</v>
      </c>
      <c r="D6" s="181" t="s">
        <v>770</v>
      </c>
      <c r="E6" s="181" t="s">
        <v>506</v>
      </c>
      <c r="F6" s="181" t="s">
        <v>536</v>
      </c>
      <c r="G6" s="181" t="s">
        <v>496</v>
      </c>
      <c r="H6" s="181" t="s">
        <v>544</v>
      </c>
      <c r="I6" s="181" t="s">
        <v>506</v>
      </c>
      <c r="J6" s="181" t="s">
        <v>771</v>
      </c>
      <c r="K6" s="181" t="s">
        <v>772</v>
      </c>
      <c r="L6" s="181" t="s">
        <v>554</v>
      </c>
      <c r="M6" s="181" t="s">
        <v>773</v>
      </c>
      <c r="N6" s="181" t="s">
        <v>506</v>
      </c>
      <c r="O6" s="181" t="s">
        <v>771</v>
      </c>
      <c r="P6" s="181" t="s">
        <v>506</v>
      </c>
    </row>
    <row r="7" spans="1:16" x14ac:dyDescent="0.15">
      <c r="A7" s="180">
        <v>4</v>
      </c>
      <c r="B7" s="181" t="s">
        <v>759</v>
      </c>
      <c r="C7" s="181" t="s">
        <v>769</v>
      </c>
      <c r="D7" s="181" t="s">
        <v>770</v>
      </c>
      <c r="E7" s="181" t="s">
        <v>506</v>
      </c>
      <c r="F7" s="181" t="s">
        <v>536</v>
      </c>
      <c r="G7" s="181" t="s">
        <v>762</v>
      </c>
      <c r="H7" s="181" t="s">
        <v>503</v>
      </c>
      <c r="I7" s="181" t="s">
        <v>504</v>
      </c>
      <c r="J7" s="181" t="s">
        <v>505</v>
      </c>
      <c r="K7" s="181" t="s">
        <v>508</v>
      </c>
      <c r="L7" s="181" t="s">
        <v>509</v>
      </c>
      <c r="M7" s="181" t="s">
        <v>773</v>
      </c>
      <c r="N7" s="181" t="s">
        <v>506</v>
      </c>
      <c r="O7" s="181" t="s">
        <v>771</v>
      </c>
      <c r="P7" s="181" t="s">
        <v>506</v>
      </c>
    </row>
    <row r="8" spans="1:16" x14ac:dyDescent="0.15">
      <c r="A8" s="180">
        <v>5</v>
      </c>
      <c r="B8" s="181" t="s">
        <v>763</v>
      </c>
      <c r="C8" s="181" t="s">
        <v>774</v>
      </c>
      <c r="D8" s="181" t="s">
        <v>775</v>
      </c>
      <c r="E8" s="181" t="s">
        <v>506</v>
      </c>
      <c r="F8" s="181" t="s">
        <v>536</v>
      </c>
      <c r="G8" s="181" t="s">
        <v>496</v>
      </c>
      <c r="H8" s="181" t="s">
        <v>544</v>
      </c>
      <c r="I8" s="181" t="s">
        <v>506</v>
      </c>
      <c r="J8" s="181" t="s">
        <v>771</v>
      </c>
      <c r="K8" s="181" t="s">
        <v>772</v>
      </c>
      <c r="L8" s="181" t="s">
        <v>554</v>
      </c>
      <c r="M8" s="181" t="s">
        <v>776</v>
      </c>
      <c r="N8" s="181" t="s">
        <v>506</v>
      </c>
      <c r="O8" s="181" t="s">
        <v>771</v>
      </c>
      <c r="P8" s="181" t="s">
        <v>506</v>
      </c>
    </row>
    <row r="9" spans="1:16" x14ac:dyDescent="0.15">
      <c r="A9" s="180">
        <v>6</v>
      </c>
      <c r="B9" s="181" t="s">
        <v>766</v>
      </c>
      <c r="C9" s="181" t="s">
        <v>777</v>
      </c>
      <c r="D9" s="181" t="s">
        <v>778</v>
      </c>
      <c r="E9" s="181" t="s">
        <v>506</v>
      </c>
      <c r="F9" s="181" t="s">
        <v>536</v>
      </c>
      <c r="G9" s="181" t="s">
        <v>496</v>
      </c>
      <c r="H9" s="181" t="s">
        <v>544</v>
      </c>
      <c r="I9" s="181" t="s">
        <v>506</v>
      </c>
      <c r="J9" s="181" t="s">
        <v>771</v>
      </c>
      <c r="K9" s="181" t="s">
        <v>772</v>
      </c>
      <c r="L9" s="181" t="s">
        <v>554</v>
      </c>
      <c r="M9" s="181" t="s">
        <v>776</v>
      </c>
      <c r="N9" s="181" t="s">
        <v>506</v>
      </c>
      <c r="O9" s="181" t="s">
        <v>771</v>
      </c>
      <c r="P9" s="181" t="s">
        <v>506</v>
      </c>
    </row>
    <row r="10" spans="1:16" x14ac:dyDescent="0.15">
      <c r="A10" s="180">
        <v>7</v>
      </c>
      <c r="B10" s="181" t="s">
        <v>759</v>
      </c>
      <c r="C10" s="181" t="s">
        <v>779</v>
      </c>
      <c r="D10" s="181" t="s">
        <v>780</v>
      </c>
      <c r="E10" s="181" t="s">
        <v>781</v>
      </c>
      <c r="F10" s="181" t="s">
        <v>518</v>
      </c>
      <c r="G10" s="181" t="s">
        <v>496</v>
      </c>
      <c r="H10" s="181" t="s">
        <v>544</v>
      </c>
      <c r="I10" s="181" t="s">
        <v>545</v>
      </c>
      <c r="J10" s="181" t="s">
        <v>518</v>
      </c>
      <c r="K10" s="181" t="s">
        <v>663</v>
      </c>
      <c r="L10" s="181" t="s">
        <v>547</v>
      </c>
      <c r="M10" s="181" t="s">
        <v>763</v>
      </c>
      <c r="N10" s="181" t="s">
        <v>506</v>
      </c>
      <c r="O10" s="181" t="s">
        <v>518</v>
      </c>
      <c r="P10" s="181" t="s">
        <v>506</v>
      </c>
    </row>
    <row r="11" spans="1:16" x14ac:dyDescent="0.15">
      <c r="A11" s="180">
        <v>7</v>
      </c>
      <c r="B11" s="181" t="s">
        <v>759</v>
      </c>
      <c r="C11" s="181" t="s">
        <v>779</v>
      </c>
      <c r="D11" s="181" t="s">
        <v>780</v>
      </c>
      <c r="E11" s="181" t="s">
        <v>781</v>
      </c>
      <c r="F11" s="181" t="s">
        <v>518</v>
      </c>
      <c r="G11" s="181" t="s">
        <v>762</v>
      </c>
      <c r="H11" s="181" t="s">
        <v>503</v>
      </c>
      <c r="I11" s="181" t="s">
        <v>504</v>
      </c>
      <c r="J11" s="181" t="s">
        <v>505</v>
      </c>
      <c r="K11" s="181" t="s">
        <v>508</v>
      </c>
      <c r="L11" s="181" t="s">
        <v>509</v>
      </c>
      <c r="M11" s="181" t="s">
        <v>763</v>
      </c>
      <c r="N11" s="181" t="s">
        <v>506</v>
      </c>
      <c r="O11" s="181" t="s">
        <v>518</v>
      </c>
      <c r="P11" s="181" t="s">
        <v>506</v>
      </c>
    </row>
    <row r="12" spans="1:16" ht="27" x14ac:dyDescent="0.15">
      <c r="A12" s="180">
        <v>8</v>
      </c>
      <c r="B12" s="181" t="s">
        <v>759</v>
      </c>
      <c r="C12" s="181" t="s">
        <v>782</v>
      </c>
      <c r="D12" s="181" t="s">
        <v>783</v>
      </c>
      <c r="E12" s="181" t="s">
        <v>781</v>
      </c>
      <c r="F12" s="181" t="s">
        <v>759</v>
      </c>
      <c r="G12" s="181" t="s">
        <v>496</v>
      </c>
      <c r="H12" s="181" t="s">
        <v>544</v>
      </c>
      <c r="I12" s="181" t="s">
        <v>545</v>
      </c>
      <c r="J12" s="181" t="s">
        <v>505</v>
      </c>
      <c r="K12" s="181" t="s">
        <v>663</v>
      </c>
      <c r="L12" s="181" t="s">
        <v>547</v>
      </c>
      <c r="M12" s="181" t="s">
        <v>500</v>
      </c>
      <c r="N12" s="181" t="s">
        <v>506</v>
      </c>
      <c r="O12" s="181" t="s">
        <v>505</v>
      </c>
      <c r="P12" s="181" t="s">
        <v>506</v>
      </c>
    </row>
    <row r="13" spans="1:16" ht="27" x14ac:dyDescent="0.15">
      <c r="A13" s="180">
        <v>8</v>
      </c>
      <c r="B13" s="181" t="s">
        <v>759</v>
      </c>
      <c r="C13" s="181" t="s">
        <v>782</v>
      </c>
      <c r="D13" s="181" t="s">
        <v>783</v>
      </c>
      <c r="E13" s="181" t="s">
        <v>781</v>
      </c>
      <c r="F13" s="181" t="s">
        <v>759</v>
      </c>
      <c r="G13" s="181" t="s">
        <v>762</v>
      </c>
      <c r="H13" s="181" t="s">
        <v>503</v>
      </c>
      <c r="I13" s="181" t="s">
        <v>504</v>
      </c>
      <c r="J13" s="181" t="s">
        <v>505</v>
      </c>
      <c r="K13" s="181" t="s">
        <v>508</v>
      </c>
      <c r="L13" s="181" t="s">
        <v>509</v>
      </c>
      <c r="M13" s="181" t="s">
        <v>500</v>
      </c>
      <c r="N13" s="181" t="s">
        <v>506</v>
      </c>
      <c r="O13" s="181" t="s">
        <v>505</v>
      </c>
      <c r="P13" s="181" t="s">
        <v>506</v>
      </c>
    </row>
    <row r="14" spans="1:16" x14ac:dyDescent="0.15">
      <c r="A14" s="180">
        <v>9</v>
      </c>
      <c r="B14" s="181" t="s">
        <v>759</v>
      </c>
      <c r="C14" s="181" t="s">
        <v>784</v>
      </c>
      <c r="D14" s="181" t="s">
        <v>785</v>
      </c>
      <c r="E14" s="181" t="s">
        <v>781</v>
      </c>
      <c r="F14" s="181" t="s">
        <v>763</v>
      </c>
      <c r="G14" s="181" t="s">
        <v>762</v>
      </c>
      <c r="H14" s="181" t="s">
        <v>503</v>
      </c>
      <c r="I14" s="181" t="s">
        <v>504</v>
      </c>
      <c r="J14" s="181" t="s">
        <v>505</v>
      </c>
      <c r="K14" s="181" t="s">
        <v>508</v>
      </c>
      <c r="L14" s="181" t="s">
        <v>509</v>
      </c>
      <c r="M14" s="181" t="s">
        <v>498</v>
      </c>
      <c r="N14" s="181" t="s">
        <v>506</v>
      </c>
      <c r="O14" s="181" t="s">
        <v>504</v>
      </c>
      <c r="P14" s="181" t="s">
        <v>504</v>
      </c>
    </row>
    <row r="15" spans="1:16" x14ac:dyDescent="0.15">
      <c r="A15" s="180">
        <v>10</v>
      </c>
      <c r="B15" s="181" t="s">
        <v>759</v>
      </c>
      <c r="C15" s="181" t="s">
        <v>786</v>
      </c>
      <c r="D15" s="181" t="s">
        <v>787</v>
      </c>
      <c r="E15" s="181" t="s">
        <v>781</v>
      </c>
      <c r="F15" s="181" t="s">
        <v>766</v>
      </c>
      <c r="G15" s="181" t="s">
        <v>762</v>
      </c>
      <c r="H15" s="181" t="s">
        <v>503</v>
      </c>
      <c r="I15" s="181" t="s">
        <v>504</v>
      </c>
      <c r="J15" s="181" t="s">
        <v>518</v>
      </c>
      <c r="K15" s="181" t="s">
        <v>508</v>
      </c>
      <c r="L15" s="181" t="s">
        <v>509</v>
      </c>
      <c r="M15" s="181" t="s">
        <v>498</v>
      </c>
      <c r="N15" s="181" t="s">
        <v>506</v>
      </c>
      <c r="O15" s="181" t="s">
        <v>504</v>
      </c>
      <c r="P15" s="181" t="s">
        <v>504</v>
      </c>
    </row>
    <row r="16" spans="1:16" x14ac:dyDescent="0.15">
      <c r="A16" s="180">
        <v>11</v>
      </c>
      <c r="B16" s="181" t="s">
        <v>763</v>
      </c>
      <c r="C16" s="181" t="s">
        <v>788</v>
      </c>
      <c r="D16" s="181" t="s">
        <v>789</v>
      </c>
      <c r="E16" s="181" t="s">
        <v>781</v>
      </c>
      <c r="F16" s="181" t="s">
        <v>759</v>
      </c>
      <c r="G16" s="181" t="s">
        <v>496</v>
      </c>
      <c r="H16" s="181" t="s">
        <v>544</v>
      </c>
      <c r="I16" s="181" t="s">
        <v>545</v>
      </c>
      <c r="J16" s="181" t="s">
        <v>505</v>
      </c>
      <c r="K16" s="181" t="s">
        <v>663</v>
      </c>
      <c r="L16" s="181" t="s">
        <v>547</v>
      </c>
      <c r="M16" s="181" t="s">
        <v>498</v>
      </c>
      <c r="N16" s="181" t="s">
        <v>506</v>
      </c>
      <c r="O16" s="181" t="s">
        <v>505</v>
      </c>
      <c r="P16" s="181" t="s">
        <v>506</v>
      </c>
    </row>
    <row r="17" spans="1:16" x14ac:dyDescent="0.15">
      <c r="A17" s="180">
        <v>12</v>
      </c>
      <c r="B17" s="181" t="s">
        <v>763</v>
      </c>
      <c r="C17" s="181" t="s">
        <v>790</v>
      </c>
      <c r="D17" s="181" t="s">
        <v>791</v>
      </c>
      <c r="E17" s="181" t="s">
        <v>781</v>
      </c>
      <c r="F17" s="181" t="s">
        <v>763</v>
      </c>
      <c r="G17" s="181" t="s">
        <v>496</v>
      </c>
      <c r="H17" s="181" t="s">
        <v>496</v>
      </c>
      <c r="I17" s="181" t="s">
        <v>496</v>
      </c>
      <c r="J17" s="181" t="s">
        <v>496</v>
      </c>
      <c r="K17" s="181" t="s">
        <v>496</v>
      </c>
      <c r="L17" s="181" t="s">
        <v>496</v>
      </c>
      <c r="M17" s="181" t="s">
        <v>531</v>
      </c>
      <c r="N17" s="181" t="s">
        <v>506</v>
      </c>
      <c r="O17" s="181" t="s">
        <v>504</v>
      </c>
      <c r="P17" s="181" t="s">
        <v>504</v>
      </c>
    </row>
    <row r="18" spans="1:16" x14ac:dyDescent="0.15">
      <c r="A18" s="180">
        <v>13</v>
      </c>
      <c r="B18" s="181" t="s">
        <v>763</v>
      </c>
      <c r="C18" s="181" t="s">
        <v>792</v>
      </c>
      <c r="D18" s="181" t="s">
        <v>793</v>
      </c>
      <c r="E18" s="181" t="s">
        <v>781</v>
      </c>
      <c r="F18" s="181" t="s">
        <v>766</v>
      </c>
      <c r="G18" s="181" t="s">
        <v>794</v>
      </c>
      <c r="H18" s="181" t="s">
        <v>503</v>
      </c>
      <c r="I18" s="181" t="s">
        <v>504</v>
      </c>
      <c r="J18" s="181" t="s">
        <v>505</v>
      </c>
      <c r="K18" s="181" t="s">
        <v>508</v>
      </c>
      <c r="L18" s="181" t="s">
        <v>509</v>
      </c>
      <c r="M18" s="181" t="s">
        <v>531</v>
      </c>
      <c r="N18" s="181" t="s">
        <v>506</v>
      </c>
      <c r="O18" s="181" t="s">
        <v>504</v>
      </c>
      <c r="P18" s="181" t="s">
        <v>504</v>
      </c>
    </row>
    <row r="19" spans="1:16" x14ac:dyDescent="0.15">
      <c r="A19" s="180">
        <v>14</v>
      </c>
      <c r="B19" s="181" t="s">
        <v>766</v>
      </c>
      <c r="C19" s="181" t="s">
        <v>795</v>
      </c>
      <c r="D19" s="181" t="s">
        <v>796</v>
      </c>
      <c r="E19" s="181" t="s">
        <v>781</v>
      </c>
      <c r="F19" s="181" t="s">
        <v>500</v>
      </c>
      <c r="G19" s="181" t="s">
        <v>496</v>
      </c>
      <c r="H19" s="181" t="s">
        <v>496</v>
      </c>
      <c r="I19" s="181" t="s">
        <v>496</v>
      </c>
      <c r="J19" s="181" t="s">
        <v>496</v>
      </c>
      <c r="K19" s="181" t="s">
        <v>496</v>
      </c>
      <c r="L19" s="181" t="s">
        <v>496</v>
      </c>
      <c r="M19" s="181" t="s">
        <v>507</v>
      </c>
      <c r="N19" s="181" t="s">
        <v>506</v>
      </c>
      <c r="O19" s="181" t="s">
        <v>504</v>
      </c>
      <c r="P19" s="181" t="s">
        <v>504</v>
      </c>
    </row>
    <row r="20" spans="1:16" x14ac:dyDescent="0.15">
      <c r="A20" s="180">
        <v>15</v>
      </c>
      <c r="B20" s="181" t="s">
        <v>766</v>
      </c>
      <c r="C20" s="181" t="s">
        <v>797</v>
      </c>
      <c r="D20" s="181" t="s">
        <v>798</v>
      </c>
      <c r="E20" s="181" t="s">
        <v>781</v>
      </c>
      <c r="F20" s="181" t="s">
        <v>766</v>
      </c>
      <c r="G20" s="181" t="s">
        <v>496</v>
      </c>
      <c r="H20" s="181" t="s">
        <v>496</v>
      </c>
      <c r="I20" s="181" t="s">
        <v>496</v>
      </c>
      <c r="J20" s="181" t="s">
        <v>496</v>
      </c>
      <c r="K20" s="181" t="s">
        <v>496</v>
      </c>
      <c r="L20" s="181" t="s">
        <v>496</v>
      </c>
      <c r="M20" s="181" t="s">
        <v>799</v>
      </c>
      <c r="N20" s="181" t="s">
        <v>506</v>
      </c>
      <c r="O20" s="181" t="s">
        <v>504</v>
      </c>
      <c r="P20" s="181" t="s">
        <v>504</v>
      </c>
    </row>
    <row r="21" spans="1:16" x14ac:dyDescent="0.15">
      <c r="A21" s="180">
        <v>16</v>
      </c>
      <c r="B21" s="181" t="s">
        <v>766</v>
      </c>
      <c r="C21" s="181" t="s">
        <v>800</v>
      </c>
      <c r="D21" s="181" t="s">
        <v>801</v>
      </c>
      <c r="E21" s="181" t="s">
        <v>781</v>
      </c>
      <c r="F21" s="181" t="s">
        <v>763</v>
      </c>
      <c r="G21" s="181" t="s">
        <v>496</v>
      </c>
      <c r="H21" s="181" t="s">
        <v>496</v>
      </c>
      <c r="I21" s="181" t="s">
        <v>496</v>
      </c>
      <c r="J21" s="181" t="s">
        <v>496</v>
      </c>
      <c r="K21" s="181" t="s">
        <v>496</v>
      </c>
      <c r="L21" s="181" t="s">
        <v>496</v>
      </c>
      <c r="M21" s="181" t="s">
        <v>531</v>
      </c>
      <c r="N21" s="181" t="s">
        <v>506</v>
      </c>
      <c r="O21" s="181" t="s">
        <v>504</v>
      </c>
      <c r="P21" s="181" t="s">
        <v>504</v>
      </c>
    </row>
    <row r="22" spans="1:16" x14ac:dyDescent="0.15">
      <c r="A22" s="180">
        <v>17</v>
      </c>
      <c r="B22" s="181" t="s">
        <v>766</v>
      </c>
      <c r="C22" s="181" t="s">
        <v>802</v>
      </c>
      <c r="D22" s="181" t="s">
        <v>803</v>
      </c>
      <c r="E22" s="181" t="s">
        <v>781</v>
      </c>
      <c r="F22" s="181" t="s">
        <v>759</v>
      </c>
      <c r="G22" s="181" t="s">
        <v>496</v>
      </c>
      <c r="H22" s="181" t="s">
        <v>544</v>
      </c>
      <c r="I22" s="181" t="s">
        <v>545</v>
      </c>
      <c r="J22" s="181" t="s">
        <v>505</v>
      </c>
      <c r="K22" s="181" t="s">
        <v>663</v>
      </c>
      <c r="L22" s="181" t="s">
        <v>547</v>
      </c>
      <c r="M22" s="181" t="s">
        <v>498</v>
      </c>
      <c r="N22" s="181" t="s">
        <v>506</v>
      </c>
      <c r="O22" s="181" t="s">
        <v>505</v>
      </c>
      <c r="P22" s="181" t="s">
        <v>506</v>
      </c>
    </row>
    <row r="23" spans="1:16" x14ac:dyDescent="0.15">
      <c r="A23" s="180">
        <v>18</v>
      </c>
      <c r="B23" s="181" t="s">
        <v>804</v>
      </c>
      <c r="C23" s="181" t="s">
        <v>805</v>
      </c>
      <c r="D23" s="181" t="s">
        <v>806</v>
      </c>
      <c r="E23" s="181" t="s">
        <v>781</v>
      </c>
      <c r="F23" s="181" t="s">
        <v>807</v>
      </c>
      <c r="G23" s="181" t="s">
        <v>808</v>
      </c>
      <c r="H23" s="181" t="s">
        <v>538</v>
      </c>
      <c r="I23" s="181" t="s">
        <v>504</v>
      </c>
      <c r="J23" s="181" t="s">
        <v>557</v>
      </c>
      <c r="K23" s="181" t="s">
        <v>809</v>
      </c>
      <c r="L23" s="181" t="s">
        <v>509</v>
      </c>
      <c r="M23" s="181" t="s">
        <v>807</v>
      </c>
      <c r="N23" s="181" t="s">
        <v>545</v>
      </c>
      <c r="O23" s="181" t="s">
        <v>504</v>
      </c>
      <c r="P23" s="181" t="s">
        <v>504</v>
      </c>
    </row>
    <row r="24" spans="1:16" x14ac:dyDescent="0.15">
      <c r="A24" s="180">
        <v>19</v>
      </c>
      <c r="B24" s="181" t="s">
        <v>804</v>
      </c>
      <c r="C24" s="181" t="s">
        <v>810</v>
      </c>
      <c r="D24" s="181" t="s">
        <v>811</v>
      </c>
      <c r="E24" s="181" t="s">
        <v>781</v>
      </c>
      <c r="F24" s="181" t="s">
        <v>763</v>
      </c>
      <c r="G24" s="181" t="s">
        <v>808</v>
      </c>
      <c r="H24" s="181" t="s">
        <v>538</v>
      </c>
      <c r="I24" s="181" t="s">
        <v>504</v>
      </c>
      <c r="J24" s="181" t="s">
        <v>504</v>
      </c>
      <c r="K24" s="181" t="s">
        <v>809</v>
      </c>
      <c r="L24" s="181" t="s">
        <v>509</v>
      </c>
      <c r="M24" s="181" t="s">
        <v>763</v>
      </c>
      <c r="N24" s="181" t="s">
        <v>545</v>
      </c>
      <c r="O24" s="181" t="s">
        <v>504</v>
      </c>
      <c r="P24" s="181" t="s">
        <v>504</v>
      </c>
    </row>
    <row r="25" spans="1:16" x14ac:dyDescent="0.15">
      <c r="A25" s="180">
        <v>20</v>
      </c>
      <c r="B25" s="181" t="s">
        <v>804</v>
      </c>
      <c r="C25" s="181" t="s">
        <v>812</v>
      </c>
      <c r="D25" s="181" t="s">
        <v>813</v>
      </c>
      <c r="E25" s="181" t="s">
        <v>781</v>
      </c>
      <c r="F25" s="181" t="s">
        <v>766</v>
      </c>
      <c r="G25" s="181" t="s">
        <v>808</v>
      </c>
      <c r="H25" s="181" t="s">
        <v>538</v>
      </c>
      <c r="I25" s="181" t="s">
        <v>504</v>
      </c>
      <c r="J25" s="181" t="s">
        <v>564</v>
      </c>
      <c r="K25" s="181" t="s">
        <v>809</v>
      </c>
      <c r="L25" s="181" t="s">
        <v>509</v>
      </c>
      <c r="M25" s="181" t="s">
        <v>766</v>
      </c>
      <c r="N25" s="181" t="s">
        <v>545</v>
      </c>
      <c r="O25" s="181" t="s">
        <v>504</v>
      </c>
      <c r="P25" s="181" t="s">
        <v>504</v>
      </c>
    </row>
  </sheetData>
  <phoneticPr fontId="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184"/>
  <sheetViews>
    <sheetView zoomScale="85" zoomScaleNormal="85" workbookViewId="0">
      <pane xSplit="7" ySplit="2" topLeftCell="H3" activePane="bottomRight" state="frozen"/>
      <selection pane="topRight" activeCell="F1" sqref="F1"/>
      <selection pane="bottomLeft" activeCell="A2" sqref="A2"/>
      <selection pane="bottomRight" activeCell="G1" sqref="G1:G2"/>
    </sheetView>
  </sheetViews>
  <sheetFormatPr defaultColWidth="94.25" defaultRowHeight="13.5" outlineLevelCol="1" x14ac:dyDescent="0.4"/>
  <cols>
    <col min="1" max="1" width="5.5" style="7" bestFit="1" customWidth="1"/>
    <col min="2" max="2" width="31.625" style="9" hidden="1" customWidth="1" outlineLevel="1"/>
    <col min="3" max="3" width="5.5" style="8" bestFit="1" customWidth="1" collapsed="1"/>
    <col min="4" max="4" width="6.5" style="7" bestFit="1" customWidth="1"/>
    <col min="5" max="5" width="22.75" style="7" bestFit="1" customWidth="1"/>
    <col min="6" max="6" width="10.5" style="7" hidden="1" customWidth="1" outlineLevel="1"/>
    <col min="7" max="7" width="64.875" style="7" bestFit="1" customWidth="1" collapsed="1"/>
    <col min="8" max="8" width="36.875" style="7" hidden="1" customWidth="1" outlineLevel="1"/>
    <col min="9" max="9" width="15" style="7" bestFit="1" customWidth="1" collapsed="1"/>
    <col min="10" max="10" width="9.5" style="12" bestFit="1" customWidth="1"/>
    <col min="11" max="11" width="5.5" style="13" bestFit="1" customWidth="1"/>
    <col min="12" max="12" width="9.5" style="13" bestFit="1" customWidth="1"/>
    <col min="13" max="13" width="7.5" style="7" bestFit="1" customWidth="1"/>
    <col min="14" max="14" width="11.625" style="7" bestFit="1" customWidth="1"/>
    <col min="15" max="15" width="13.875" style="7" bestFit="1" customWidth="1"/>
    <col min="16" max="16" width="9.5" style="7" bestFit="1" customWidth="1"/>
    <col min="17" max="17" width="11.625" style="7" bestFit="1" customWidth="1"/>
    <col min="18" max="18" width="7.5" style="7" bestFit="1" customWidth="1"/>
    <col min="19" max="16384" width="94.25" style="7"/>
  </cols>
  <sheetData>
    <row r="1" spans="1:18" x14ac:dyDescent="0.4">
      <c r="A1" s="142" t="s">
        <v>0</v>
      </c>
      <c r="B1" s="173" t="s">
        <v>1</v>
      </c>
      <c r="C1" s="173" t="s">
        <v>20</v>
      </c>
      <c r="D1" s="173" t="s">
        <v>9</v>
      </c>
      <c r="E1" s="173" t="s">
        <v>10</v>
      </c>
      <c r="F1" s="173" t="s">
        <v>11</v>
      </c>
      <c r="G1" s="173" t="s">
        <v>12</v>
      </c>
      <c r="H1" s="174" t="s">
        <v>2</v>
      </c>
      <c r="I1" s="175" t="s">
        <v>3</v>
      </c>
      <c r="J1" s="176" t="s">
        <v>13</v>
      </c>
      <c r="K1" s="178" t="s">
        <v>14</v>
      </c>
      <c r="L1" s="178"/>
      <c r="M1" s="173" t="s">
        <v>15</v>
      </c>
      <c r="N1" s="142" t="s">
        <v>16</v>
      </c>
      <c r="O1" s="173" t="s">
        <v>17</v>
      </c>
      <c r="P1" s="142" t="s">
        <v>462</v>
      </c>
      <c r="Q1" s="173" t="s">
        <v>463</v>
      </c>
      <c r="R1" s="142" t="s">
        <v>465</v>
      </c>
    </row>
    <row r="2" spans="1:18" s="8" customFormat="1" ht="27" x14ac:dyDescent="0.4">
      <c r="A2" s="142"/>
      <c r="B2" s="173"/>
      <c r="C2" s="173"/>
      <c r="D2" s="173"/>
      <c r="E2" s="173"/>
      <c r="F2" s="173"/>
      <c r="G2" s="173"/>
      <c r="H2" s="173"/>
      <c r="I2" s="173"/>
      <c r="J2" s="177"/>
      <c r="K2" s="10" t="s">
        <v>18</v>
      </c>
      <c r="L2" s="10" t="s">
        <v>19</v>
      </c>
      <c r="M2" s="142"/>
      <c r="N2" s="142"/>
      <c r="O2" s="142"/>
      <c r="P2" s="142"/>
      <c r="Q2" s="142"/>
      <c r="R2" s="142"/>
    </row>
    <row r="3" spans="1:18" hidden="1" x14ac:dyDescent="0.15">
      <c r="A3" s="18">
        <f t="shared" ref="A3:A11" si="0">ROW() -2</f>
        <v>1</v>
      </c>
      <c r="B3" s="5" t="s">
        <v>37</v>
      </c>
      <c r="C3" s="18" t="s">
        <v>21</v>
      </c>
      <c r="D3" s="2" t="s">
        <v>4</v>
      </c>
      <c r="E3" s="3" t="s">
        <v>8</v>
      </c>
      <c r="F3" s="3"/>
      <c r="G3" s="3" t="s">
        <v>7</v>
      </c>
      <c r="H3" s="19" t="s">
        <v>322</v>
      </c>
      <c r="I3" s="20" t="s">
        <v>323</v>
      </c>
      <c r="J3" s="6">
        <v>500</v>
      </c>
      <c r="K3" s="6">
        <v>450</v>
      </c>
      <c r="L3" s="11">
        <v>400</v>
      </c>
      <c r="M3" s="4"/>
      <c r="N3" s="4"/>
      <c r="O3" s="4"/>
      <c r="P3" s="4">
        <v>908001</v>
      </c>
      <c r="Q3" s="4">
        <v>908100</v>
      </c>
      <c r="R3" s="4">
        <v>0</v>
      </c>
    </row>
    <row r="4" spans="1:18" hidden="1" x14ac:dyDescent="0.15">
      <c r="A4" s="18">
        <f t="shared" si="0"/>
        <v>2</v>
      </c>
      <c r="B4" s="5" t="s">
        <v>37</v>
      </c>
      <c r="C4" s="18" t="s">
        <v>21</v>
      </c>
      <c r="D4" s="2" t="s">
        <v>5</v>
      </c>
      <c r="E4" s="3" t="s">
        <v>8</v>
      </c>
      <c r="F4" s="3"/>
      <c r="G4" s="3" t="s">
        <v>22</v>
      </c>
      <c r="H4" s="19" t="s">
        <v>218</v>
      </c>
      <c r="I4" s="20" t="s">
        <v>219</v>
      </c>
      <c r="J4" s="6">
        <v>500</v>
      </c>
      <c r="K4" s="6">
        <v>450</v>
      </c>
      <c r="L4" s="6">
        <v>450</v>
      </c>
      <c r="M4" s="4"/>
      <c r="N4" s="4"/>
      <c r="O4" s="4"/>
      <c r="P4" s="4">
        <v>908001</v>
      </c>
      <c r="Q4" s="4">
        <v>908101</v>
      </c>
      <c r="R4" s="4">
        <v>0</v>
      </c>
    </row>
    <row r="5" spans="1:18" hidden="1" x14ac:dyDescent="0.15">
      <c r="A5" s="18">
        <f t="shared" si="0"/>
        <v>3</v>
      </c>
      <c r="B5" s="5" t="s">
        <v>37</v>
      </c>
      <c r="C5" s="18" t="s">
        <v>21</v>
      </c>
      <c r="D5" s="2" t="s">
        <v>6</v>
      </c>
      <c r="E5" s="3" t="s">
        <v>8</v>
      </c>
      <c r="F5" s="3"/>
      <c r="G5" s="3" t="s">
        <v>23</v>
      </c>
      <c r="H5" s="19" t="s">
        <v>108</v>
      </c>
      <c r="I5" s="20" t="s">
        <v>109</v>
      </c>
      <c r="J5" s="6">
        <v>500</v>
      </c>
      <c r="K5" s="6">
        <v>400</v>
      </c>
      <c r="L5" s="6">
        <v>450</v>
      </c>
      <c r="M5" s="4"/>
      <c r="N5" s="4"/>
      <c r="O5" s="4"/>
      <c r="P5" s="4">
        <v>908001</v>
      </c>
      <c r="Q5" s="4">
        <v>908101</v>
      </c>
      <c r="R5" s="4">
        <v>0</v>
      </c>
    </row>
    <row r="6" spans="1:18" hidden="1" x14ac:dyDescent="0.15">
      <c r="A6" s="18">
        <f t="shared" si="0"/>
        <v>4</v>
      </c>
      <c r="B6" s="5" t="s">
        <v>37</v>
      </c>
      <c r="C6" s="18" t="s">
        <v>21</v>
      </c>
      <c r="D6" s="2" t="s">
        <v>6</v>
      </c>
      <c r="E6" s="3" t="s">
        <v>8</v>
      </c>
      <c r="F6" s="3"/>
      <c r="G6" s="3" t="s">
        <v>24</v>
      </c>
      <c r="H6" s="19" t="s">
        <v>314</v>
      </c>
      <c r="I6" s="20" t="s">
        <v>315</v>
      </c>
      <c r="J6" s="6">
        <v>500</v>
      </c>
      <c r="K6" s="6">
        <v>450</v>
      </c>
      <c r="L6" s="6">
        <v>500</v>
      </c>
      <c r="M6" s="4"/>
      <c r="N6" s="4"/>
      <c r="O6" s="4"/>
      <c r="P6" s="4">
        <v>908001</v>
      </c>
      <c r="Q6" s="4">
        <v>908102</v>
      </c>
      <c r="R6" s="4">
        <v>0</v>
      </c>
    </row>
    <row r="7" spans="1:18" hidden="1" x14ac:dyDescent="0.15">
      <c r="A7" s="18">
        <f t="shared" si="0"/>
        <v>5</v>
      </c>
      <c r="B7" s="5" t="s">
        <v>37</v>
      </c>
      <c r="C7" s="18" t="s">
        <v>21</v>
      </c>
      <c r="D7" s="2" t="s">
        <v>6</v>
      </c>
      <c r="E7" s="3" t="s">
        <v>8</v>
      </c>
      <c r="F7" s="3"/>
      <c r="G7" s="3" t="s">
        <v>25</v>
      </c>
      <c r="H7" s="19" t="s">
        <v>242</v>
      </c>
      <c r="I7" s="20" t="s">
        <v>243</v>
      </c>
      <c r="J7" s="6">
        <v>500</v>
      </c>
      <c r="K7" s="6">
        <v>450</v>
      </c>
      <c r="L7" s="6">
        <v>550</v>
      </c>
      <c r="M7" s="4"/>
      <c r="N7" s="4"/>
      <c r="O7" s="4"/>
      <c r="P7" s="4">
        <v>908001</v>
      </c>
      <c r="Q7" s="4">
        <v>908103</v>
      </c>
      <c r="R7" s="4">
        <v>0</v>
      </c>
    </row>
    <row r="8" spans="1:18" hidden="1" x14ac:dyDescent="0.15">
      <c r="A8" s="18">
        <f t="shared" si="0"/>
        <v>6</v>
      </c>
      <c r="B8" s="5" t="s">
        <v>37</v>
      </c>
      <c r="C8" s="18" t="s">
        <v>26</v>
      </c>
      <c r="D8" s="2" t="s">
        <v>4</v>
      </c>
      <c r="E8" s="3" t="s">
        <v>8</v>
      </c>
      <c r="F8" s="3"/>
      <c r="G8" s="3" t="s">
        <v>27</v>
      </c>
      <c r="H8" s="19" t="s">
        <v>292</v>
      </c>
      <c r="I8" s="20" t="s">
        <v>293</v>
      </c>
      <c r="J8" s="6">
        <v>500</v>
      </c>
      <c r="K8" s="6">
        <v>500</v>
      </c>
      <c r="L8" s="11">
        <v>450</v>
      </c>
      <c r="M8" s="4"/>
      <c r="N8" s="4"/>
      <c r="O8" s="4"/>
      <c r="P8" s="4">
        <v>908001</v>
      </c>
      <c r="Q8" s="4">
        <v>908101</v>
      </c>
      <c r="R8" s="4">
        <v>0</v>
      </c>
    </row>
    <row r="9" spans="1:18" hidden="1" x14ac:dyDescent="0.15">
      <c r="A9" s="18">
        <f t="shared" si="0"/>
        <v>7</v>
      </c>
      <c r="B9" s="5" t="s">
        <v>37</v>
      </c>
      <c r="C9" s="18" t="s">
        <v>26</v>
      </c>
      <c r="D9" s="18" t="s">
        <v>26</v>
      </c>
      <c r="E9" s="3" t="s">
        <v>8</v>
      </c>
      <c r="F9" s="3"/>
      <c r="G9" s="3" t="s">
        <v>28</v>
      </c>
      <c r="H9" s="19" t="s">
        <v>386</v>
      </c>
      <c r="I9" s="20" t="s">
        <v>387</v>
      </c>
      <c r="J9" s="6">
        <v>500</v>
      </c>
      <c r="K9" s="6">
        <v>500</v>
      </c>
      <c r="L9" s="6">
        <v>500</v>
      </c>
      <c r="M9" s="4"/>
      <c r="N9" s="4"/>
      <c r="O9" s="4"/>
      <c r="P9" s="4">
        <v>908001</v>
      </c>
      <c r="Q9" s="4">
        <v>908102</v>
      </c>
      <c r="R9" s="4">
        <v>0</v>
      </c>
    </row>
    <row r="10" spans="1:18" hidden="1" x14ac:dyDescent="0.15">
      <c r="A10" s="18">
        <f t="shared" si="0"/>
        <v>8</v>
      </c>
      <c r="B10" s="5" t="s">
        <v>37</v>
      </c>
      <c r="C10" s="18" t="s">
        <v>26</v>
      </c>
      <c r="D10" s="2" t="s">
        <v>6</v>
      </c>
      <c r="E10" s="3" t="s">
        <v>8</v>
      </c>
      <c r="F10" s="3"/>
      <c r="G10" s="3" t="s">
        <v>29</v>
      </c>
      <c r="H10" s="19" t="s">
        <v>406</v>
      </c>
      <c r="I10" s="20" t="s">
        <v>407</v>
      </c>
      <c r="J10" s="6">
        <v>500</v>
      </c>
      <c r="K10" s="6">
        <v>500</v>
      </c>
      <c r="L10" s="11">
        <v>550</v>
      </c>
      <c r="M10" s="4"/>
      <c r="N10" s="4"/>
      <c r="O10" s="4"/>
      <c r="P10" s="4">
        <v>908001</v>
      </c>
      <c r="Q10" s="4">
        <v>908103</v>
      </c>
      <c r="R10" s="4">
        <v>0</v>
      </c>
    </row>
    <row r="11" spans="1:18" hidden="1" x14ac:dyDescent="0.15">
      <c r="A11" s="18">
        <f t="shared" si="0"/>
        <v>9</v>
      </c>
      <c r="B11" s="5" t="s">
        <v>37</v>
      </c>
      <c r="C11" s="2" t="s">
        <v>6</v>
      </c>
      <c r="D11" s="2" t="s">
        <v>4</v>
      </c>
      <c r="E11" s="3" t="s">
        <v>8</v>
      </c>
      <c r="F11" s="3"/>
      <c r="G11" s="3" t="s">
        <v>31</v>
      </c>
      <c r="H11" s="19" t="s">
        <v>222</v>
      </c>
      <c r="I11" s="20" t="s">
        <v>223</v>
      </c>
      <c r="J11" s="6">
        <v>500</v>
      </c>
      <c r="K11" s="6">
        <v>500</v>
      </c>
      <c r="L11" s="11">
        <v>450</v>
      </c>
      <c r="M11" s="4"/>
      <c r="N11" s="4"/>
      <c r="O11" s="4"/>
      <c r="P11" s="4">
        <v>908001</v>
      </c>
      <c r="Q11" s="4">
        <v>908101</v>
      </c>
      <c r="R11" s="4">
        <v>0</v>
      </c>
    </row>
    <row r="12" spans="1:18" s="8" customFormat="1" hidden="1" x14ac:dyDescent="0.15">
      <c r="A12" s="18">
        <f>ROW() -2</f>
        <v>10</v>
      </c>
      <c r="B12" s="5" t="s">
        <v>37</v>
      </c>
      <c r="C12" s="2" t="s">
        <v>6</v>
      </c>
      <c r="D12" s="2" t="s">
        <v>4</v>
      </c>
      <c r="E12" s="3" t="s">
        <v>8</v>
      </c>
      <c r="F12" s="16"/>
      <c r="G12" s="3" t="s">
        <v>30</v>
      </c>
      <c r="H12" s="19" t="s">
        <v>110</v>
      </c>
      <c r="I12" s="20" t="s">
        <v>111</v>
      </c>
      <c r="J12" s="6">
        <v>500</v>
      </c>
      <c r="K12" s="17">
        <v>550</v>
      </c>
      <c r="L12" s="10">
        <v>500</v>
      </c>
      <c r="M12" s="1"/>
      <c r="N12" s="18"/>
      <c r="O12" s="18"/>
      <c r="P12" s="4">
        <v>908001</v>
      </c>
      <c r="Q12" s="4">
        <v>908102</v>
      </c>
      <c r="R12" s="4">
        <v>0</v>
      </c>
    </row>
    <row r="13" spans="1:18" s="8" customFormat="1" hidden="1" x14ac:dyDescent="0.15">
      <c r="A13" s="18">
        <f>ROW() -2</f>
        <v>11</v>
      </c>
      <c r="B13" s="5" t="s">
        <v>37</v>
      </c>
      <c r="C13" s="2" t="s">
        <v>6</v>
      </c>
      <c r="D13" s="2" t="s">
        <v>4</v>
      </c>
      <c r="E13" s="3" t="s">
        <v>8</v>
      </c>
      <c r="F13" s="16"/>
      <c r="G13" s="3" t="s">
        <v>32</v>
      </c>
      <c r="H13" s="19" t="s">
        <v>130</v>
      </c>
      <c r="I13" s="20" t="s">
        <v>131</v>
      </c>
      <c r="J13" s="6">
        <v>500</v>
      </c>
      <c r="K13" s="17">
        <v>600</v>
      </c>
      <c r="L13" s="10">
        <v>550</v>
      </c>
      <c r="M13" s="1"/>
      <c r="N13" s="18"/>
      <c r="O13" s="18"/>
      <c r="P13" s="4">
        <v>908001</v>
      </c>
      <c r="Q13" s="4">
        <v>908103</v>
      </c>
      <c r="R13" s="4">
        <v>0</v>
      </c>
    </row>
    <row r="14" spans="1:18" s="8" customFormat="1" hidden="1" x14ac:dyDescent="0.15">
      <c r="A14" s="18">
        <f>ROW() -2</f>
        <v>12</v>
      </c>
      <c r="B14" s="5" t="s">
        <v>37</v>
      </c>
      <c r="C14" s="2" t="s">
        <v>6</v>
      </c>
      <c r="D14" s="18" t="s">
        <v>26</v>
      </c>
      <c r="E14" s="3" t="s">
        <v>8</v>
      </c>
      <c r="F14" s="16"/>
      <c r="G14" s="3" t="s">
        <v>33</v>
      </c>
      <c r="H14" s="19" t="s">
        <v>192</v>
      </c>
      <c r="I14" s="20" t="s">
        <v>193</v>
      </c>
      <c r="J14" s="6">
        <v>500</v>
      </c>
      <c r="K14" s="17">
        <v>550</v>
      </c>
      <c r="L14" s="10">
        <v>550</v>
      </c>
      <c r="M14" s="1"/>
      <c r="N14" s="18"/>
      <c r="O14" s="18"/>
      <c r="P14" s="4">
        <v>908001</v>
      </c>
      <c r="Q14" s="4">
        <v>908103</v>
      </c>
      <c r="R14" s="4">
        <v>0</v>
      </c>
    </row>
    <row r="15" spans="1:18" s="8" customFormat="1" x14ac:dyDescent="0.15">
      <c r="A15" s="18">
        <f>ROW() -2</f>
        <v>13</v>
      </c>
      <c r="B15" s="5" t="s">
        <v>37</v>
      </c>
      <c r="C15" s="2" t="s">
        <v>6</v>
      </c>
      <c r="D15" s="2" t="s">
        <v>6</v>
      </c>
      <c r="E15" s="3" t="s">
        <v>8</v>
      </c>
      <c r="F15" s="16"/>
      <c r="G15" s="3" t="s">
        <v>34</v>
      </c>
      <c r="H15" s="19" t="s">
        <v>190</v>
      </c>
      <c r="I15" s="20" t="s">
        <v>191</v>
      </c>
      <c r="J15" s="6">
        <v>500</v>
      </c>
      <c r="K15" s="17">
        <v>600</v>
      </c>
      <c r="L15" s="10">
        <v>600</v>
      </c>
      <c r="M15" s="1"/>
      <c r="N15" s="18"/>
      <c r="O15" s="18"/>
      <c r="P15" s="4">
        <v>908001</v>
      </c>
      <c r="Q15" s="4">
        <v>908104</v>
      </c>
      <c r="R15" s="4">
        <v>0</v>
      </c>
    </row>
    <row r="16" spans="1:18" hidden="1" x14ac:dyDescent="0.15">
      <c r="A16" s="18">
        <f t="shared" ref="A16:A34" si="1">ROW() -2</f>
        <v>14</v>
      </c>
      <c r="B16" s="5" t="s">
        <v>35</v>
      </c>
      <c r="C16" s="18" t="s">
        <v>21</v>
      </c>
      <c r="D16" s="2" t="s">
        <v>4</v>
      </c>
      <c r="E16" s="3" t="s">
        <v>8</v>
      </c>
      <c r="F16" s="3"/>
      <c r="G16" s="3" t="s">
        <v>7</v>
      </c>
      <c r="H16" s="19" t="s">
        <v>196</v>
      </c>
      <c r="I16" s="20" t="s">
        <v>197</v>
      </c>
      <c r="J16" s="6">
        <v>500</v>
      </c>
      <c r="K16" s="6">
        <v>10</v>
      </c>
      <c r="L16" s="11">
        <v>400</v>
      </c>
      <c r="M16" s="4"/>
      <c r="N16" s="4"/>
      <c r="O16" s="4"/>
      <c r="P16" s="4">
        <v>908001</v>
      </c>
      <c r="Q16" s="4">
        <v>908100</v>
      </c>
      <c r="R16" s="4">
        <v>0</v>
      </c>
    </row>
    <row r="17" spans="1:18" hidden="1" x14ac:dyDescent="0.15">
      <c r="A17" s="18">
        <f t="shared" si="1"/>
        <v>15</v>
      </c>
      <c r="B17" s="5" t="s">
        <v>35</v>
      </c>
      <c r="C17" s="18" t="s">
        <v>21</v>
      </c>
      <c r="D17" s="2" t="s">
        <v>5</v>
      </c>
      <c r="E17" s="3" t="s">
        <v>8</v>
      </c>
      <c r="F17" s="3"/>
      <c r="G17" s="3" t="s">
        <v>22</v>
      </c>
      <c r="H17" s="19" t="s">
        <v>198</v>
      </c>
      <c r="I17" s="20" t="s">
        <v>199</v>
      </c>
      <c r="J17" s="6">
        <v>500</v>
      </c>
      <c r="K17" s="6">
        <v>10</v>
      </c>
      <c r="L17" s="6">
        <v>450</v>
      </c>
      <c r="M17" s="4"/>
      <c r="N17" s="4"/>
      <c r="O17" s="4"/>
      <c r="P17" s="4">
        <v>908001</v>
      </c>
      <c r="Q17" s="4">
        <v>908101</v>
      </c>
      <c r="R17" s="4">
        <v>0</v>
      </c>
    </row>
    <row r="18" spans="1:18" hidden="1" x14ac:dyDescent="0.15">
      <c r="A18" s="18">
        <f t="shared" si="1"/>
        <v>16</v>
      </c>
      <c r="B18" s="5" t="s">
        <v>35</v>
      </c>
      <c r="C18" s="18" t="s">
        <v>21</v>
      </c>
      <c r="D18" s="2" t="s">
        <v>6</v>
      </c>
      <c r="E18" s="3" t="s">
        <v>8</v>
      </c>
      <c r="F18" s="3"/>
      <c r="G18" s="3" t="s">
        <v>23</v>
      </c>
      <c r="H18" s="19" t="s">
        <v>184</v>
      </c>
      <c r="I18" s="20" t="s">
        <v>185</v>
      </c>
      <c r="J18" s="6">
        <v>500</v>
      </c>
      <c r="K18" s="6">
        <v>10</v>
      </c>
      <c r="L18" s="6">
        <v>450</v>
      </c>
      <c r="M18" s="4"/>
      <c r="N18" s="4"/>
      <c r="O18" s="4"/>
      <c r="P18" s="4">
        <v>908001</v>
      </c>
      <c r="Q18" s="4">
        <v>908101</v>
      </c>
      <c r="R18" s="4">
        <v>0</v>
      </c>
    </row>
    <row r="19" spans="1:18" hidden="1" x14ac:dyDescent="0.15">
      <c r="A19" s="18">
        <f t="shared" si="1"/>
        <v>17</v>
      </c>
      <c r="B19" s="5" t="s">
        <v>35</v>
      </c>
      <c r="C19" s="18" t="s">
        <v>21</v>
      </c>
      <c r="D19" s="2" t="s">
        <v>6</v>
      </c>
      <c r="E19" s="3" t="s">
        <v>8</v>
      </c>
      <c r="F19" s="3"/>
      <c r="G19" s="3" t="s">
        <v>24</v>
      </c>
      <c r="H19" s="19" t="s">
        <v>194</v>
      </c>
      <c r="I19" s="20" t="s">
        <v>195</v>
      </c>
      <c r="J19" s="6">
        <v>500</v>
      </c>
      <c r="K19" s="6">
        <v>10</v>
      </c>
      <c r="L19" s="6">
        <v>500</v>
      </c>
      <c r="M19" s="4"/>
      <c r="N19" s="4"/>
      <c r="O19" s="4"/>
      <c r="P19" s="4">
        <v>908001</v>
      </c>
      <c r="Q19" s="4">
        <v>908102</v>
      </c>
      <c r="R19" s="4">
        <v>0</v>
      </c>
    </row>
    <row r="20" spans="1:18" hidden="1" x14ac:dyDescent="0.15">
      <c r="A20" s="18">
        <f t="shared" si="1"/>
        <v>18</v>
      </c>
      <c r="B20" s="5" t="s">
        <v>35</v>
      </c>
      <c r="C20" s="18" t="s">
        <v>21</v>
      </c>
      <c r="D20" s="2" t="s">
        <v>6</v>
      </c>
      <c r="E20" s="3" t="s">
        <v>8</v>
      </c>
      <c r="F20" s="3"/>
      <c r="G20" s="3" t="s">
        <v>25</v>
      </c>
      <c r="H20" s="19" t="s">
        <v>114</v>
      </c>
      <c r="I20" s="20" t="s">
        <v>115</v>
      </c>
      <c r="J20" s="6">
        <v>500</v>
      </c>
      <c r="K20" s="6">
        <v>10</v>
      </c>
      <c r="L20" s="6">
        <v>550</v>
      </c>
      <c r="M20" s="4"/>
      <c r="N20" s="4"/>
      <c r="O20" s="4"/>
      <c r="P20" s="4">
        <v>908001</v>
      </c>
      <c r="Q20" s="4">
        <v>908103</v>
      </c>
      <c r="R20" s="4">
        <v>0</v>
      </c>
    </row>
    <row r="21" spans="1:18" hidden="1" x14ac:dyDescent="0.15">
      <c r="A21" s="18">
        <f t="shared" si="1"/>
        <v>19</v>
      </c>
      <c r="B21" s="5" t="s">
        <v>36</v>
      </c>
      <c r="C21" s="18" t="s">
        <v>21</v>
      </c>
      <c r="D21" s="2" t="s">
        <v>4</v>
      </c>
      <c r="E21" s="3" t="s">
        <v>8</v>
      </c>
      <c r="F21" s="3"/>
      <c r="G21" s="3" t="s">
        <v>7</v>
      </c>
      <c r="H21" s="19" t="s">
        <v>174</v>
      </c>
      <c r="I21" s="20" t="s">
        <v>175</v>
      </c>
      <c r="J21" s="6">
        <v>500</v>
      </c>
      <c r="K21" s="6">
        <v>50</v>
      </c>
      <c r="L21" s="11">
        <v>400</v>
      </c>
      <c r="M21" s="4"/>
      <c r="N21" s="4"/>
      <c r="O21" s="4"/>
      <c r="P21" s="4">
        <v>908001</v>
      </c>
      <c r="Q21" s="4">
        <v>908100</v>
      </c>
      <c r="R21" s="4">
        <v>0</v>
      </c>
    </row>
    <row r="22" spans="1:18" hidden="1" x14ac:dyDescent="0.15">
      <c r="A22" s="18">
        <f t="shared" si="1"/>
        <v>20</v>
      </c>
      <c r="B22" s="5" t="s">
        <v>36</v>
      </c>
      <c r="C22" s="18" t="s">
        <v>21</v>
      </c>
      <c r="D22" s="2" t="s">
        <v>5</v>
      </c>
      <c r="E22" s="3" t="s">
        <v>8</v>
      </c>
      <c r="F22" s="3"/>
      <c r="G22" s="3" t="s">
        <v>22</v>
      </c>
      <c r="H22" s="19" t="s">
        <v>220</v>
      </c>
      <c r="I22" s="20" t="s">
        <v>221</v>
      </c>
      <c r="J22" s="6">
        <v>500</v>
      </c>
      <c r="K22" s="6">
        <v>50</v>
      </c>
      <c r="L22" s="6">
        <v>450</v>
      </c>
      <c r="M22" s="4"/>
      <c r="N22" s="4"/>
      <c r="O22" s="4"/>
      <c r="P22" s="4">
        <v>908001</v>
      </c>
      <c r="Q22" s="4">
        <v>908101</v>
      </c>
      <c r="R22" s="4">
        <v>0</v>
      </c>
    </row>
    <row r="23" spans="1:18" hidden="1" x14ac:dyDescent="0.15">
      <c r="A23" s="18">
        <f t="shared" si="1"/>
        <v>21</v>
      </c>
      <c r="B23" s="5" t="s">
        <v>36</v>
      </c>
      <c r="C23" s="18" t="s">
        <v>21</v>
      </c>
      <c r="D23" s="2" t="s">
        <v>6</v>
      </c>
      <c r="E23" s="3" t="s">
        <v>8</v>
      </c>
      <c r="F23" s="3"/>
      <c r="G23" s="3" t="s">
        <v>23</v>
      </c>
      <c r="H23" s="19" t="s">
        <v>180</v>
      </c>
      <c r="I23" s="20" t="s">
        <v>181</v>
      </c>
      <c r="J23" s="6">
        <v>500</v>
      </c>
      <c r="K23" s="6">
        <v>50</v>
      </c>
      <c r="L23" s="6">
        <v>450</v>
      </c>
      <c r="M23" s="4"/>
      <c r="N23" s="4"/>
      <c r="O23" s="4"/>
      <c r="P23" s="4">
        <v>908001</v>
      </c>
      <c r="Q23" s="4">
        <v>908101</v>
      </c>
      <c r="R23" s="4">
        <v>0</v>
      </c>
    </row>
    <row r="24" spans="1:18" hidden="1" x14ac:dyDescent="0.15">
      <c r="A24" s="18">
        <f t="shared" si="1"/>
        <v>22</v>
      </c>
      <c r="B24" s="5" t="s">
        <v>36</v>
      </c>
      <c r="C24" s="18" t="s">
        <v>21</v>
      </c>
      <c r="D24" s="2" t="s">
        <v>6</v>
      </c>
      <c r="E24" s="3" t="s">
        <v>8</v>
      </c>
      <c r="F24" s="3"/>
      <c r="G24" s="3" t="s">
        <v>24</v>
      </c>
      <c r="H24" s="19" t="s">
        <v>182</v>
      </c>
      <c r="I24" s="20" t="s">
        <v>183</v>
      </c>
      <c r="J24" s="6">
        <v>500</v>
      </c>
      <c r="K24" s="6">
        <v>50</v>
      </c>
      <c r="L24" s="6">
        <v>500</v>
      </c>
      <c r="M24" s="4"/>
      <c r="N24" s="4"/>
      <c r="O24" s="4"/>
      <c r="P24" s="4">
        <v>908001</v>
      </c>
      <c r="Q24" s="4">
        <v>908102</v>
      </c>
      <c r="R24" s="4">
        <v>0</v>
      </c>
    </row>
    <row r="25" spans="1:18" hidden="1" x14ac:dyDescent="0.15">
      <c r="A25" s="18">
        <f t="shared" si="1"/>
        <v>23</v>
      </c>
      <c r="B25" s="5" t="s">
        <v>36</v>
      </c>
      <c r="C25" s="18" t="s">
        <v>21</v>
      </c>
      <c r="D25" s="2" t="s">
        <v>6</v>
      </c>
      <c r="E25" s="3" t="s">
        <v>8</v>
      </c>
      <c r="F25" s="3"/>
      <c r="G25" s="3" t="s">
        <v>25</v>
      </c>
      <c r="H25" s="19" t="s">
        <v>172</v>
      </c>
      <c r="I25" s="20" t="s">
        <v>173</v>
      </c>
      <c r="J25" s="6">
        <v>500</v>
      </c>
      <c r="K25" s="6">
        <v>50</v>
      </c>
      <c r="L25" s="6">
        <v>550</v>
      </c>
      <c r="M25" s="4"/>
      <c r="N25" s="4"/>
      <c r="O25" s="4"/>
      <c r="P25" s="4">
        <v>908001</v>
      </c>
      <c r="Q25" s="4">
        <v>908103</v>
      </c>
      <c r="R25" s="4">
        <v>0</v>
      </c>
    </row>
    <row r="26" spans="1:18" hidden="1" x14ac:dyDescent="0.15">
      <c r="A26" s="18">
        <f t="shared" si="1"/>
        <v>24</v>
      </c>
      <c r="B26" s="5" t="s">
        <v>38</v>
      </c>
      <c r="C26" s="18" t="s">
        <v>21</v>
      </c>
      <c r="D26" s="2" t="s">
        <v>4</v>
      </c>
      <c r="E26" s="3" t="s">
        <v>8</v>
      </c>
      <c r="F26" s="3"/>
      <c r="G26" s="3" t="s">
        <v>7</v>
      </c>
      <c r="H26" s="19" t="s">
        <v>200</v>
      </c>
      <c r="I26" s="20" t="s">
        <v>201</v>
      </c>
      <c r="J26" s="6">
        <v>500</v>
      </c>
      <c r="K26" s="6">
        <v>450</v>
      </c>
      <c r="L26" s="11">
        <v>400</v>
      </c>
      <c r="M26" s="4"/>
      <c r="N26" s="4"/>
      <c r="O26" s="4"/>
      <c r="P26" s="4">
        <v>908002</v>
      </c>
      <c r="Q26" s="4">
        <v>908100</v>
      </c>
      <c r="R26" s="4">
        <v>0</v>
      </c>
    </row>
    <row r="27" spans="1:18" hidden="1" x14ac:dyDescent="0.15">
      <c r="A27" s="18">
        <f t="shared" si="1"/>
        <v>25</v>
      </c>
      <c r="B27" s="5" t="s">
        <v>38</v>
      </c>
      <c r="C27" s="18" t="s">
        <v>21</v>
      </c>
      <c r="D27" s="2" t="s">
        <v>5</v>
      </c>
      <c r="E27" s="3" t="s">
        <v>8</v>
      </c>
      <c r="F27" s="3"/>
      <c r="G27" s="3" t="s">
        <v>22</v>
      </c>
      <c r="H27" s="19" t="s">
        <v>370</v>
      </c>
      <c r="I27" s="20" t="s">
        <v>371</v>
      </c>
      <c r="J27" s="6">
        <v>500</v>
      </c>
      <c r="K27" s="6">
        <v>450</v>
      </c>
      <c r="L27" s="6">
        <v>450</v>
      </c>
      <c r="M27" s="4"/>
      <c r="N27" s="4"/>
      <c r="O27" s="4"/>
      <c r="P27" s="4">
        <v>908002</v>
      </c>
      <c r="Q27" s="4">
        <v>908101</v>
      </c>
      <c r="R27" s="4">
        <v>0</v>
      </c>
    </row>
    <row r="28" spans="1:18" hidden="1" x14ac:dyDescent="0.15">
      <c r="A28" s="18">
        <f t="shared" si="1"/>
        <v>26</v>
      </c>
      <c r="B28" s="5" t="s">
        <v>38</v>
      </c>
      <c r="C28" s="18" t="s">
        <v>21</v>
      </c>
      <c r="D28" s="2" t="s">
        <v>6</v>
      </c>
      <c r="E28" s="3" t="s">
        <v>8</v>
      </c>
      <c r="F28" s="3"/>
      <c r="G28" s="3" t="s">
        <v>23</v>
      </c>
      <c r="H28" s="19" t="s">
        <v>460</v>
      </c>
      <c r="I28" s="20" t="s">
        <v>461</v>
      </c>
      <c r="J28" s="6">
        <v>500</v>
      </c>
      <c r="K28" s="6">
        <v>400</v>
      </c>
      <c r="L28" s="6">
        <v>450</v>
      </c>
      <c r="M28" s="4"/>
      <c r="N28" s="4"/>
      <c r="O28" s="4"/>
      <c r="P28" s="4">
        <v>908002</v>
      </c>
      <c r="Q28" s="4">
        <v>908101</v>
      </c>
      <c r="R28" s="4">
        <v>0</v>
      </c>
    </row>
    <row r="29" spans="1:18" hidden="1" x14ac:dyDescent="0.15">
      <c r="A29" s="18">
        <f t="shared" si="1"/>
        <v>27</v>
      </c>
      <c r="B29" s="5" t="s">
        <v>38</v>
      </c>
      <c r="C29" s="18" t="s">
        <v>21</v>
      </c>
      <c r="D29" s="2" t="s">
        <v>6</v>
      </c>
      <c r="E29" s="3" t="s">
        <v>8</v>
      </c>
      <c r="F29" s="3"/>
      <c r="G29" s="3" t="s">
        <v>24</v>
      </c>
      <c r="H29" s="19" t="s">
        <v>324</v>
      </c>
      <c r="I29" s="20" t="s">
        <v>325</v>
      </c>
      <c r="J29" s="6">
        <v>500</v>
      </c>
      <c r="K29" s="6">
        <v>450</v>
      </c>
      <c r="L29" s="6">
        <v>500</v>
      </c>
      <c r="M29" s="4"/>
      <c r="N29" s="4"/>
      <c r="O29" s="4"/>
      <c r="P29" s="4">
        <v>908002</v>
      </c>
      <c r="Q29" s="4">
        <v>908102</v>
      </c>
      <c r="R29" s="4">
        <v>0</v>
      </c>
    </row>
    <row r="30" spans="1:18" hidden="1" x14ac:dyDescent="0.15">
      <c r="A30" s="18">
        <f t="shared" si="1"/>
        <v>28</v>
      </c>
      <c r="B30" s="5" t="s">
        <v>38</v>
      </c>
      <c r="C30" s="18" t="s">
        <v>21</v>
      </c>
      <c r="D30" s="2" t="s">
        <v>6</v>
      </c>
      <c r="E30" s="3" t="s">
        <v>8</v>
      </c>
      <c r="F30" s="3"/>
      <c r="G30" s="3" t="s">
        <v>25</v>
      </c>
      <c r="H30" s="19" t="s">
        <v>186</v>
      </c>
      <c r="I30" s="20" t="s">
        <v>187</v>
      </c>
      <c r="J30" s="6">
        <v>500</v>
      </c>
      <c r="K30" s="6">
        <v>450</v>
      </c>
      <c r="L30" s="6">
        <v>550</v>
      </c>
      <c r="M30" s="4"/>
      <c r="N30" s="4"/>
      <c r="O30" s="4"/>
      <c r="P30" s="4">
        <v>908002</v>
      </c>
      <c r="Q30" s="4">
        <v>908103</v>
      </c>
      <c r="R30" s="4">
        <v>0</v>
      </c>
    </row>
    <row r="31" spans="1:18" hidden="1" x14ac:dyDescent="0.15">
      <c r="A31" s="18">
        <f t="shared" si="1"/>
        <v>29</v>
      </c>
      <c r="B31" s="5" t="s">
        <v>38</v>
      </c>
      <c r="C31" s="18" t="s">
        <v>26</v>
      </c>
      <c r="D31" s="2" t="s">
        <v>4</v>
      </c>
      <c r="E31" s="3" t="s">
        <v>8</v>
      </c>
      <c r="F31" s="3"/>
      <c r="G31" s="3" t="s">
        <v>27</v>
      </c>
      <c r="H31" s="19" t="s">
        <v>188</v>
      </c>
      <c r="I31" s="20" t="s">
        <v>189</v>
      </c>
      <c r="J31" s="6">
        <v>500</v>
      </c>
      <c r="K31" s="6">
        <v>500</v>
      </c>
      <c r="L31" s="11">
        <v>450</v>
      </c>
      <c r="M31" s="4"/>
      <c r="N31" s="4"/>
      <c r="O31" s="4"/>
      <c r="P31" s="4">
        <v>908002</v>
      </c>
      <c r="Q31" s="4">
        <v>908101</v>
      </c>
      <c r="R31" s="4">
        <v>0</v>
      </c>
    </row>
    <row r="32" spans="1:18" hidden="1" x14ac:dyDescent="0.15">
      <c r="A32" s="18">
        <f t="shared" si="1"/>
        <v>30</v>
      </c>
      <c r="B32" s="5" t="s">
        <v>38</v>
      </c>
      <c r="C32" s="18" t="s">
        <v>26</v>
      </c>
      <c r="D32" s="18" t="s">
        <v>26</v>
      </c>
      <c r="E32" s="3" t="s">
        <v>8</v>
      </c>
      <c r="F32" s="3"/>
      <c r="G32" s="3" t="s">
        <v>28</v>
      </c>
      <c r="H32" s="19" t="s">
        <v>212</v>
      </c>
      <c r="I32" s="20" t="s">
        <v>213</v>
      </c>
      <c r="J32" s="6">
        <v>500</v>
      </c>
      <c r="K32" s="6">
        <v>500</v>
      </c>
      <c r="L32" s="6">
        <v>500</v>
      </c>
      <c r="M32" s="4"/>
      <c r="N32" s="4"/>
      <c r="O32" s="4"/>
      <c r="P32" s="4">
        <v>908002</v>
      </c>
      <c r="Q32" s="4">
        <v>908102</v>
      </c>
      <c r="R32" s="4">
        <v>0</v>
      </c>
    </row>
    <row r="33" spans="1:18" hidden="1" x14ac:dyDescent="0.15">
      <c r="A33" s="18">
        <f t="shared" si="1"/>
        <v>31</v>
      </c>
      <c r="B33" s="5" t="s">
        <v>38</v>
      </c>
      <c r="C33" s="18" t="s">
        <v>26</v>
      </c>
      <c r="D33" s="2" t="s">
        <v>6</v>
      </c>
      <c r="E33" s="3" t="s">
        <v>8</v>
      </c>
      <c r="F33" s="3"/>
      <c r="G33" s="3" t="s">
        <v>29</v>
      </c>
      <c r="H33" s="19" t="s">
        <v>258</v>
      </c>
      <c r="I33" s="20" t="s">
        <v>259</v>
      </c>
      <c r="J33" s="6">
        <v>500</v>
      </c>
      <c r="K33" s="6">
        <v>500</v>
      </c>
      <c r="L33" s="11">
        <v>550</v>
      </c>
      <c r="M33" s="4"/>
      <c r="N33" s="4"/>
      <c r="O33" s="4"/>
      <c r="P33" s="4">
        <v>908002</v>
      </c>
      <c r="Q33" s="4">
        <v>908103</v>
      </c>
      <c r="R33" s="4">
        <v>0</v>
      </c>
    </row>
    <row r="34" spans="1:18" hidden="1" x14ac:dyDescent="0.15">
      <c r="A34" s="18">
        <f t="shared" si="1"/>
        <v>32</v>
      </c>
      <c r="B34" s="5" t="s">
        <v>38</v>
      </c>
      <c r="C34" s="2" t="s">
        <v>6</v>
      </c>
      <c r="D34" s="2" t="s">
        <v>4</v>
      </c>
      <c r="E34" s="3" t="s">
        <v>8</v>
      </c>
      <c r="F34" s="3"/>
      <c r="G34" s="3" t="s">
        <v>31</v>
      </c>
      <c r="H34" s="19" t="s">
        <v>118</v>
      </c>
      <c r="I34" s="20" t="s">
        <v>119</v>
      </c>
      <c r="J34" s="6">
        <v>500</v>
      </c>
      <c r="K34" s="6">
        <v>500</v>
      </c>
      <c r="L34" s="11">
        <v>450</v>
      </c>
      <c r="M34" s="4"/>
      <c r="N34" s="4"/>
      <c r="O34" s="4"/>
      <c r="P34" s="4">
        <v>908002</v>
      </c>
      <c r="Q34" s="4">
        <v>908101</v>
      </c>
      <c r="R34" s="4">
        <v>0</v>
      </c>
    </row>
    <row r="35" spans="1:18" s="8" customFormat="1" hidden="1" x14ac:dyDescent="0.15">
      <c r="A35" s="18">
        <f>ROW() -2</f>
        <v>33</v>
      </c>
      <c r="B35" s="5" t="s">
        <v>38</v>
      </c>
      <c r="C35" s="2" t="s">
        <v>6</v>
      </c>
      <c r="D35" s="2" t="s">
        <v>4</v>
      </c>
      <c r="E35" s="3" t="s">
        <v>8</v>
      </c>
      <c r="F35" s="16"/>
      <c r="G35" s="3" t="s">
        <v>30</v>
      </c>
      <c r="H35" s="19" t="s">
        <v>122</v>
      </c>
      <c r="I35" s="20" t="s">
        <v>123</v>
      </c>
      <c r="J35" s="6">
        <v>500</v>
      </c>
      <c r="K35" s="17">
        <v>550</v>
      </c>
      <c r="L35" s="10">
        <v>500</v>
      </c>
      <c r="M35" s="1"/>
      <c r="N35" s="18"/>
      <c r="O35" s="18"/>
      <c r="P35" s="4">
        <v>908002</v>
      </c>
      <c r="Q35" s="4">
        <v>908102</v>
      </c>
      <c r="R35" s="4">
        <v>0</v>
      </c>
    </row>
    <row r="36" spans="1:18" s="8" customFormat="1" hidden="1" x14ac:dyDescent="0.15">
      <c r="A36" s="18">
        <f>ROW() -2</f>
        <v>34</v>
      </c>
      <c r="B36" s="5" t="s">
        <v>38</v>
      </c>
      <c r="C36" s="2" t="s">
        <v>6</v>
      </c>
      <c r="D36" s="2" t="s">
        <v>4</v>
      </c>
      <c r="E36" s="3" t="s">
        <v>8</v>
      </c>
      <c r="F36" s="16"/>
      <c r="G36" s="3" t="s">
        <v>32</v>
      </c>
      <c r="H36" s="19" t="s">
        <v>158</v>
      </c>
      <c r="I36" s="20" t="s">
        <v>159</v>
      </c>
      <c r="J36" s="6">
        <v>500</v>
      </c>
      <c r="K36" s="17">
        <v>600</v>
      </c>
      <c r="L36" s="10">
        <v>550</v>
      </c>
      <c r="M36" s="1"/>
      <c r="N36" s="18"/>
      <c r="O36" s="18"/>
      <c r="P36" s="4">
        <v>908002</v>
      </c>
      <c r="Q36" s="4">
        <v>908103</v>
      </c>
      <c r="R36" s="4">
        <v>0</v>
      </c>
    </row>
    <row r="37" spans="1:18" s="8" customFormat="1" hidden="1" x14ac:dyDescent="0.15">
      <c r="A37" s="18">
        <f>ROW() -2</f>
        <v>35</v>
      </c>
      <c r="B37" s="5" t="s">
        <v>38</v>
      </c>
      <c r="C37" s="2" t="s">
        <v>6</v>
      </c>
      <c r="D37" s="18" t="s">
        <v>26</v>
      </c>
      <c r="E37" s="3" t="s">
        <v>8</v>
      </c>
      <c r="F37" s="16"/>
      <c r="G37" s="3" t="s">
        <v>33</v>
      </c>
      <c r="H37" s="19" t="s">
        <v>162</v>
      </c>
      <c r="I37" s="20" t="s">
        <v>163</v>
      </c>
      <c r="J37" s="6">
        <v>500</v>
      </c>
      <c r="K37" s="17">
        <v>550</v>
      </c>
      <c r="L37" s="10">
        <v>550</v>
      </c>
      <c r="M37" s="1"/>
      <c r="N37" s="18"/>
      <c r="O37" s="18"/>
      <c r="P37" s="4">
        <v>908002</v>
      </c>
      <c r="Q37" s="4">
        <v>908103</v>
      </c>
      <c r="R37" s="4">
        <v>0</v>
      </c>
    </row>
    <row r="38" spans="1:18" s="8" customFormat="1" x14ac:dyDescent="0.15">
      <c r="A38" s="18">
        <f>ROW() -2</f>
        <v>36</v>
      </c>
      <c r="B38" s="5" t="s">
        <v>38</v>
      </c>
      <c r="C38" s="2" t="s">
        <v>6</v>
      </c>
      <c r="D38" s="2" t="s">
        <v>6</v>
      </c>
      <c r="E38" s="3" t="s">
        <v>8</v>
      </c>
      <c r="F38" s="16"/>
      <c r="G38" s="3" t="s">
        <v>34</v>
      </c>
      <c r="H38" s="19" t="s">
        <v>166</v>
      </c>
      <c r="I38" s="20" t="s">
        <v>167</v>
      </c>
      <c r="J38" s="6">
        <v>500</v>
      </c>
      <c r="K38" s="17">
        <v>600</v>
      </c>
      <c r="L38" s="10">
        <v>600</v>
      </c>
      <c r="M38" s="1"/>
      <c r="N38" s="18"/>
      <c r="O38" s="18"/>
      <c r="P38" s="4">
        <v>908002</v>
      </c>
      <c r="Q38" s="4">
        <v>908104</v>
      </c>
      <c r="R38" s="4">
        <v>0</v>
      </c>
    </row>
    <row r="39" spans="1:18" hidden="1" x14ac:dyDescent="0.15">
      <c r="A39" s="18">
        <f t="shared" ref="A39:A48" si="2">ROW() -2</f>
        <v>37</v>
      </c>
      <c r="B39" s="5" t="s">
        <v>39</v>
      </c>
      <c r="C39" s="18" t="s">
        <v>21</v>
      </c>
      <c r="D39" s="2" t="s">
        <v>4</v>
      </c>
      <c r="E39" s="3" t="s">
        <v>8</v>
      </c>
      <c r="F39" s="3"/>
      <c r="G39" s="3" t="s">
        <v>7</v>
      </c>
      <c r="H39" s="19" t="s">
        <v>228</v>
      </c>
      <c r="I39" s="20" t="s">
        <v>229</v>
      </c>
      <c r="J39" s="6">
        <v>500</v>
      </c>
      <c r="K39" s="6">
        <v>10</v>
      </c>
      <c r="L39" s="11">
        <v>400</v>
      </c>
      <c r="M39" s="4"/>
      <c r="N39" s="4"/>
      <c r="O39" s="4"/>
      <c r="P39" s="4">
        <v>908002</v>
      </c>
      <c r="Q39" s="4">
        <v>908100</v>
      </c>
      <c r="R39" s="4">
        <v>0</v>
      </c>
    </row>
    <row r="40" spans="1:18" hidden="1" x14ac:dyDescent="0.15">
      <c r="A40" s="18">
        <f t="shared" si="2"/>
        <v>38</v>
      </c>
      <c r="B40" s="5" t="s">
        <v>39</v>
      </c>
      <c r="C40" s="18" t="s">
        <v>21</v>
      </c>
      <c r="D40" s="2" t="s">
        <v>5</v>
      </c>
      <c r="E40" s="3" t="s">
        <v>8</v>
      </c>
      <c r="F40" s="3"/>
      <c r="G40" s="3" t="s">
        <v>22</v>
      </c>
      <c r="H40" s="19" t="s">
        <v>226</v>
      </c>
      <c r="I40" s="20" t="s">
        <v>227</v>
      </c>
      <c r="J40" s="6">
        <v>500</v>
      </c>
      <c r="K40" s="6">
        <v>10</v>
      </c>
      <c r="L40" s="6">
        <v>450</v>
      </c>
      <c r="M40" s="4"/>
      <c r="N40" s="4"/>
      <c r="O40" s="4"/>
      <c r="P40" s="4">
        <v>908002</v>
      </c>
      <c r="Q40" s="4">
        <v>908101</v>
      </c>
      <c r="R40" s="4">
        <v>0</v>
      </c>
    </row>
    <row r="41" spans="1:18" hidden="1" x14ac:dyDescent="0.15">
      <c r="A41" s="18">
        <f t="shared" si="2"/>
        <v>39</v>
      </c>
      <c r="B41" s="5" t="s">
        <v>39</v>
      </c>
      <c r="C41" s="18" t="s">
        <v>21</v>
      </c>
      <c r="D41" s="2" t="s">
        <v>6</v>
      </c>
      <c r="E41" s="3" t="s">
        <v>8</v>
      </c>
      <c r="F41" s="3"/>
      <c r="G41" s="3" t="s">
        <v>23</v>
      </c>
      <c r="H41" s="19" t="s">
        <v>442</v>
      </c>
      <c r="I41" s="20" t="s">
        <v>443</v>
      </c>
      <c r="J41" s="6">
        <v>500</v>
      </c>
      <c r="K41" s="6">
        <v>10</v>
      </c>
      <c r="L41" s="6">
        <v>450</v>
      </c>
      <c r="M41" s="4"/>
      <c r="N41" s="4"/>
      <c r="O41" s="4"/>
      <c r="P41" s="4">
        <v>908002</v>
      </c>
      <c r="Q41" s="4">
        <v>908101</v>
      </c>
      <c r="R41" s="4">
        <v>0</v>
      </c>
    </row>
    <row r="42" spans="1:18" hidden="1" x14ac:dyDescent="0.15">
      <c r="A42" s="18">
        <f t="shared" si="2"/>
        <v>40</v>
      </c>
      <c r="B42" s="5" t="s">
        <v>39</v>
      </c>
      <c r="C42" s="18" t="s">
        <v>21</v>
      </c>
      <c r="D42" s="2" t="s">
        <v>6</v>
      </c>
      <c r="E42" s="3" t="s">
        <v>8</v>
      </c>
      <c r="F42" s="3"/>
      <c r="G42" s="3" t="s">
        <v>24</v>
      </c>
      <c r="H42" s="19" t="s">
        <v>450</v>
      </c>
      <c r="I42" s="20" t="s">
        <v>451</v>
      </c>
      <c r="J42" s="6">
        <v>500</v>
      </c>
      <c r="K42" s="6">
        <v>10</v>
      </c>
      <c r="L42" s="6">
        <v>500</v>
      </c>
      <c r="M42" s="4"/>
      <c r="N42" s="4"/>
      <c r="O42" s="4"/>
      <c r="P42" s="4">
        <v>908002</v>
      </c>
      <c r="Q42" s="4">
        <v>908102</v>
      </c>
      <c r="R42" s="4">
        <v>0</v>
      </c>
    </row>
    <row r="43" spans="1:18" hidden="1" x14ac:dyDescent="0.15">
      <c r="A43" s="18">
        <f t="shared" si="2"/>
        <v>41</v>
      </c>
      <c r="B43" s="5" t="s">
        <v>39</v>
      </c>
      <c r="C43" s="18" t="s">
        <v>21</v>
      </c>
      <c r="D43" s="2" t="s">
        <v>6</v>
      </c>
      <c r="E43" s="3" t="s">
        <v>8</v>
      </c>
      <c r="F43" s="3"/>
      <c r="G43" s="3" t="s">
        <v>25</v>
      </c>
      <c r="H43" s="19" t="s">
        <v>106</v>
      </c>
      <c r="I43" s="20" t="s">
        <v>107</v>
      </c>
      <c r="J43" s="6">
        <v>500</v>
      </c>
      <c r="K43" s="6">
        <v>10</v>
      </c>
      <c r="L43" s="6">
        <v>550</v>
      </c>
      <c r="M43" s="4"/>
      <c r="N43" s="4"/>
      <c r="O43" s="4"/>
      <c r="P43" s="4">
        <v>908002</v>
      </c>
      <c r="Q43" s="4">
        <v>908103</v>
      </c>
      <c r="R43" s="4">
        <v>0</v>
      </c>
    </row>
    <row r="44" spans="1:18" hidden="1" x14ac:dyDescent="0.15">
      <c r="A44" s="18">
        <f t="shared" si="2"/>
        <v>42</v>
      </c>
      <c r="B44" s="5" t="s">
        <v>40</v>
      </c>
      <c r="C44" s="18" t="s">
        <v>21</v>
      </c>
      <c r="D44" s="2" t="s">
        <v>4</v>
      </c>
      <c r="E44" s="3" t="s">
        <v>8</v>
      </c>
      <c r="F44" s="3"/>
      <c r="G44" s="3" t="s">
        <v>7</v>
      </c>
      <c r="H44" s="19" t="s">
        <v>210</v>
      </c>
      <c r="I44" s="20" t="s">
        <v>211</v>
      </c>
      <c r="J44" s="6">
        <v>500</v>
      </c>
      <c r="K44" s="6">
        <v>50</v>
      </c>
      <c r="L44" s="11">
        <v>400</v>
      </c>
      <c r="M44" s="4"/>
      <c r="N44" s="4"/>
      <c r="O44" s="4"/>
      <c r="P44" s="4">
        <v>908002</v>
      </c>
      <c r="Q44" s="4">
        <v>908100</v>
      </c>
      <c r="R44" s="4">
        <v>0</v>
      </c>
    </row>
    <row r="45" spans="1:18" hidden="1" x14ac:dyDescent="0.15">
      <c r="A45" s="18">
        <f t="shared" si="2"/>
        <v>43</v>
      </c>
      <c r="B45" s="5" t="s">
        <v>40</v>
      </c>
      <c r="C45" s="18" t="s">
        <v>21</v>
      </c>
      <c r="D45" s="2" t="s">
        <v>5</v>
      </c>
      <c r="E45" s="3" t="s">
        <v>8</v>
      </c>
      <c r="F45" s="3"/>
      <c r="G45" s="3" t="s">
        <v>22</v>
      </c>
      <c r="H45" s="19" t="s">
        <v>208</v>
      </c>
      <c r="I45" s="20" t="s">
        <v>209</v>
      </c>
      <c r="J45" s="6">
        <v>500</v>
      </c>
      <c r="K45" s="6">
        <v>50</v>
      </c>
      <c r="L45" s="6">
        <v>450</v>
      </c>
      <c r="M45" s="4"/>
      <c r="N45" s="4"/>
      <c r="O45" s="4"/>
      <c r="P45" s="4">
        <v>908002</v>
      </c>
      <c r="Q45" s="4">
        <v>908101</v>
      </c>
      <c r="R45" s="4">
        <v>0</v>
      </c>
    </row>
    <row r="46" spans="1:18" hidden="1" x14ac:dyDescent="0.15">
      <c r="A46" s="18">
        <f t="shared" si="2"/>
        <v>44</v>
      </c>
      <c r="B46" s="5" t="s">
        <v>40</v>
      </c>
      <c r="C46" s="18" t="s">
        <v>21</v>
      </c>
      <c r="D46" s="2" t="s">
        <v>6</v>
      </c>
      <c r="E46" s="3" t="s">
        <v>8</v>
      </c>
      <c r="F46" s="3"/>
      <c r="G46" s="3" t="s">
        <v>23</v>
      </c>
      <c r="H46" s="19" t="s">
        <v>412</v>
      </c>
      <c r="I46" s="20" t="s">
        <v>413</v>
      </c>
      <c r="J46" s="6">
        <v>500</v>
      </c>
      <c r="K46" s="6">
        <v>50</v>
      </c>
      <c r="L46" s="6">
        <v>450</v>
      </c>
      <c r="M46" s="4"/>
      <c r="N46" s="4"/>
      <c r="O46" s="4"/>
      <c r="P46" s="4">
        <v>908002</v>
      </c>
      <c r="Q46" s="4">
        <v>908101</v>
      </c>
      <c r="R46" s="4">
        <v>0</v>
      </c>
    </row>
    <row r="47" spans="1:18" hidden="1" x14ac:dyDescent="0.15">
      <c r="A47" s="18">
        <f t="shared" si="2"/>
        <v>45</v>
      </c>
      <c r="B47" s="5" t="s">
        <v>40</v>
      </c>
      <c r="C47" s="18" t="s">
        <v>21</v>
      </c>
      <c r="D47" s="2" t="s">
        <v>6</v>
      </c>
      <c r="E47" s="3" t="s">
        <v>8</v>
      </c>
      <c r="F47" s="3"/>
      <c r="G47" s="3" t="s">
        <v>24</v>
      </c>
      <c r="H47" s="19" t="s">
        <v>216</v>
      </c>
      <c r="I47" s="20" t="s">
        <v>217</v>
      </c>
      <c r="J47" s="6">
        <v>500</v>
      </c>
      <c r="K47" s="6">
        <v>50</v>
      </c>
      <c r="L47" s="6">
        <v>500</v>
      </c>
      <c r="M47" s="4"/>
      <c r="N47" s="4"/>
      <c r="O47" s="4"/>
      <c r="P47" s="4">
        <v>908002</v>
      </c>
      <c r="Q47" s="4">
        <v>908102</v>
      </c>
      <c r="R47" s="4">
        <v>0</v>
      </c>
    </row>
    <row r="48" spans="1:18" hidden="1" x14ac:dyDescent="0.15">
      <c r="A48" s="18">
        <f t="shared" si="2"/>
        <v>46</v>
      </c>
      <c r="B48" s="5" t="s">
        <v>40</v>
      </c>
      <c r="C48" s="18" t="s">
        <v>21</v>
      </c>
      <c r="D48" s="2" t="s">
        <v>6</v>
      </c>
      <c r="E48" s="3" t="s">
        <v>8</v>
      </c>
      <c r="F48" s="3"/>
      <c r="G48" s="3" t="s">
        <v>25</v>
      </c>
      <c r="H48" s="19" t="s">
        <v>318</v>
      </c>
      <c r="I48" s="20" t="s">
        <v>319</v>
      </c>
      <c r="J48" s="6">
        <v>500</v>
      </c>
      <c r="K48" s="6">
        <v>50</v>
      </c>
      <c r="L48" s="6">
        <v>550</v>
      </c>
      <c r="M48" s="4"/>
      <c r="N48" s="4"/>
      <c r="O48" s="4"/>
      <c r="P48" s="4">
        <v>908002</v>
      </c>
      <c r="Q48" s="4">
        <v>908103</v>
      </c>
      <c r="R48" s="4">
        <v>0</v>
      </c>
    </row>
    <row r="49" spans="1:18" hidden="1" x14ac:dyDescent="0.15">
      <c r="A49" s="18">
        <f t="shared" ref="A49:A67" si="3">ROW() -2</f>
        <v>47</v>
      </c>
      <c r="B49" s="5" t="s">
        <v>37</v>
      </c>
      <c r="C49" s="18" t="s">
        <v>21</v>
      </c>
      <c r="D49" s="18" t="s">
        <v>21</v>
      </c>
      <c r="E49" s="3" t="s">
        <v>48</v>
      </c>
      <c r="F49" s="3"/>
      <c r="G49" s="3" t="s">
        <v>45</v>
      </c>
      <c r="H49" s="19" t="s">
        <v>328</v>
      </c>
      <c r="I49" s="19" t="s">
        <v>329</v>
      </c>
      <c r="J49" s="6">
        <v>500</v>
      </c>
      <c r="K49" s="6">
        <v>450</v>
      </c>
      <c r="L49" s="6"/>
      <c r="M49" s="4">
        <v>50</v>
      </c>
      <c r="N49" s="4"/>
      <c r="O49" s="4"/>
      <c r="P49" s="4">
        <v>908001</v>
      </c>
      <c r="Q49" s="4"/>
      <c r="R49" s="4">
        <v>1</v>
      </c>
    </row>
    <row r="50" spans="1:18" hidden="1" x14ac:dyDescent="0.15">
      <c r="A50" s="18">
        <f t="shared" si="3"/>
        <v>48</v>
      </c>
      <c r="B50" s="5" t="s">
        <v>37</v>
      </c>
      <c r="C50" s="18" t="s">
        <v>26</v>
      </c>
      <c r="D50" s="18" t="s">
        <v>21</v>
      </c>
      <c r="E50" s="3" t="s">
        <v>48</v>
      </c>
      <c r="F50" s="3"/>
      <c r="G50" s="5" t="s">
        <v>46</v>
      </c>
      <c r="H50" s="19" t="s">
        <v>436</v>
      </c>
      <c r="I50" s="19" t="s">
        <v>437</v>
      </c>
      <c r="J50" s="6">
        <v>500</v>
      </c>
      <c r="K50" s="6">
        <v>500</v>
      </c>
      <c r="L50" s="6"/>
      <c r="M50" s="4">
        <v>50</v>
      </c>
      <c r="N50" s="4"/>
      <c r="O50" s="4"/>
      <c r="P50" s="4">
        <v>908001</v>
      </c>
      <c r="Q50" s="4"/>
      <c r="R50" s="4">
        <v>1</v>
      </c>
    </row>
    <row r="51" spans="1:18" hidden="1" x14ac:dyDescent="0.15">
      <c r="A51" s="18">
        <f t="shared" si="3"/>
        <v>49</v>
      </c>
      <c r="B51" s="5" t="s">
        <v>37</v>
      </c>
      <c r="C51" s="18" t="s">
        <v>41</v>
      </c>
      <c r="D51" s="18" t="s">
        <v>21</v>
      </c>
      <c r="E51" s="3" t="s">
        <v>48</v>
      </c>
      <c r="F51" s="3"/>
      <c r="G51" s="3" t="s">
        <v>47</v>
      </c>
      <c r="H51" s="19" t="s">
        <v>346</v>
      </c>
      <c r="I51" s="19" t="s">
        <v>347</v>
      </c>
      <c r="J51" s="6">
        <v>500</v>
      </c>
      <c r="K51" s="6">
        <v>550</v>
      </c>
      <c r="L51" s="6"/>
      <c r="M51" s="4">
        <v>100</v>
      </c>
      <c r="N51" s="4"/>
      <c r="O51" s="4"/>
      <c r="P51" s="4">
        <v>908001</v>
      </c>
      <c r="Q51" s="4"/>
      <c r="R51" s="4">
        <v>1</v>
      </c>
    </row>
    <row r="52" spans="1:18" hidden="1" x14ac:dyDescent="0.15">
      <c r="A52" s="18">
        <f t="shared" si="3"/>
        <v>50</v>
      </c>
      <c r="B52" s="5" t="s">
        <v>37</v>
      </c>
      <c r="C52" s="18" t="s">
        <v>21</v>
      </c>
      <c r="D52" s="18" t="s">
        <v>21</v>
      </c>
      <c r="E52" s="3" t="s">
        <v>49</v>
      </c>
      <c r="F52" s="3"/>
      <c r="G52" s="3" t="s">
        <v>42</v>
      </c>
      <c r="H52" s="19" t="s">
        <v>404</v>
      </c>
      <c r="I52" s="19" t="s">
        <v>405</v>
      </c>
      <c r="J52" s="6">
        <v>500</v>
      </c>
      <c r="K52" s="6">
        <v>450</v>
      </c>
      <c r="L52" s="6"/>
      <c r="M52" s="4">
        <v>10</v>
      </c>
      <c r="N52" s="4"/>
      <c r="O52" s="4"/>
      <c r="P52" s="4">
        <v>908001</v>
      </c>
      <c r="Q52" s="4"/>
      <c r="R52" s="4">
        <v>1</v>
      </c>
    </row>
    <row r="53" spans="1:18" hidden="1" x14ac:dyDescent="0.15">
      <c r="A53" s="18">
        <f t="shared" si="3"/>
        <v>51</v>
      </c>
      <c r="B53" s="5" t="s">
        <v>37</v>
      </c>
      <c r="C53" s="18" t="s">
        <v>26</v>
      </c>
      <c r="D53" s="18" t="s">
        <v>21</v>
      </c>
      <c r="E53" s="3" t="s">
        <v>49</v>
      </c>
      <c r="F53" s="3"/>
      <c r="G53" s="5" t="s">
        <v>43</v>
      </c>
      <c r="H53" s="19" t="s">
        <v>334</v>
      </c>
      <c r="I53" s="19" t="s">
        <v>335</v>
      </c>
      <c r="J53" s="6">
        <v>500</v>
      </c>
      <c r="K53" s="6">
        <v>500</v>
      </c>
      <c r="L53" s="6"/>
      <c r="M53" s="4">
        <v>10</v>
      </c>
      <c r="N53" s="4"/>
      <c r="O53" s="4"/>
      <c r="P53" s="4">
        <v>908001</v>
      </c>
      <c r="Q53" s="4"/>
      <c r="R53" s="4">
        <v>1</v>
      </c>
    </row>
    <row r="54" spans="1:18" hidden="1" x14ac:dyDescent="0.15">
      <c r="A54" s="18">
        <f t="shared" si="3"/>
        <v>52</v>
      </c>
      <c r="B54" s="5" t="s">
        <v>37</v>
      </c>
      <c r="C54" s="18" t="s">
        <v>41</v>
      </c>
      <c r="D54" s="18" t="s">
        <v>21</v>
      </c>
      <c r="E54" s="3" t="s">
        <v>49</v>
      </c>
      <c r="F54" s="3"/>
      <c r="G54" s="3" t="s">
        <v>44</v>
      </c>
      <c r="H54" s="19" t="s">
        <v>440</v>
      </c>
      <c r="I54" s="19" t="s">
        <v>441</v>
      </c>
      <c r="J54" s="6">
        <v>500</v>
      </c>
      <c r="K54" s="6">
        <v>550</v>
      </c>
      <c r="L54" s="6"/>
      <c r="M54" s="4">
        <v>20</v>
      </c>
      <c r="N54" s="4"/>
      <c r="O54" s="4"/>
      <c r="P54" s="4">
        <v>908001</v>
      </c>
      <c r="Q54" s="4"/>
      <c r="R54" s="4">
        <v>1</v>
      </c>
    </row>
    <row r="55" spans="1:18" hidden="1" x14ac:dyDescent="0.15">
      <c r="A55" s="18">
        <f t="shared" si="3"/>
        <v>53</v>
      </c>
      <c r="B55" s="5" t="s">
        <v>37</v>
      </c>
      <c r="C55" s="18" t="s">
        <v>21</v>
      </c>
      <c r="D55" s="18" t="s">
        <v>21</v>
      </c>
      <c r="E55" s="3" t="s">
        <v>50</v>
      </c>
      <c r="F55" s="3"/>
      <c r="G55" s="14" t="s">
        <v>51</v>
      </c>
      <c r="H55" s="19" t="s">
        <v>152</v>
      </c>
      <c r="I55" s="19" t="s">
        <v>153</v>
      </c>
      <c r="J55" s="6">
        <v>500</v>
      </c>
      <c r="K55" s="6">
        <v>450</v>
      </c>
      <c r="L55" s="6"/>
      <c r="M55" s="4">
        <v>400</v>
      </c>
      <c r="N55" s="4"/>
      <c r="O55" s="4"/>
      <c r="P55" s="4">
        <v>908001</v>
      </c>
      <c r="Q55" s="4"/>
      <c r="R55" s="4">
        <v>1</v>
      </c>
    </row>
    <row r="56" spans="1:18" hidden="1" x14ac:dyDescent="0.15">
      <c r="A56" s="18">
        <f t="shared" si="3"/>
        <v>54</v>
      </c>
      <c r="B56" s="5" t="s">
        <v>37</v>
      </c>
      <c r="C56" s="18" t="s">
        <v>21</v>
      </c>
      <c r="D56" s="2" t="s">
        <v>5</v>
      </c>
      <c r="E56" s="3" t="s">
        <v>50</v>
      </c>
      <c r="F56" s="3"/>
      <c r="G56" s="14" t="s">
        <v>52</v>
      </c>
      <c r="H56" s="19" t="s">
        <v>374</v>
      </c>
      <c r="I56" s="19" t="s">
        <v>375</v>
      </c>
      <c r="J56" s="6">
        <v>500</v>
      </c>
      <c r="K56" s="6">
        <v>450</v>
      </c>
      <c r="L56" s="6"/>
      <c r="M56" s="6">
        <v>450</v>
      </c>
      <c r="N56" s="4"/>
      <c r="O56" s="4"/>
      <c r="P56" s="4">
        <v>908001</v>
      </c>
      <c r="Q56" s="4"/>
      <c r="R56" s="4">
        <v>1</v>
      </c>
    </row>
    <row r="57" spans="1:18" hidden="1" x14ac:dyDescent="0.15">
      <c r="A57" s="18">
        <f t="shared" si="3"/>
        <v>55</v>
      </c>
      <c r="B57" s="5" t="s">
        <v>37</v>
      </c>
      <c r="C57" s="18" t="s">
        <v>21</v>
      </c>
      <c r="D57" s="2" t="s">
        <v>6</v>
      </c>
      <c r="E57" s="3" t="s">
        <v>50</v>
      </c>
      <c r="F57" s="3"/>
      <c r="G57" s="14" t="s">
        <v>53</v>
      </c>
      <c r="H57" s="19" t="s">
        <v>372</v>
      </c>
      <c r="I57" s="19" t="s">
        <v>373</v>
      </c>
      <c r="J57" s="6">
        <v>500</v>
      </c>
      <c r="K57" s="6">
        <v>400</v>
      </c>
      <c r="L57" s="6"/>
      <c r="M57" s="4">
        <v>450</v>
      </c>
      <c r="N57" s="4"/>
      <c r="O57" s="4"/>
      <c r="P57" s="4">
        <v>908001</v>
      </c>
      <c r="Q57" s="4"/>
      <c r="R57" s="4">
        <v>1</v>
      </c>
    </row>
    <row r="58" spans="1:18" hidden="1" x14ac:dyDescent="0.15">
      <c r="A58" s="18">
        <f t="shared" si="3"/>
        <v>56</v>
      </c>
      <c r="B58" s="5" t="s">
        <v>37</v>
      </c>
      <c r="C58" s="18" t="s">
        <v>21</v>
      </c>
      <c r="D58" s="2" t="s">
        <v>6</v>
      </c>
      <c r="E58" s="3" t="s">
        <v>50</v>
      </c>
      <c r="F58" s="3"/>
      <c r="G58" s="14" t="s">
        <v>54</v>
      </c>
      <c r="H58" s="19" t="s">
        <v>206</v>
      </c>
      <c r="I58" s="19" t="s">
        <v>207</v>
      </c>
      <c r="J58" s="6">
        <v>500</v>
      </c>
      <c r="K58" s="6">
        <v>450</v>
      </c>
      <c r="L58" s="6"/>
      <c r="M58" s="4">
        <v>500</v>
      </c>
      <c r="N58" s="4"/>
      <c r="O58" s="4"/>
      <c r="P58" s="4">
        <v>908001</v>
      </c>
      <c r="Q58" s="4"/>
      <c r="R58" s="4">
        <v>1</v>
      </c>
    </row>
    <row r="59" spans="1:18" hidden="1" x14ac:dyDescent="0.15">
      <c r="A59" s="18">
        <f t="shared" si="3"/>
        <v>57</v>
      </c>
      <c r="B59" s="5" t="s">
        <v>37</v>
      </c>
      <c r="C59" s="18" t="s">
        <v>21</v>
      </c>
      <c r="D59" s="2" t="s">
        <v>6</v>
      </c>
      <c r="E59" s="3" t="s">
        <v>50</v>
      </c>
      <c r="F59" s="3"/>
      <c r="G59" s="14" t="s">
        <v>55</v>
      </c>
      <c r="H59" s="19" t="s">
        <v>204</v>
      </c>
      <c r="I59" s="19" t="s">
        <v>205</v>
      </c>
      <c r="J59" s="6">
        <v>500</v>
      </c>
      <c r="K59" s="6">
        <v>450</v>
      </c>
      <c r="L59" s="6"/>
      <c r="M59" s="4">
        <v>550</v>
      </c>
      <c r="N59" s="4"/>
      <c r="O59" s="4"/>
      <c r="P59" s="4">
        <v>908001</v>
      </c>
      <c r="Q59" s="4"/>
      <c r="R59" s="4">
        <v>1</v>
      </c>
    </row>
    <row r="60" spans="1:18" hidden="1" x14ac:dyDescent="0.15">
      <c r="A60" s="18">
        <f t="shared" si="3"/>
        <v>58</v>
      </c>
      <c r="B60" s="5" t="s">
        <v>37</v>
      </c>
      <c r="C60" s="18" t="s">
        <v>26</v>
      </c>
      <c r="D60" s="18" t="s">
        <v>21</v>
      </c>
      <c r="E60" s="3" t="s">
        <v>50</v>
      </c>
      <c r="F60" s="3"/>
      <c r="G60" s="14" t="s">
        <v>56</v>
      </c>
      <c r="H60" s="19" t="s">
        <v>276</v>
      </c>
      <c r="I60" s="19" t="s">
        <v>277</v>
      </c>
      <c r="J60" s="6">
        <v>500</v>
      </c>
      <c r="K60" s="6">
        <v>500</v>
      </c>
      <c r="L60" s="6"/>
      <c r="M60" s="4">
        <v>550</v>
      </c>
      <c r="N60" s="4"/>
      <c r="O60" s="4"/>
      <c r="P60" s="4">
        <v>908001</v>
      </c>
      <c r="Q60" s="4"/>
      <c r="R60" s="4">
        <v>1</v>
      </c>
    </row>
    <row r="61" spans="1:18" hidden="1" x14ac:dyDescent="0.15">
      <c r="A61" s="18">
        <f t="shared" si="3"/>
        <v>59</v>
      </c>
      <c r="B61" s="5" t="s">
        <v>37</v>
      </c>
      <c r="C61" s="18" t="s">
        <v>26</v>
      </c>
      <c r="D61" s="18" t="s">
        <v>26</v>
      </c>
      <c r="E61" s="3" t="s">
        <v>50</v>
      </c>
      <c r="F61" s="3"/>
      <c r="G61" s="14" t="s">
        <v>57</v>
      </c>
      <c r="H61" s="19" t="s">
        <v>306</v>
      </c>
      <c r="I61" s="19" t="s">
        <v>307</v>
      </c>
      <c r="J61" s="6">
        <v>500</v>
      </c>
      <c r="K61" s="6">
        <v>500</v>
      </c>
      <c r="L61" s="6"/>
      <c r="M61" s="4">
        <v>500</v>
      </c>
      <c r="N61" s="4"/>
      <c r="O61" s="4"/>
      <c r="P61" s="4">
        <v>908001</v>
      </c>
      <c r="Q61" s="4"/>
      <c r="R61" s="4">
        <v>1</v>
      </c>
    </row>
    <row r="62" spans="1:18" hidden="1" x14ac:dyDescent="0.15">
      <c r="A62" s="18">
        <f t="shared" si="3"/>
        <v>60</v>
      </c>
      <c r="B62" s="5" t="s">
        <v>37</v>
      </c>
      <c r="C62" s="18" t="s">
        <v>26</v>
      </c>
      <c r="D62" s="2" t="s">
        <v>6</v>
      </c>
      <c r="E62" s="3" t="s">
        <v>50</v>
      </c>
      <c r="F62" s="3"/>
      <c r="G62" s="14" t="s">
        <v>58</v>
      </c>
      <c r="H62" s="19" t="s">
        <v>326</v>
      </c>
      <c r="I62" s="19" t="s">
        <v>327</v>
      </c>
      <c r="J62" s="6">
        <v>500</v>
      </c>
      <c r="K62" s="6">
        <v>500</v>
      </c>
      <c r="L62" s="6"/>
      <c r="M62" s="4">
        <v>500</v>
      </c>
      <c r="N62" s="4"/>
      <c r="O62" s="4"/>
      <c r="P62" s="4">
        <v>908001</v>
      </c>
      <c r="Q62" s="4"/>
      <c r="R62" s="4">
        <v>1</v>
      </c>
    </row>
    <row r="63" spans="1:18" hidden="1" x14ac:dyDescent="0.15">
      <c r="A63" s="18">
        <f t="shared" si="3"/>
        <v>61</v>
      </c>
      <c r="B63" s="5" t="s">
        <v>37</v>
      </c>
      <c r="C63" s="18" t="s">
        <v>41</v>
      </c>
      <c r="D63" s="18" t="s">
        <v>21</v>
      </c>
      <c r="E63" s="3" t="s">
        <v>50</v>
      </c>
      <c r="F63" s="3"/>
      <c r="G63" s="14" t="s">
        <v>60</v>
      </c>
      <c r="H63" s="19" t="s">
        <v>344</v>
      </c>
      <c r="I63" s="19" t="s">
        <v>345</v>
      </c>
      <c r="J63" s="6">
        <v>500</v>
      </c>
      <c r="K63" s="6">
        <v>500</v>
      </c>
      <c r="L63" s="6"/>
      <c r="M63" s="4">
        <v>550</v>
      </c>
      <c r="N63" s="4"/>
      <c r="O63" s="4"/>
      <c r="P63" s="4">
        <v>908001</v>
      </c>
      <c r="Q63" s="4"/>
      <c r="R63" s="4">
        <v>1</v>
      </c>
    </row>
    <row r="64" spans="1:18" hidden="1" x14ac:dyDescent="0.15">
      <c r="A64" s="18">
        <f t="shared" si="3"/>
        <v>62</v>
      </c>
      <c r="B64" s="5" t="s">
        <v>37</v>
      </c>
      <c r="C64" s="18" t="s">
        <v>41</v>
      </c>
      <c r="D64" s="18" t="s">
        <v>21</v>
      </c>
      <c r="E64" s="3" t="s">
        <v>50</v>
      </c>
      <c r="F64" s="3"/>
      <c r="G64" s="14" t="s">
        <v>59</v>
      </c>
      <c r="H64" s="19" t="s">
        <v>340</v>
      </c>
      <c r="I64" s="19" t="s">
        <v>341</v>
      </c>
      <c r="J64" s="6">
        <v>500</v>
      </c>
      <c r="K64" s="6">
        <v>550</v>
      </c>
      <c r="L64" s="6"/>
      <c r="M64" s="4">
        <v>450</v>
      </c>
      <c r="N64" s="4"/>
      <c r="O64" s="4"/>
      <c r="P64" s="4">
        <v>908001</v>
      </c>
      <c r="Q64" s="4"/>
      <c r="R64" s="4">
        <v>1</v>
      </c>
    </row>
    <row r="65" spans="1:18" hidden="1" x14ac:dyDescent="0.15">
      <c r="A65" s="18">
        <f t="shared" si="3"/>
        <v>63</v>
      </c>
      <c r="B65" s="5" t="s">
        <v>37</v>
      </c>
      <c r="C65" s="18" t="s">
        <v>41</v>
      </c>
      <c r="D65" s="18" t="s">
        <v>21</v>
      </c>
      <c r="E65" s="3" t="s">
        <v>50</v>
      </c>
      <c r="F65" s="3"/>
      <c r="G65" s="14" t="s">
        <v>61</v>
      </c>
      <c r="H65" s="19" t="s">
        <v>454</v>
      </c>
      <c r="I65" s="19" t="s">
        <v>455</v>
      </c>
      <c r="J65" s="6">
        <v>500</v>
      </c>
      <c r="K65" s="6">
        <v>550</v>
      </c>
      <c r="L65" s="6"/>
      <c r="M65" s="4">
        <v>500</v>
      </c>
      <c r="N65" s="4"/>
      <c r="O65" s="4"/>
      <c r="P65" s="4">
        <v>908001</v>
      </c>
      <c r="Q65" s="4"/>
      <c r="R65" s="4">
        <v>1</v>
      </c>
    </row>
    <row r="66" spans="1:18" hidden="1" x14ac:dyDescent="0.15">
      <c r="A66" s="18">
        <f t="shared" si="3"/>
        <v>64</v>
      </c>
      <c r="B66" s="5" t="s">
        <v>37</v>
      </c>
      <c r="C66" s="18" t="s">
        <v>41</v>
      </c>
      <c r="D66" s="18" t="s">
        <v>26</v>
      </c>
      <c r="E66" s="3" t="s">
        <v>50</v>
      </c>
      <c r="F66" s="3"/>
      <c r="G66" s="14" t="s">
        <v>62</v>
      </c>
      <c r="H66" s="19" t="s">
        <v>384</v>
      </c>
      <c r="I66" s="19" t="s">
        <v>385</v>
      </c>
      <c r="J66" s="6">
        <v>500</v>
      </c>
      <c r="K66" s="6">
        <v>550</v>
      </c>
      <c r="L66" s="6"/>
      <c r="M66" s="6">
        <v>550</v>
      </c>
      <c r="N66" s="4"/>
      <c r="O66" s="4"/>
      <c r="P66" s="4">
        <v>908001</v>
      </c>
      <c r="Q66" s="4"/>
      <c r="R66" s="4">
        <v>1</v>
      </c>
    </row>
    <row r="67" spans="1:18" hidden="1" x14ac:dyDescent="0.15">
      <c r="A67" s="18">
        <f t="shared" si="3"/>
        <v>65</v>
      </c>
      <c r="B67" s="5" t="s">
        <v>37</v>
      </c>
      <c r="C67" s="18" t="s">
        <v>41</v>
      </c>
      <c r="D67" s="18" t="s">
        <v>41</v>
      </c>
      <c r="E67" s="3" t="s">
        <v>50</v>
      </c>
      <c r="F67" s="3"/>
      <c r="G67" s="14" t="s">
        <v>63</v>
      </c>
      <c r="H67" s="19" t="s">
        <v>376</v>
      </c>
      <c r="I67" s="19" t="s">
        <v>377</v>
      </c>
      <c r="J67" s="6">
        <v>500</v>
      </c>
      <c r="K67" s="6">
        <v>550</v>
      </c>
      <c r="L67" s="6"/>
      <c r="M67" s="4">
        <v>600</v>
      </c>
      <c r="N67" s="4"/>
      <c r="O67" s="4"/>
      <c r="P67" s="4">
        <v>908001</v>
      </c>
      <c r="Q67" s="4"/>
      <c r="R67" s="4">
        <v>1</v>
      </c>
    </row>
    <row r="68" spans="1:18" hidden="1" x14ac:dyDescent="0.15">
      <c r="A68" s="18">
        <f t="shared" ref="A68:A81" si="4">ROW() -2</f>
        <v>66</v>
      </c>
      <c r="B68" s="5" t="s">
        <v>35</v>
      </c>
      <c r="C68" s="18" t="s">
        <v>21</v>
      </c>
      <c r="D68" s="18" t="s">
        <v>21</v>
      </c>
      <c r="E68" s="3" t="s">
        <v>48</v>
      </c>
      <c r="F68" s="3"/>
      <c r="G68" s="3" t="s">
        <v>45</v>
      </c>
      <c r="H68" s="19" t="s">
        <v>102</v>
      </c>
      <c r="I68" s="19" t="s">
        <v>103</v>
      </c>
      <c r="J68" s="6">
        <v>500</v>
      </c>
      <c r="K68" s="6">
        <v>10</v>
      </c>
      <c r="L68" s="6"/>
      <c r="M68" s="4">
        <v>50</v>
      </c>
      <c r="N68" s="4"/>
      <c r="O68" s="4"/>
      <c r="P68" s="4">
        <v>908001</v>
      </c>
      <c r="Q68" s="4"/>
      <c r="R68" s="4">
        <v>1</v>
      </c>
    </row>
    <row r="69" spans="1:18" hidden="1" x14ac:dyDescent="0.15">
      <c r="A69" s="18">
        <f t="shared" si="4"/>
        <v>67</v>
      </c>
      <c r="B69" s="5" t="s">
        <v>35</v>
      </c>
      <c r="C69" s="18" t="s">
        <v>21</v>
      </c>
      <c r="D69" s="18" t="s">
        <v>21</v>
      </c>
      <c r="E69" s="3" t="s">
        <v>49</v>
      </c>
      <c r="F69" s="3"/>
      <c r="G69" s="3" t="s">
        <v>42</v>
      </c>
      <c r="H69" s="19" t="s">
        <v>136</v>
      </c>
      <c r="I69" s="19" t="s">
        <v>137</v>
      </c>
      <c r="J69" s="6">
        <v>500</v>
      </c>
      <c r="K69" s="6">
        <v>10</v>
      </c>
      <c r="L69" s="6"/>
      <c r="M69" s="4">
        <v>10</v>
      </c>
      <c r="N69" s="4"/>
      <c r="O69" s="4"/>
      <c r="P69" s="4">
        <v>908001</v>
      </c>
      <c r="Q69" s="4"/>
      <c r="R69" s="4">
        <v>1</v>
      </c>
    </row>
    <row r="70" spans="1:18" hidden="1" x14ac:dyDescent="0.15">
      <c r="A70" s="18">
        <f t="shared" si="4"/>
        <v>68</v>
      </c>
      <c r="B70" s="5" t="s">
        <v>35</v>
      </c>
      <c r="C70" s="18" t="s">
        <v>21</v>
      </c>
      <c r="D70" s="18" t="s">
        <v>21</v>
      </c>
      <c r="E70" s="3" t="s">
        <v>50</v>
      </c>
      <c r="F70" s="3"/>
      <c r="G70" s="14" t="s">
        <v>64</v>
      </c>
      <c r="H70" s="19" t="s">
        <v>140</v>
      </c>
      <c r="I70" s="19" t="s">
        <v>141</v>
      </c>
      <c r="J70" s="6">
        <v>500</v>
      </c>
      <c r="K70" s="6">
        <v>10</v>
      </c>
      <c r="L70" s="6"/>
      <c r="M70" s="4">
        <v>400</v>
      </c>
      <c r="N70" s="4"/>
      <c r="O70" s="4"/>
      <c r="P70" s="4">
        <v>908001</v>
      </c>
      <c r="Q70" s="4"/>
      <c r="R70" s="4">
        <v>1</v>
      </c>
    </row>
    <row r="71" spans="1:18" hidden="1" x14ac:dyDescent="0.15">
      <c r="A71" s="18">
        <f t="shared" si="4"/>
        <v>69</v>
      </c>
      <c r="B71" s="5" t="s">
        <v>35</v>
      </c>
      <c r="C71" s="18" t="s">
        <v>21</v>
      </c>
      <c r="D71" s="18" t="s">
        <v>26</v>
      </c>
      <c r="E71" s="3" t="s">
        <v>50</v>
      </c>
      <c r="F71" s="3"/>
      <c r="G71" s="14" t="s">
        <v>65</v>
      </c>
      <c r="H71" s="19" t="s">
        <v>128</v>
      </c>
      <c r="I71" s="19" t="s">
        <v>129</v>
      </c>
      <c r="J71" s="6">
        <v>500</v>
      </c>
      <c r="K71" s="6">
        <v>10</v>
      </c>
      <c r="L71" s="6"/>
      <c r="M71" s="4">
        <v>450</v>
      </c>
      <c r="N71" s="4"/>
      <c r="O71" s="4"/>
      <c r="P71" s="4">
        <v>908001</v>
      </c>
      <c r="Q71" s="4"/>
      <c r="R71" s="4">
        <v>1</v>
      </c>
    </row>
    <row r="72" spans="1:18" hidden="1" x14ac:dyDescent="0.15">
      <c r="A72" s="18">
        <f t="shared" si="4"/>
        <v>70</v>
      </c>
      <c r="B72" s="5" t="s">
        <v>35</v>
      </c>
      <c r="C72" s="18" t="s">
        <v>21</v>
      </c>
      <c r="D72" s="2" t="s">
        <v>6</v>
      </c>
      <c r="E72" s="3" t="s">
        <v>50</v>
      </c>
      <c r="F72" s="3"/>
      <c r="G72" s="14" t="s">
        <v>66</v>
      </c>
      <c r="H72" s="19" t="s">
        <v>214</v>
      </c>
      <c r="I72" s="19" t="s">
        <v>215</v>
      </c>
      <c r="J72" s="6">
        <v>500</v>
      </c>
      <c r="K72" s="6">
        <v>20</v>
      </c>
      <c r="L72" s="6"/>
      <c r="M72" s="4">
        <v>450</v>
      </c>
      <c r="N72" s="4"/>
      <c r="O72" s="4"/>
      <c r="P72" s="4">
        <v>908001</v>
      </c>
      <c r="Q72" s="4"/>
      <c r="R72" s="4">
        <v>1</v>
      </c>
    </row>
    <row r="73" spans="1:18" hidden="1" x14ac:dyDescent="0.15">
      <c r="A73" s="18">
        <f t="shared" si="4"/>
        <v>71</v>
      </c>
      <c r="B73" s="5" t="s">
        <v>35</v>
      </c>
      <c r="C73" s="18" t="s">
        <v>21</v>
      </c>
      <c r="D73" s="2" t="s">
        <v>6</v>
      </c>
      <c r="E73" s="3" t="s">
        <v>50</v>
      </c>
      <c r="F73" s="3"/>
      <c r="G73" s="14" t="s">
        <v>67</v>
      </c>
      <c r="H73" s="19" t="s">
        <v>312</v>
      </c>
      <c r="I73" s="19" t="s">
        <v>313</v>
      </c>
      <c r="J73" s="6">
        <v>500</v>
      </c>
      <c r="K73" s="6">
        <v>10</v>
      </c>
      <c r="L73" s="6"/>
      <c r="M73" s="4">
        <v>500</v>
      </c>
      <c r="N73" s="4"/>
      <c r="O73" s="4"/>
      <c r="P73" s="4">
        <v>908001</v>
      </c>
      <c r="Q73" s="4"/>
      <c r="R73" s="4">
        <v>1</v>
      </c>
    </row>
    <row r="74" spans="1:18" hidden="1" x14ac:dyDescent="0.15">
      <c r="A74" s="18">
        <f t="shared" si="4"/>
        <v>72</v>
      </c>
      <c r="B74" s="5" t="s">
        <v>35</v>
      </c>
      <c r="C74" s="18" t="s">
        <v>21</v>
      </c>
      <c r="D74" s="2" t="s">
        <v>6</v>
      </c>
      <c r="E74" s="3" t="s">
        <v>50</v>
      </c>
      <c r="F74" s="3"/>
      <c r="G74" s="14" t="s">
        <v>68</v>
      </c>
      <c r="H74" s="19" t="s">
        <v>298</v>
      </c>
      <c r="I74" s="19" t="s">
        <v>299</v>
      </c>
      <c r="J74" s="6">
        <v>500</v>
      </c>
      <c r="K74" s="6">
        <v>10</v>
      </c>
      <c r="L74" s="6"/>
      <c r="M74" s="4">
        <v>550</v>
      </c>
      <c r="N74" s="4"/>
      <c r="O74" s="4"/>
      <c r="P74" s="4">
        <v>908001</v>
      </c>
      <c r="Q74" s="4"/>
      <c r="R74" s="4">
        <v>1</v>
      </c>
    </row>
    <row r="75" spans="1:18" hidden="1" x14ac:dyDescent="0.15">
      <c r="A75" s="18">
        <f t="shared" si="4"/>
        <v>73</v>
      </c>
      <c r="B75" s="5" t="s">
        <v>36</v>
      </c>
      <c r="C75" s="18" t="s">
        <v>21</v>
      </c>
      <c r="D75" s="18" t="s">
        <v>21</v>
      </c>
      <c r="E75" s="3" t="s">
        <v>48</v>
      </c>
      <c r="F75" s="3"/>
      <c r="G75" s="3" t="s">
        <v>45</v>
      </c>
      <c r="H75" s="19" t="s">
        <v>288</v>
      </c>
      <c r="I75" s="19" t="s">
        <v>289</v>
      </c>
      <c r="J75" s="6">
        <v>500</v>
      </c>
      <c r="K75" s="6">
        <v>50</v>
      </c>
      <c r="L75" s="6"/>
      <c r="M75" s="4">
        <v>50</v>
      </c>
      <c r="N75" s="4"/>
      <c r="O75" s="4"/>
      <c r="P75" s="4">
        <v>908001</v>
      </c>
      <c r="Q75" s="4"/>
      <c r="R75" s="4">
        <v>1</v>
      </c>
    </row>
    <row r="76" spans="1:18" hidden="1" x14ac:dyDescent="0.15">
      <c r="A76" s="18">
        <f t="shared" si="4"/>
        <v>74</v>
      </c>
      <c r="B76" s="5" t="s">
        <v>36</v>
      </c>
      <c r="C76" s="18" t="s">
        <v>21</v>
      </c>
      <c r="D76" s="18" t="s">
        <v>21</v>
      </c>
      <c r="E76" s="3" t="s">
        <v>49</v>
      </c>
      <c r="F76" s="3"/>
      <c r="G76" s="3" t="s">
        <v>42</v>
      </c>
      <c r="H76" s="19" t="s">
        <v>286</v>
      </c>
      <c r="I76" s="19" t="s">
        <v>287</v>
      </c>
      <c r="J76" s="6">
        <v>500</v>
      </c>
      <c r="K76" s="6">
        <v>50</v>
      </c>
      <c r="L76" s="6"/>
      <c r="M76" s="4">
        <v>10</v>
      </c>
      <c r="N76" s="4"/>
      <c r="O76" s="4"/>
      <c r="P76" s="4">
        <v>908001</v>
      </c>
      <c r="Q76" s="4"/>
      <c r="R76" s="4">
        <v>1</v>
      </c>
    </row>
    <row r="77" spans="1:18" hidden="1" x14ac:dyDescent="0.15">
      <c r="A77" s="18">
        <f t="shared" si="4"/>
        <v>75</v>
      </c>
      <c r="B77" s="5" t="s">
        <v>36</v>
      </c>
      <c r="C77" s="18" t="s">
        <v>21</v>
      </c>
      <c r="D77" s="18" t="s">
        <v>21</v>
      </c>
      <c r="E77" s="3" t="s">
        <v>50</v>
      </c>
      <c r="F77" s="3"/>
      <c r="G77" s="14" t="s">
        <v>64</v>
      </c>
      <c r="H77" s="19" t="s">
        <v>304</v>
      </c>
      <c r="I77" s="19" t="s">
        <v>305</v>
      </c>
      <c r="J77" s="6">
        <v>500</v>
      </c>
      <c r="K77" s="6">
        <v>50</v>
      </c>
      <c r="L77" s="6"/>
      <c r="M77" s="4">
        <v>400</v>
      </c>
      <c r="N77" s="4"/>
      <c r="O77" s="4"/>
      <c r="P77" s="4">
        <v>908001</v>
      </c>
      <c r="Q77" s="4"/>
      <c r="R77" s="4">
        <v>1</v>
      </c>
    </row>
    <row r="78" spans="1:18" hidden="1" x14ac:dyDescent="0.15">
      <c r="A78" s="18">
        <f t="shared" si="4"/>
        <v>76</v>
      </c>
      <c r="B78" s="5" t="s">
        <v>36</v>
      </c>
      <c r="C78" s="18" t="s">
        <v>21</v>
      </c>
      <c r="D78" s="18" t="s">
        <v>26</v>
      </c>
      <c r="E78" s="3" t="s">
        <v>50</v>
      </c>
      <c r="F78" s="3"/>
      <c r="G78" s="14" t="s">
        <v>65</v>
      </c>
      <c r="H78" s="19" t="s">
        <v>302</v>
      </c>
      <c r="I78" s="19" t="s">
        <v>303</v>
      </c>
      <c r="J78" s="6">
        <v>500</v>
      </c>
      <c r="K78" s="6">
        <v>50</v>
      </c>
      <c r="L78" s="6"/>
      <c r="M78" s="4">
        <v>450</v>
      </c>
      <c r="N78" s="4"/>
      <c r="O78" s="4"/>
      <c r="P78" s="4">
        <v>908001</v>
      </c>
      <c r="Q78" s="4"/>
      <c r="R78" s="4">
        <v>1</v>
      </c>
    </row>
    <row r="79" spans="1:18" hidden="1" x14ac:dyDescent="0.15">
      <c r="A79" s="18">
        <f t="shared" si="4"/>
        <v>77</v>
      </c>
      <c r="B79" s="5" t="s">
        <v>36</v>
      </c>
      <c r="C79" s="18" t="s">
        <v>21</v>
      </c>
      <c r="D79" s="2" t="s">
        <v>6</v>
      </c>
      <c r="E79" s="3" t="s">
        <v>50</v>
      </c>
      <c r="F79" s="3"/>
      <c r="G79" s="14" t="s">
        <v>66</v>
      </c>
      <c r="H79" s="19" t="s">
        <v>282</v>
      </c>
      <c r="I79" s="19" t="s">
        <v>283</v>
      </c>
      <c r="J79" s="6">
        <v>500</v>
      </c>
      <c r="K79" s="6">
        <v>100</v>
      </c>
      <c r="L79" s="6"/>
      <c r="M79" s="4">
        <v>450</v>
      </c>
      <c r="N79" s="4"/>
      <c r="O79" s="4"/>
      <c r="P79" s="4">
        <v>908001</v>
      </c>
      <c r="Q79" s="4"/>
      <c r="R79" s="4">
        <v>1</v>
      </c>
    </row>
    <row r="80" spans="1:18" hidden="1" x14ac:dyDescent="0.15">
      <c r="A80" s="18">
        <f t="shared" si="4"/>
        <v>78</v>
      </c>
      <c r="B80" s="5" t="s">
        <v>36</v>
      </c>
      <c r="C80" s="18" t="s">
        <v>21</v>
      </c>
      <c r="D80" s="2" t="s">
        <v>6</v>
      </c>
      <c r="E80" s="3" t="s">
        <v>50</v>
      </c>
      <c r="F80" s="3"/>
      <c r="G80" s="14" t="s">
        <v>67</v>
      </c>
      <c r="H80" s="19" t="s">
        <v>308</v>
      </c>
      <c r="I80" s="19" t="s">
        <v>309</v>
      </c>
      <c r="J80" s="6">
        <v>500</v>
      </c>
      <c r="K80" s="6">
        <v>50</v>
      </c>
      <c r="L80" s="6"/>
      <c r="M80" s="4">
        <v>500</v>
      </c>
      <c r="N80" s="4"/>
      <c r="O80" s="4"/>
      <c r="P80" s="4">
        <v>908001</v>
      </c>
      <c r="Q80" s="4"/>
      <c r="R80" s="4">
        <v>1</v>
      </c>
    </row>
    <row r="81" spans="1:18" hidden="1" x14ac:dyDescent="0.15">
      <c r="A81" s="18">
        <f t="shared" si="4"/>
        <v>79</v>
      </c>
      <c r="B81" s="5" t="s">
        <v>36</v>
      </c>
      <c r="C81" s="18" t="s">
        <v>21</v>
      </c>
      <c r="D81" s="2" t="s">
        <v>6</v>
      </c>
      <c r="E81" s="3" t="s">
        <v>50</v>
      </c>
      <c r="F81" s="3"/>
      <c r="G81" s="14" t="s">
        <v>68</v>
      </c>
      <c r="H81" s="19" t="s">
        <v>448</v>
      </c>
      <c r="I81" s="19" t="s">
        <v>449</v>
      </c>
      <c r="J81" s="6">
        <v>500</v>
      </c>
      <c r="K81" s="6">
        <v>50</v>
      </c>
      <c r="L81" s="6"/>
      <c r="M81" s="4">
        <v>550</v>
      </c>
      <c r="N81" s="4"/>
      <c r="O81" s="4"/>
      <c r="P81" s="4">
        <v>908001</v>
      </c>
      <c r="Q81" s="4"/>
      <c r="R81" s="4">
        <v>1</v>
      </c>
    </row>
    <row r="82" spans="1:18" hidden="1" x14ac:dyDescent="0.15">
      <c r="A82" s="18">
        <f t="shared" ref="A82:A100" si="5">ROW() -2</f>
        <v>80</v>
      </c>
      <c r="B82" s="5" t="s">
        <v>38</v>
      </c>
      <c r="C82" s="18" t="s">
        <v>21</v>
      </c>
      <c r="D82" s="18" t="s">
        <v>21</v>
      </c>
      <c r="E82" s="3" t="s">
        <v>48</v>
      </c>
      <c r="F82" s="3"/>
      <c r="G82" s="3" t="s">
        <v>45</v>
      </c>
      <c r="H82" s="19" t="s">
        <v>452</v>
      </c>
      <c r="I82" s="19" t="s">
        <v>453</v>
      </c>
      <c r="J82" s="6">
        <v>500</v>
      </c>
      <c r="K82" s="6">
        <v>450</v>
      </c>
      <c r="L82" s="6"/>
      <c r="M82" s="4">
        <v>50</v>
      </c>
      <c r="N82" s="4"/>
      <c r="O82" s="4"/>
      <c r="P82" s="4">
        <v>908002</v>
      </c>
      <c r="Q82" s="4"/>
      <c r="R82" s="4">
        <v>1</v>
      </c>
    </row>
    <row r="83" spans="1:18" hidden="1" x14ac:dyDescent="0.15">
      <c r="A83" s="18">
        <f t="shared" si="5"/>
        <v>81</v>
      </c>
      <c r="B83" s="5" t="s">
        <v>38</v>
      </c>
      <c r="C83" s="18" t="s">
        <v>26</v>
      </c>
      <c r="D83" s="18" t="s">
        <v>21</v>
      </c>
      <c r="E83" s="3" t="s">
        <v>48</v>
      </c>
      <c r="F83" s="3"/>
      <c r="G83" s="5" t="s">
        <v>46</v>
      </c>
      <c r="H83" s="19" t="s">
        <v>98</v>
      </c>
      <c r="I83" s="19" t="s">
        <v>99</v>
      </c>
      <c r="J83" s="6">
        <v>500</v>
      </c>
      <c r="K83" s="6">
        <v>500</v>
      </c>
      <c r="L83" s="6"/>
      <c r="M83" s="4">
        <v>50</v>
      </c>
      <c r="N83" s="4"/>
      <c r="O83" s="4"/>
      <c r="P83" s="4">
        <v>908002</v>
      </c>
      <c r="Q83" s="4"/>
      <c r="R83" s="4">
        <v>1</v>
      </c>
    </row>
    <row r="84" spans="1:18" hidden="1" x14ac:dyDescent="0.15">
      <c r="A84" s="18">
        <f t="shared" si="5"/>
        <v>82</v>
      </c>
      <c r="B84" s="5" t="s">
        <v>38</v>
      </c>
      <c r="C84" s="18" t="s">
        <v>41</v>
      </c>
      <c r="D84" s="18" t="s">
        <v>21</v>
      </c>
      <c r="E84" s="3" t="s">
        <v>48</v>
      </c>
      <c r="F84" s="3"/>
      <c r="G84" s="3" t="s">
        <v>47</v>
      </c>
      <c r="H84" s="19" t="s">
        <v>132</v>
      </c>
      <c r="I84" s="19" t="s">
        <v>133</v>
      </c>
      <c r="J84" s="6">
        <v>500</v>
      </c>
      <c r="K84" s="6">
        <v>550</v>
      </c>
      <c r="L84" s="6"/>
      <c r="M84" s="4">
        <v>100</v>
      </c>
      <c r="N84" s="4"/>
      <c r="O84" s="4"/>
      <c r="P84" s="4">
        <v>908002</v>
      </c>
      <c r="Q84" s="4"/>
      <c r="R84" s="4">
        <v>1</v>
      </c>
    </row>
    <row r="85" spans="1:18" hidden="1" x14ac:dyDescent="0.15">
      <c r="A85" s="18">
        <f t="shared" si="5"/>
        <v>83</v>
      </c>
      <c r="B85" s="5" t="s">
        <v>38</v>
      </c>
      <c r="C85" s="18" t="s">
        <v>21</v>
      </c>
      <c r="D85" s="18" t="s">
        <v>21</v>
      </c>
      <c r="E85" s="3" t="s">
        <v>49</v>
      </c>
      <c r="F85" s="3"/>
      <c r="G85" s="3" t="s">
        <v>42</v>
      </c>
      <c r="H85" s="19" t="s">
        <v>148</v>
      </c>
      <c r="I85" s="19" t="s">
        <v>149</v>
      </c>
      <c r="J85" s="6">
        <v>500</v>
      </c>
      <c r="K85" s="6">
        <v>450</v>
      </c>
      <c r="L85" s="6"/>
      <c r="M85" s="4">
        <v>10</v>
      </c>
      <c r="N85" s="4"/>
      <c r="O85" s="4"/>
      <c r="P85" s="4">
        <v>908002</v>
      </c>
      <c r="Q85" s="4"/>
      <c r="R85" s="4">
        <v>1</v>
      </c>
    </row>
    <row r="86" spans="1:18" hidden="1" x14ac:dyDescent="0.15">
      <c r="A86" s="18">
        <f t="shared" si="5"/>
        <v>84</v>
      </c>
      <c r="B86" s="5" t="s">
        <v>38</v>
      </c>
      <c r="C86" s="18" t="s">
        <v>26</v>
      </c>
      <c r="D86" s="18" t="s">
        <v>21</v>
      </c>
      <c r="E86" s="3" t="s">
        <v>49</v>
      </c>
      <c r="F86" s="3"/>
      <c r="G86" s="5" t="s">
        <v>43</v>
      </c>
      <c r="H86" s="19" t="s">
        <v>150</v>
      </c>
      <c r="I86" s="19" t="s">
        <v>151</v>
      </c>
      <c r="J86" s="6">
        <v>500</v>
      </c>
      <c r="K86" s="6">
        <v>500</v>
      </c>
      <c r="L86" s="6"/>
      <c r="M86" s="4">
        <v>10</v>
      </c>
      <c r="N86" s="4"/>
      <c r="O86" s="4"/>
      <c r="P86" s="4">
        <v>908002</v>
      </c>
      <c r="Q86" s="4"/>
      <c r="R86" s="4">
        <v>1</v>
      </c>
    </row>
    <row r="87" spans="1:18" hidden="1" x14ac:dyDescent="0.15">
      <c r="A87" s="18">
        <f t="shared" si="5"/>
        <v>85</v>
      </c>
      <c r="B87" s="5" t="s">
        <v>38</v>
      </c>
      <c r="C87" s="18" t="s">
        <v>41</v>
      </c>
      <c r="D87" s="18" t="s">
        <v>21</v>
      </c>
      <c r="E87" s="3" t="s">
        <v>49</v>
      </c>
      <c r="F87" s="3"/>
      <c r="G87" s="3" t="s">
        <v>44</v>
      </c>
      <c r="H87" s="19" t="s">
        <v>146</v>
      </c>
      <c r="I87" s="19" t="s">
        <v>147</v>
      </c>
      <c r="J87" s="6">
        <v>500</v>
      </c>
      <c r="K87" s="6">
        <v>550</v>
      </c>
      <c r="L87" s="6"/>
      <c r="M87" s="4">
        <v>20</v>
      </c>
      <c r="N87" s="4"/>
      <c r="O87" s="4"/>
      <c r="P87" s="4">
        <v>908002</v>
      </c>
      <c r="Q87" s="4"/>
      <c r="R87" s="4">
        <v>1</v>
      </c>
    </row>
    <row r="88" spans="1:18" hidden="1" x14ac:dyDescent="0.15">
      <c r="A88" s="18">
        <f t="shared" si="5"/>
        <v>86</v>
      </c>
      <c r="B88" s="5" t="s">
        <v>38</v>
      </c>
      <c r="C88" s="18" t="s">
        <v>21</v>
      </c>
      <c r="D88" s="18" t="s">
        <v>21</v>
      </c>
      <c r="E88" s="3" t="s">
        <v>50</v>
      </c>
      <c r="F88" s="3"/>
      <c r="G88" s="14" t="s">
        <v>51</v>
      </c>
      <c r="H88" s="19" t="s">
        <v>142</v>
      </c>
      <c r="I88" s="19" t="s">
        <v>143</v>
      </c>
      <c r="J88" s="6">
        <v>500</v>
      </c>
      <c r="K88" s="6">
        <v>450</v>
      </c>
      <c r="L88" s="6"/>
      <c r="M88" s="4">
        <v>400</v>
      </c>
      <c r="N88" s="4"/>
      <c r="O88" s="4"/>
      <c r="P88" s="4">
        <v>908002</v>
      </c>
      <c r="Q88" s="4"/>
      <c r="R88" s="4">
        <v>1</v>
      </c>
    </row>
    <row r="89" spans="1:18" hidden="1" x14ac:dyDescent="0.15">
      <c r="A89" s="18">
        <f t="shared" si="5"/>
        <v>87</v>
      </c>
      <c r="B89" s="5" t="s">
        <v>38</v>
      </c>
      <c r="C89" s="18" t="s">
        <v>21</v>
      </c>
      <c r="D89" s="2" t="s">
        <v>5</v>
      </c>
      <c r="E89" s="3" t="s">
        <v>50</v>
      </c>
      <c r="F89" s="3"/>
      <c r="G89" s="14" t="s">
        <v>52</v>
      </c>
      <c r="H89" s="19" t="s">
        <v>170</v>
      </c>
      <c r="I89" s="19" t="s">
        <v>171</v>
      </c>
      <c r="J89" s="6">
        <v>500</v>
      </c>
      <c r="K89" s="6">
        <v>450</v>
      </c>
      <c r="L89" s="6"/>
      <c r="M89" s="6">
        <v>450</v>
      </c>
      <c r="N89" s="4"/>
      <c r="O89" s="4"/>
      <c r="P89" s="4">
        <v>908002</v>
      </c>
      <c r="Q89" s="4"/>
      <c r="R89" s="4">
        <v>1</v>
      </c>
    </row>
    <row r="90" spans="1:18" hidden="1" x14ac:dyDescent="0.15">
      <c r="A90" s="18">
        <f t="shared" si="5"/>
        <v>88</v>
      </c>
      <c r="B90" s="5" t="s">
        <v>38</v>
      </c>
      <c r="C90" s="18" t="s">
        <v>21</v>
      </c>
      <c r="D90" s="2" t="s">
        <v>6</v>
      </c>
      <c r="E90" s="3" t="s">
        <v>50</v>
      </c>
      <c r="F90" s="3"/>
      <c r="G90" s="14" t="s">
        <v>53</v>
      </c>
      <c r="H90" s="19" t="s">
        <v>202</v>
      </c>
      <c r="I90" s="19" t="s">
        <v>203</v>
      </c>
      <c r="J90" s="6">
        <v>500</v>
      </c>
      <c r="K90" s="6">
        <v>400</v>
      </c>
      <c r="L90" s="6"/>
      <c r="M90" s="4">
        <v>450</v>
      </c>
      <c r="N90" s="4"/>
      <c r="O90" s="4"/>
      <c r="P90" s="4">
        <v>908002</v>
      </c>
      <c r="Q90" s="4"/>
      <c r="R90" s="4">
        <v>1</v>
      </c>
    </row>
    <row r="91" spans="1:18" hidden="1" x14ac:dyDescent="0.15">
      <c r="A91" s="18">
        <f t="shared" si="5"/>
        <v>89</v>
      </c>
      <c r="B91" s="5" t="s">
        <v>38</v>
      </c>
      <c r="C91" s="18" t="s">
        <v>21</v>
      </c>
      <c r="D91" s="2" t="s">
        <v>6</v>
      </c>
      <c r="E91" s="3" t="s">
        <v>50</v>
      </c>
      <c r="F91" s="3"/>
      <c r="G91" s="14" t="s">
        <v>54</v>
      </c>
      <c r="H91" s="19" t="s">
        <v>178</v>
      </c>
      <c r="I91" s="19" t="s">
        <v>179</v>
      </c>
      <c r="J91" s="6">
        <v>500</v>
      </c>
      <c r="K91" s="6">
        <v>450</v>
      </c>
      <c r="L91" s="6"/>
      <c r="M91" s="4">
        <v>500</v>
      </c>
      <c r="N91" s="4"/>
      <c r="O91" s="4"/>
      <c r="P91" s="4">
        <v>908002</v>
      </c>
      <c r="Q91" s="4"/>
      <c r="R91" s="4">
        <v>1</v>
      </c>
    </row>
    <row r="92" spans="1:18" hidden="1" x14ac:dyDescent="0.15">
      <c r="A92" s="18">
        <f t="shared" si="5"/>
        <v>90</v>
      </c>
      <c r="B92" s="5" t="s">
        <v>38</v>
      </c>
      <c r="C92" s="18" t="s">
        <v>21</v>
      </c>
      <c r="D92" s="2" t="s">
        <v>6</v>
      </c>
      <c r="E92" s="3" t="s">
        <v>50</v>
      </c>
      <c r="F92" s="3"/>
      <c r="G92" s="14" t="s">
        <v>55</v>
      </c>
      <c r="H92" s="19" t="s">
        <v>176</v>
      </c>
      <c r="I92" s="19" t="s">
        <v>177</v>
      </c>
      <c r="J92" s="6">
        <v>500</v>
      </c>
      <c r="K92" s="6">
        <v>450</v>
      </c>
      <c r="L92" s="6"/>
      <c r="M92" s="4">
        <v>550</v>
      </c>
      <c r="N92" s="4"/>
      <c r="O92" s="4"/>
      <c r="P92" s="4">
        <v>908002</v>
      </c>
      <c r="Q92" s="4"/>
      <c r="R92" s="4">
        <v>1</v>
      </c>
    </row>
    <row r="93" spans="1:18" hidden="1" x14ac:dyDescent="0.15">
      <c r="A93" s="18">
        <f t="shared" si="5"/>
        <v>91</v>
      </c>
      <c r="B93" s="5" t="s">
        <v>38</v>
      </c>
      <c r="C93" s="18" t="s">
        <v>26</v>
      </c>
      <c r="D93" s="18" t="s">
        <v>21</v>
      </c>
      <c r="E93" s="3" t="s">
        <v>50</v>
      </c>
      <c r="F93" s="3"/>
      <c r="G93" s="14" t="s">
        <v>56</v>
      </c>
      <c r="H93" s="19" t="s">
        <v>134</v>
      </c>
      <c r="I93" s="19" t="s">
        <v>135</v>
      </c>
      <c r="J93" s="6">
        <v>500</v>
      </c>
      <c r="K93" s="6">
        <v>500</v>
      </c>
      <c r="L93" s="6"/>
      <c r="M93" s="4">
        <v>550</v>
      </c>
      <c r="N93" s="4"/>
      <c r="O93" s="4"/>
      <c r="P93" s="4">
        <v>908002</v>
      </c>
      <c r="Q93" s="4"/>
      <c r="R93" s="4">
        <v>1</v>
      </c>
    </row>
    <row r="94" spans="1:18" hidden="1" x14ac:dyDescent="0.15">
      <c r="A94" s="18">
        <f t="shared" si="5"/>
        <v>92</v>
      </c>
      <c r="B94" s="5" t="s">
        <v>38</v>
      </c>
      <c r="C94" s="18" t="s">
        <v>26</v>
      </c>
      <c r="D94" s="18" t="s">
        <v>26</v>
      </c>
      <c r="E94" s="3" t="s">
        <v>50</v>
      </c>
      <c r="F94" s="3"/>
      <c r="G94" s="14" t="s">
        <v>57</v>
      </c>
      <c r="H94" s="19" t="s">
        <v>138</v>
      </c>
      <c r="I94" s="19" t="s">
        <v>139</v>
      </c>
      <c r="J94" s="6">
        <v>500</v>
      </c>
      <c r="K94" s="6">
        <v>500</v>
      </c>
      <c r="L94" s="6"/>
      <c r="M94" s="4">
        <v>500</v>
      </c>
      <c r="N94" s="4"/>
      <c r="O94" s="4"/>
      <c r="P94" s="4">
        <v>908002</v>
      </c>
      <c r="Q94" s="4"/>
      <c r="R94" s="4">
        <v>1</v>
      </c>
    </row>
    <row r="95" spans="1:18" hidden="1" x14ac:dyDescent="0.15">
      <c r="A95" s="18">
        <f t="shared" si="5"/>
        <v>93</v>
      </c>
      <c r="B95" s="5" t="s">
        <v>38</v>
      </c>
      <c r="C95" s="18" t="s">
        <v>26</v>
      </c>
      <c r="D95" s="2" t="s">
        <v>6</v>
      </c>
      <c r="E95" s="3" t="s">
        <v>50</v>
      </c>
      <c r="F95" s="3"/>
      <c r="G95" s="14" t="s">
        <v>58</v>
      </c>
      <c r="H95" s="19" t="s">
        <v>116</v>
      </c>
      <c r="I95" s="19" t="s">
        <v>117</v>
      </c>
      <c r="J95" s="6">
        <v>500</v>
      </c>
      <c r="K95" s="6">
        <v>500</v>
      </c>
      <c r="L95" s="6"/>
      <c r="M95" s="4">
        <v>500</v>
      </c>
      <c r="N95" s="4"/>
      <c r="O95" s="4"/>
      <c r="P95" s="4">
        <v>908002</v>
      </c>
      <c r="Q95" s="4"/>
      <c r="R95" s="4">
        <v>1</v>
      </c>
    </row>
    <row r="96" spans="1:18" hidden="1" x14ac:dyDescent="0.15">
      <c r="A96" s="18">
        <f t="shared" si="5"/>
        <v>94</v>
      </c>
      <c r="B96" s="5" t="s">
        <v>38</v>
      </c>
      <c r="C96" s="18" t="s">
        <v>41</v>
      </c>
      <c r="D96" s="18" t="s">
        <v>21</v>
      </c>
      <c r="E96" s="3" t="s">
        <v>50</v>
      </c>
      <c r="F96" s="3"/>
      <c r="G96" s="14" t="s">
        <v>60</v>
      </c>
      <c r="H96" s="19" t="s">
        <v>456</v>
      </c>
      <c r="I96" s="19" t="s">
        <v>457</v>
      </c>
      <c r="J96" s="6">
        <v>500</v>
      </c>
      <c r="K96" s="6">
        <v>500</v>
      </c>
      <c r="L96" s="6"/>
      <c r="M96" s="4">
        <v>550</v>
      </c>
      <c r="N96" s="4"/>
      <c r="O96" s="4"/>
      <c r="P96" s="4">
        <v>908002</v>
      </c>
      <c r="Q96" s="4"/>
      <c r="R96" s="4">
        <v>1</v>
      </c>
    </row>
    <row r="97" spans="1:18" hidden="1" x14ac:dyDescent="0.15">
      <c r="A97" s="18">
        <f t="shared" si="5"/>
        <v>95</v>
      </c>
      <c r="B97" s="5" t="s">
        <v>38</v>
      </c>
      <c r="C97" s="18" t="s">
        <v>41</v>
      </c>
      <c r="D97" s="18" t="s">
        <v>21</v>
      </c>
      <c r="E97" s="3" t="s">
        <v>50</v>
      </c>
      <c r="F97" s="3"/>
      <c r="G97" s="14" t="s">
        <v>59</v>
      </c>
      <c r="H97" s="19" t="s">
        <v>354</v>
      </c>
      <c r="I97" s="19" t="s">
        <v>355</v>
      </c>
      <c r="J97" s="6">
        <v>500</v>
      </c>
      <c r="K97" s="6">
        <v>550</v>
      </c>
      <c r="L97" s="6"/>
      <c r="M97" s="4">
        <v>450</v>
      </c>
      <c r="N97" s="4"/>
      <c r="O97" s="4"/>
      <c r="P97" s="4">
        <v>908002</v>
      </c>
      <c r="Q97" s="4"/>
      <c r="R97" s="4">
        <v>1</v>
      </c>
    </row>
    <row r="98" spans="1:18" hidden="1" x14ac:dyDescent="0.15">
      <c r="A98" s="18">
        <f t="shared" si="5"/>
        <v>96</v>
      </c>
      <c r="B98" s="5" t="s">
        <v>38</v>
      </c>
      <c r="C98" s="18" t="s">
        <v>41</v>
      </c>
      <c r="D98" s="18" t="s">
        <v>21</v>
      </c>
      <c r="E98" s="3" t="s">
        <v>50</v>
      </c>
      <c r="F98" s="3"/>
      <c r="G98" s="14" t="s">
        <v>61</v>
      </c>
      <c r="H98" s="19" t="s">
        <v>348</v>
      </c>
      <c r="I98" s="19" t="s">
        <v>349</v>
      </c>
      <c r="J98" s="6">
        <v>500</v>
      </c>
      <c r="K98" s="6">
        <v>550</v>
      </c>
      <c r="L98" s="6"/>
      <c r="M98" s="4">
        <v>500</v>
      </c>
      <c r="N98" s="4"/>
      <c r="O98" s="4"/>
      <c r="P98" s="4">
        <v>908002</v>
      </c>
      <c r="Q98" s="4"/>
      <c r="R98" s="4">
        <v>1</v>
      </c>
    </row>
    <row r="99" spans="1:18" hidden="1" x14ac:dyDescent="0.15">
      <c r="A99" s="18">
        <f t="shared" si="5"/>
        <v>97</v>
      </c>
      <c r="B99" s="5" t="s">
        <v>38</v>
      </c>
      <c r="C99" s="18" t="s">
        <v>41</v>
      </c>
      <c r="D99" s="18" t="s">
        <v>26</v>
      </c>
      <c r="E99" s="3" t="s">
        <v>50</v>
      </c>
      <c r="F99" s="3"/>
      <c r="G99" s="14" t="s">
        <v>62</v>
      </c>
      <c r="H99" s="19" t="s">
        <v>434</v>
      </c>
      <c r="I99" s="19" t="s">
        <v>435</v>
      </c>
      <c r="J99" s="6">
        <v>500</v>
      </c>
      <c r="K99" s="6">
        <v>550</v>
      </c>
      <c r="L99" s="6"/>
      <c r="M99" s="6">
        <v>550</v>
      </c>
      <c r="N99" s="4"/>
      <c r="O99" s="4"/>
      <c r="P99" s="4">
        <v>908002</v>
      </c>
      <c r="Q99" s="4"/>
      <c r="R99" s="4">
        <v>1</v>
      </c>
    </row>
    <row r="100" spans="1:18" hidden="1" x14ac:dyDescent="0.15">
      <c r="A100" s="18">
        <f t="shared" si="5"/>
        <v>98</v>
      </c>
      <c r="B100" s="5" t="s">
        <v>38</v>
      </c>
      <c r="C100" s="18" t="s">
        <v>41</v>
      </c>
      <c r="D100" s="18" t="s">
        <v>41</v>
      </c>
      <c r="E100" s="3" t="s">
        <v>50</v>
      </c>
      <c r="F100" s="3"/>
      <c r="G100" s="14" t="s">
        <v>63</v>
      </c>
      <c r="H100" s="19" t="s">
        <v>230</v>
      </c>
      <c r="I100" s="19" t="s">
        <v>231</v>
      </c>
      <c r="J100" s="6">
        <v>500</v>
      </c>
      <c r="K100" s="6">
        <v>550</v>
      </c>
      <c r="L100" s="6"/>
      <c r="M100" s="4">
        <v>600</v>
      </c>
      <c r="N100" s="4"/>
      <c r="O100" s="4"/>
      <c r="P100" s="4">
        <v>908002</v>
      </c>
      <c r="Q100" s="4"/>
      <c r="R100" s="4">
        <v>1</v>
      </c>
    </row>
    <row r="101" spans="1:18" hidden="1" x14ac:dyDescent="0.15">
      <c r="A101" s="18">
        <f t="shared" ref="A101:A114" si="6">ROW() -2</f>
        <v>99</v>
      </c>
      <c r="B101" s="5" t="s">
        <v>39</v>
      </c>
      <c r="C101" s="18" t="s">
        <v>21</v>
      </c>
      <c r="D101" s="18" t="s">
        <v>21</v>
      </c>
      <c r="E101" s="3" t="s">
        <v>48</v>
      </c>
      <c r="F101" s="3"/>
      <c r="G101" s="3" t="s">
        <v>45</v>
      </c>
      <c r="H101" s="19" t="s">
        <v>104</v>
      </c>
      <c r="I101" s="19" t="s">
        <v>105</v>
      </c>
      <c r="J101" s="6">
        <v>500</v>
      </c>
      <c r="K101" s="6">
        <v>10</v>
      </c>
      <c r="L101" s="6"/>
      <c r="M101" s="4">
        <v>50</v>
      </c>
      <c r="N101" s="4"/>
      <c r="O101" s="4"/>
      <c r="P101" s="4">
        <v>908002</v>
      </c>
      <c r="Q101" s="4"/>
      <c r="R101" s="4">
        <v>1</v>
      </c>
    </row>
    <row r="102" spans="1:18" hidden="1" x14ac:dyDescent="0.15">
      <c r="A102" s="18">
        <f t="shared" si="6"/>
        <v>100</v>
      </c>
      <c r="B102" s="5" t="s">
        <v>39</v>
      </c>
      <c r="C102" s="18" t="s">
        <v>21</v>
      </c>
      <c r="D102" s="18" t="s">
        <v>21</v>
      </c>
      <c r="E102" s="3" t="s">
        <v>49</v>
      </c>
      <c r="F102" s="3"/>
      <c r="G102" s="3" t="s">
        <v>42</v>
      </c>
      <c r="H102" s="19" t="s">
        <v>238</v>
      </c>
      <c r="I102" s="19" t="s">
        <v>239</v>
      </c>
      <c r="J102" s="6">
        <v>500</v>
      </c>
      <c r="K102" s="6">
        <v>10</v>
      </c>
      <c r="L102" s="6"/>
      <c r="M102" s="4">
        <v>10</v>
      </c>
      <c r="N102" s="4"/>
      <c r="O102" s="4"/>
      <c r="P102" s="4">
        <v>908002</v>
      </c>
      <c r="Q102" s="4"/>
      <c r="R102" s="4">
        <v>1</v>
      </c>
    </row>
    <row r="103" spans="1:18" hidden="1" x14ac:dyDescent="0.15">
      <c r="A103" s="18">
        <f t="shared" si="6"/>
        <v>101</v>
      </c>
      <c r="B103" s="5" t="s">
        <v>39</v>
      </c>
      <c r="C103" s="18" t="s">
        <v>21</v>
      </c>
      <c r="D103" s="18" t="s">
        <v>21</v>
      </c>
      <c r="E103" s="3" t="s">
        <v>50</v>
      </c>
      <c r="F103" s="3"/>
      <c r="G103" s="14" t="s">
        <v>64</v>
      </c>
      <c r="H103" s="19" t="s">
        <v>270</v>
      </c>
      <c r="I103" s="19" t="s">
        <v>271</v>
      </c>
      <c r="J103" s="6">
        <v>500</v>
      </c>
      <c r="K103" s="6">
        <v>10</v>
      </c>
      <c r="L103" s="6"/>
      <c r="M103" s="4">
        <v>400</v>
      </c>
      <c r="N103" s="4"/>
      <c r="O103" s="4"/>
      <c r="P103" s="4">
        <v>908002</v>
      </c>
      <c r="Q103" s="4"/>
      <c r="R103" s="4">
        <v>1</v>
      </c>
    </row>
    <row r="104" spans="1:18" hidden="1" x14ac:dyDescent="0.15">
      <c r="A104" s="18">
        <f t="shared" si="6"/>
        <v>102</v>
      </c>
      <c r="B104" s="5" t="s">
        <v>39</v>
      </c>
      <c r="C104" s="18" t="s">
        <v>21</v>
      </c>
      <c r="D104" s="18" t="s">
        <v>26</v>
      </c>
      <c r="E104" s="3" t="s">
        <v>50</v>
      </c>
      <c r="F104" s="3"/>
      <c r="G104" s="14" t="s">
        <v>65</v>
      </c>
      <c r="H104" s="19" t="s">
        <v>254</v>
      </c>
      <c r="I104" s="19" t="s">
        <v>255</v>
      </c>
      <c r="J104" s="6">
        <v>500</v>
      </c>
      <c r="K104" s="6">
        <v>10</v>
      </c>
      <c r="L104" s="6"/>
      <c r="M104" s="4">
        <v>450</v>
      </c>
      <c r="N104" s="4"/>
      <c r="O104" s="4"/>
      <c r="P104" s="4">
        <v>908002</v>
      </c>
      <c r="Q104" s="4"/>
      <c r="R104" s="4">
        <v>1</v>
      </c>
    </row>
    <row r="105" spans="1:18" hidden="1" x14ac:dyDescent="0.15">
      <c r="A105" s="18">
        <f t="shared" si="6"/>
        <v>103</v>
      </c>
      <c r="B105" s="5" t="s">
        <v>39</v>
      </c>
      <c r="C105" s="18" t="s">
        <v>21</v>
      </c>
      <c r="D105" s="2" t="s">
        <v>6</v>
      </c>
      <c r="E105" s="3" t="s">
        <v>50</v>
      </c>
      <c r="F105" s="3"/>
      <c r="G105" s="14" t="s">
        <v>66</v>
      </c>
      <c r="H105" s="19" t="s">
        <v>234</v>
      </c>
      <c r="I105" s="19" t="s">
        <v>235</v>
      </c>
      <c r="J105" s="6">
        <v>500</v>
      </c>
      <c r="K105" s="6">
        <v>20</v>
      </c>
      <c r="L105" s="6"/>
      <c r="M105" s="4">
        <v>450</v>
      </c>
      <c r="N105" s="4"/>
      <c r="O105" s="4"/>
      <c r="P105" s="4">
        <v>908002</v>
      </c>
      <c r="Q105" s="4"/>
      <c r="R105" s="4">
        <v>1</v>
      </c>
    </row>
    <row r="106" spans="1:18" hidden="1" x14ac:dyDescent="0.15">
      <c r="A106" s="18">
        <f t="shared" si="6"/>
        <v>104</v>
      </c>
      <c r="B106" s="5" t="s">
        <v>39</v>
      </c>
      <c r="C106" s="18" t="s">
        <v>21</v>
      </c>
      <c r="D106" s="2" t="s">
        <v>6</v>
      </c>
      <c r="E106" s="3" t="s">
        <v>50</v>
      </c>
      <c r="F106" s="3"/>
      <c r="G106" s="14" t="s">
        <v>67</v>
      </c>
      <c r="H106" s="19" t="s">
        <v>458</v>
      </c>
      <c r="I106" s="19" t="s">
        <v>459</v>
      </c>
      <c r="J106" s="6">
        <v>500</v>
      </c>
      <c r="K106" s="6">
        <v>10</v>
      </c>
      <c r="L106" s="6"/>
      <c r="M106" s="4">
        <v>500</v>
      </c>
      <c r="N106" s="4"/>
      <c r="O106" s="4"/>
      <c r="P106" s="4">
        <v>908002</v>
      </c>
      <c r="Q106" s="4"/>
      <c r="R106" s="4">
        <v>1</v>
      </c>
    </row>
    <row r="107" spans="1:18" hidden="1" x14ac:dyDescent="0.15">
      <c r="A107" s="18">
        <f t="shared" si="6"/>
        <v>105</v>
      </c>
      <c r="B107" s="5" t="s">
        <v>39</v>
      </c>
      <c r="C107" s="18" t="s">
        <v>21</v>
      </c>
      <c r="D107" s="2" t="s">
        <v>6</v>
      </c>
      <c r="E107" s="3" t="s">
        <v>50</v>
      </c>
      <c r="F107" s="3"/>
      <c r="G107" s="14" t="s">
        <v>68</v>
      </c>
      <c r="H107" s="19" t="s">
        <v>100</v>
      </c>
      <c r="I107" s="19" t="s">
        <v>101</v>
      </c>
      <c r="J107" s="6">
        <v>500</v>
      </c>
      <c r="K107" s="6">
        <v>10</v>
      </c>
      <c r="L107" s="6"/>
      <c r="M107" s="4">
        <v>550</v>
      </c>
      <c r="N107" s="4"/>
      <c r="O107" s="4"/>
      <c r="P107" s="4">
        <v>908002</v>
      </c>
      <c r="Q107" s="4"/>
      <c r="R107" s="4">
        <v>1</v>
      </c>
    </row>
    <row r="108" spans="1:18" hidden="1" x14ac:dyDescent="0.15">
      <c r="A108" s="18">
        <f t="shared" si="6"/>
        <v>106</v>
      </c>
      <c r="B108" s="5" t="s">
        <v>69</v>
      </c>
      <c r="C108" s="18" t="s">
        <v>21</v>
      </c>
      <c r="D108" s="18" t="s">
        <v>21</v>
      </c>
      <c r="E108" s="3" t="s">
        <v>48</v>
      </c>
      <c r="F108" s="3"/>
      <c r="G108" s="3" t="s">
        <v>45</v>
      </c>
      <c r="H108" s="19" t="s">
        <v>388</v>
      </c>
      <c r="I108" s="19" t="s">
        <v>389</v>
      </c>
      <c r="J108" s="6">
        <v>500</v>
      </c>
      <c r="K108" s="6">
        <v>50</v>
      </c>
      <c r="L108" s="6"/>
      <c r="M108" s="4">
        <v>50</v>
      </c>
      <c r="N108" s="4"/>
      <c r="O108" s="4"/>
      <c r="P108" s="4">
        <v>908002</v>
      </c>
      <c r="Q108" s="4"/>
      <c r="R108" s="4">
        <v>1</v>
      </c>
    </row>
    <row r="109" spans="1:18" hidden="1" x14ac:dyDescent="0.15">
      <c r="A109" s="18">
        <f t="shared" si="6"/>
        <v>107</v>
      </c>
      <c r="B109" s="5" t="s">
        <v>69</v>
      </c>
      <c r="C109" s="18" t="s">
        <v>21</v>
      </c>
      <c r="D109" s="18" t="s">
        <v>21</v>
      </c>
      <c r="E109" s="3" t="s">
        <v>49</v>
      </c>
      <c r="F109" s="3"/>
      <c r="G109" s="3" t="s">
        <v>42</v>
      </c>
      <c r="H109" s="19" t="s">
        <v>398</v>
      </c>
      <c r="I109" s="19" t="s">
        <v>399</v>
      </c>
      <c r="J109" s="6">
        <v>500</v>
      </c>
      <c r="K109" s="6">
        <v>50</v>
      </c>
      <c r="L109" s="6"/>
      <c r="M109" s="4">
        <v>10</v>
      </c>
      <c r="N109" s="4"/>
      <c r="O109" s="4"/>
      <c r="P109" s="4">
        <v>908002</v>
      </c>
      <c r="Q109" s="4"/>
      <c r="R109" s="4">
        <v>1</v>
      </c>
    </row>
    <row r="110" spans="1:18" hidden="1" x14ac:dyDescent="0.15">
      <c r="A110" s="18">
        <f t="shared" si="6"/>
        <v>108</v>
      </c>
      <c r="B110" s="5" t="s">
        <v>69</v>
      </c>
      <c r="C110" s="18" t="s">
        <v>21</v>
      </c>
      <c r="D110" s="18" t="s">
        <v>21</v>
      </c>
      <c r="E110" s="3" t="s">
        <v>50</v>
      </c>
      <c r="F110" s="3"/>
      <c r="G110" s="14" t="s">
        <v>64</v>
      </c>
      <c r="H110" s="19" t="s">
        <v>410</v>
      </c>
      <c r="I110" s="19" t="s">
        <v>411</v>
      </c>
      <c r="J110" s="6">
        <v>500</v>
      </c>
      <c r="K110" s="6">
        <v>50</v>
      </c>
      <c r="L110" s="6"/>
      <c r="M110" s="4">
        <v>400</v>
      </c>
      <c r="N110" s="4"/>
      <c r="O110" s="4"/>
      <c r="P110" s="4">
        <v>908002</v>
      </c>
      <c r="Q110" s="4"/>
      <c r="R110" s="4">
        <v>1</v>
      </c>
    </row>
    <row r="111" spans="1:18" hidden="1" x14ac:dyDescent="0.15">
      <c r="A111" s="18">
        <f t="shared" si="6"/>
        <v>109</v>
      </c>
      <c r="B111" s="5" t="s">
        <v>69</v>
      </c>
      <c r="C111" s="18" t="s">
        <v>21</v>
      </c>
      <c r="D111" s="18" t="s">
        <v>26</v>
      </c>
      <c r="E111" s="3" t="s">
        <v>50</v>
      </c>
      <c r="F111" s="3"/>
      <c r="G111" s="14" t="s">
        <v>65</v>
      </c>
      <c r="H111" s="19" t="s">
        <v>422</v>
      </c>
      <c r="I111" s="19" t="s">
        <v>423</v>
      </c>
      <c r="J111" s="6">
        <v>500</v>
      </c>
      <c r="K111" s="6">
        <v>50</v>
      </c>
      <c r="L111" s="6"/>
      <c r="M111" s="4">
        <v>450</v>
      </c>
      <c r="N111" s="4"/>
      <c r="O111" s="4"/>
      <c r="P111" s="4">
        <v>908002</v>
      </c>
      <c r="Q111" s="4"/>
      <c r="R111" s="4">
        <v>1</v>
      </c>
    </row>
    <row r="112" spans="1:18" hidden="1" x14ac:dyDescent="0.15">
      <c r="A112" s="18">
        <f t="shared" si="6"/>
        <v>110</v>
      </c>
      <c r="B112" s="5" t="s">
        <v>69</v>
      </c>
      <c r="C112" s="18" t="s">
        <v>21</v>
      </c>
      <c r="D112" s="2" t="s">
        <v>6</v>
      </c>
      <c r="E112" s="3" t="s">
        <v>50</v>
      </c>
      <c r="F112" s="3"/>
      <c r="G112" s="14" t="s">
        <v>66</v>
      </c>
      <c r="H112" s="19" t="s">
        <v>396</v>
      </c>
      <c r="I112" s="19" t="s">
        <v>397</v>
      </c>
      <c r="J112" s="6">
        <v>500</v>
      </c>
      <c r="K112" s="6">
        <v>100</v>
      </c>
      <c r="L112" s="6"/>
      <c r="M112" s="4">
        <v>450</v>
      </c>
      <c r="N112" s="4"/>
      <c r="O112" s="4"/>
      <c r="P112" s="4">
        <v>908002</v>
      </c>
      <c r="Q112" s="4"/>
      <c r="R112" s="4">
        <v>1</v>
      </c>
    </row>
    <row r="113" spans="1:18" hidden="1" x14ac:dyDescent="0.15">
      <c r="A113" s="18">
        <f t="shared" si="6"/>
        <v>111</v>
      </c>
      <c r="B113" s="5" t="s">
        <v>69</v>
      </c>
      <c r="C113" s="18" t="s">
        <v>21</v>
      </c>
      <c r="D113" s="2" t="s">
        <v>6</v>
      </c>
      <c r="E113" s="3" t="s">
        <v>50</v>
      </c>
      <c r="F113" s="3"/>
      <c r="G113" s="14" t="s">
        <v>67</v>
      </c>
      <c r="H113" s="19" t="s">
        <v>400</v>
      </c>
      <c r="I113" s="19" t="s">
        <v>401</v>
      </c>
      <c r="J113" s="6">
        <v>500</v>
      </c>
      <c r="K113" s="6">
        <v>50</v>
      </c>
      <c r="L113" s="6"/>
      <c r="M113" s="4">
        <v>500</v>
      </c>
      <c r="N113" s="4"/>
      <c r="O113" s="4"/>
      <c r="P113" s="4">
        <v>908002</v>
      </c>
      <c r="Q113" s="4"/>
      <c r="R113" s="4">
        <v>1</v>
      </c>
    </row>
    <row r="114" spans="1:18" hidden="1" x14ac:dyDescent="0.15">
      <c r="A114" s="18">
        <f t="shared" si="6"/>
        <v>112</v>
      </c>
      <c r="B114" s="5" t="s">
        <v>69</v>
      </c>
      <c r="C114" s="18" t="s">
        <v>21</v>
      </c>
      <c r="D114" s="2" t="s">
        <v>6</v>
      </c>
      <c r="E114" s="3" t="s">
        <v>50</v>
      </c>
      <c r="F114" s="3"/>
      <c r="G114" s="14" t="s">
        <v>68</v>
      </c>
      <c r="H114" s="19" t="s">
        <v>418</v>
      </c>
      <c r="I114" s="19" t="s">
        <v>419</v>
      </c>
      <c r="J114" s="6">
        <v>500</v>
      </c>
      <c r="K114" s="6">
        <v>50</v>
      </c>
      <c r="L114" s="6"/>
      <c r="M114" s="4">
        <v>550</v>
      </c>
      <c r="N114" s="4"/>
      <c r="O114" s="4"/>
      <c r="P114" s="4">
        <v>908002</v>
      </c>
      <c r="Q114" s="4"/>
      <c r="R114" s="4">
        <v>1</v>
      </c>
    </row>
    <row r="115" spans="1:18" hidden="1" x14ac:dyDescent="0.15">
      <c r="A115" s="18">
        <f t="shared" ref="A115:A174" si="7">ROW() -2</f>
        <v>113</v>
      </c>
      <c r="B115" s="5" t="s">
        <v>37</v>
      </c>
      <c r="C115" s="18" t="s">
        <v>21</v>
      </c>
      <c r="D115" s="18" t="s">
        <v>21</v>
      </c>
      <c r="E115" s="3" t="s">
        <v>73</v>
      </c>
      <c r="F115" s="3"/>
      <c r="G115" s="15" t="s">
        <v>72</v>
      </c>
      <c r="H115" s="19" t="s">
        <v>394</v>
      </c>
      <c r="I115" s="19" t="s">
        <v>395</v>
      </c>
      <c r="J115" s="6">
        <v>500</v>
      </c>
      <c r="K115" s="6">
        <v>450</v>
      </c>
      <c r="L115" s="6"/>
      <c r="M115" s="4"/>
      <c r="N115" s="4">
        <v>50</v>
      </c>
      <c r="O115" s="4"/>
      <c r="P115" s="4">
        <v>908001</v>
      </c>
      <c r="Q115" s="4"/>
      <c r="R115" s="4">
        <v>0</v>
      </c>
    </row>
    <row r="116" spans="1:18" hidden="1" x14ac:dyDescent="0.15">
      <c r="A116" s="18">
        <f t="shared" si="7"/>
        <v>114</v>
      </c>
      <c r="B116" s="5" t="s">
        <v>37</v>
      </c>
      <c r="C116" s="18" t="s">
        <v>26</v>
      </c>
      <c r="D116" s="18" t="s">
        <v>21</v>
      </c>
      <c r="E116" s="3" t="s">
        <v>73</v>
      </c>
      <c r="F116" s="3"/>
      <c r="G116" s="15" t="s">
        <v>70</v>
      </c>
      <c r="H116" s="19" t="s">
        <v>332</v>
      </c>
      <c r="I116" s="19" t="s">
        <v>333</v>
      </c>
      <c r="J116" s="6">
        <v>500</v>
      </c>
      <c r="K116" s="6">
        <v>500</v>
      </c>
      <c r="L116" s="6"/>
      <c r="M116" s="4"/>
      <c r="N116" s="4">
        <v>50</v>
      </c>
      <c r="O116" s="4"/>
      <c r="P116" s="4">
        <v>908001</v>
      </c>
      <c r="Q116" s="4"/>
      <c r="R116" s="4">
        <v>0</v>
      </c>
    </row>
    <row r="117" spans="1:18" hidden="1" x14ac:dyDescent="0.15">
      <c r="A117" s="18">
        <f t="shared" si="7"/>
        <v>115</v>
      </c>
      <c r="B117" s="5" t="s">
        <v>37</v>
      </c>
      <c r="C117" s="2" t="s">
        <v>6</v>
      </c>
      <c r="D117" s="18" t="s">
        <v>21</v>
      </c>
      <c r="E117" s="3" t="s">
        <v>73</v>
      </c>
      <c r="F117" s="3"/>
      <c r="G117" s="15" t="s">
        <v>71</v>
      </c>
      <c r="H117" s="19" t="s">
        <v>408</v>
      </c>
      <c r="I117" s="19" t="s">
        <v>409</v>
      </c>
      <c r="J117" s="6">
        <v>500</v>
      </c>
      <c r="K117" s="6">
        <v>550</v>
      </c>
      <c r="L117" s="6"/>
      <c r="M117" s="4"/>
      <c r="N117" s="4">
        <v>50</v>
      </c>
      <c r="O117" s="4"/>
      <c r="P117" s="4">
        <v>908001</v>
      </c>
      <c r="Q117" s="4"/>
      <c r="R117" s="4">
        <v>0</v>
      </c>
    </row>
    <row r="118" spans="1:18" hidden="1" x14ac:dyDescent="0.15">
      <c r="A118" s="18">
        <f t="shared" si="7"/>
        <v>116</v>
      </c>
      <c r="B118" s="5" t="s">
        <v>35</v>
      </c>
      <c r="C118" s="18" t="s">
        <v>21</v>
      </c>
      <c r="D118" s="18" t="s">
        <v>21</v>
      </c>
      <c r="E118" s="3" t="s">
        <v>73</v>
      </c>
      <c r="F118" s="3"/>
      <c r="G118" s="15" t="s">
        <v>72</v>
      </c>
      <c r="H118" s="19" t="s">
        <v>352</v>
      </c>
      <c r="I118" s="19" t="s">
        <v>353</v>
      </c>
      <c r="J118" s="6">
        <v>500</v>
      </c>
      <c r="K118" s="6">
        <v>10</v>
      </c>
      <c r="L118" s="6"/>
      <c r="M118" s="4"/>
      <c r="N118" s="4">
        <v>50</v>
      </c>
      <c r="O118" s="4"/>
      <c r="P118" s="4">
        <v>908001</v>
      </c>
      <c r="Q118" s="4"/>
      <c r="R118" s="4">
        <v>0</v>
      </c>
    </row>
    <row r="119" spans="1:18" hidden="1" x14ac:dyDescent="0.15">
      <c r="A119" s="18">
        <f t="shared" si="7"/>
        <v>117</v>
      </c>
      <c r="B119" s="5" t="s">
        <v>36</v>
      </c>
      <c r="C119" s="18" t="s">
        <v>21</v>
      </c>
      <c r="D119" s="18" t="s">
        <v>21</v>
      </c>
      <c r="E119" s="3" t="s">
        <v>73</v>
      </c>
      <c r="F119" s="3"/>
      <c r="G119" s="15" t="s">
        <v>72</v>
      </c>
      <c r="H119" s="19" t="s">
        <v>414</v>
      </c>
      <c r="I119" s="19" t="s">
        <v>415</v>
      </c>
      <c r="J119" s="6">
        <v>500</v>
      </c>
      <c r="K119" s="6">
        <v>50</v>
      </c>
      <c r="L119" s="6"/>
      <c r="M119" s="4"/>
      <c r="N119" s="4">
        <v>50</v>
      </c>
      <c r="O119" s="4"/>
      <c r="P119" s="4">
        <v>908001</v>
      </c>
      <c r="Q119" s="4"/>
      <c r="R119" s="4">
        <v>0</v>
      </c>
    </row>
    <row r="120" spans="1:18" hidden="1" x14ac:dyDescent="0.15">
      <c r="A120" s="18">
        <f t="shared" si="7"/>
        <v>118</v>
      </c>
      <c r="B120" s="5" t="s">
        <v>38</v>
      </c>
      <c r="C120" s="18" t="s">
        <v>21</v>
      </c>
      <c r="D120" s="18" t="s">
        <v>21</v>
      </c>
      <c r="E120" s="3" t="s">
        <v>73</v>
      </c>
      <c r="F120" s="3"/>
      <c r="G120" s="15" t="s">
        <v>72</v>
      </c>
      <c r="H120" s="19" t="s">
        <v>392</v>
      </c>
      <c r="I120" s="19" t="s">
        <v>393</v>
      </c>
      <c r="J120" s="6">
        <v>500</v>
      </c>
      <c r="K120" s="6">
        <v>450</v>
      </c>
      <c r="L120" s="6"/>
      <c r="M120" s="4"/>
      <c r="N120" s="4">
        <v>50</v>
      </c>
      <c r="O120" s="4"/>
      <c r="P120" s="4">
        <v>908002</v>
      </c>
      <c r="Q120" s="4"/>
      <c r="R120" s="4">
        <v>0</v>
      </c>
    </row>
    <row r="121" spans="1:18" hidden="1" x14ac:dyDescent="0.15">
      <c r="A121" s="18">
        <f t="shared" si="7"/>
        <v>119</v>
      </c>
      <c r="B121" s="5" t="s">
        <v>38</v>
      </c>
      <c r="C121" s="18" t="s">
        <v>26</v>
      </c>
      <c r="D121" s="18" t="s">
        <v>21</v>
      </c>
      <c r="E121" s="3" t="s">
        <v>73</v>
      </c>
      <c r="F121" s="3"/>
      <c r="G121" s="15" t="s">
        <v>70</v>
      </c>
      <c r="H121" s="19" t="s">
        <v>378</v>
      </c>
      <c r="I121" s="19" t="s">
        <v>379</v>
      </c>
      <c r="J121" s="6">
        <v>500</v>
      </c>
      <c r="K121" s="6">
        <v>500</v>
      </c>
      <c r="L121" s="6"/>
      <c r="M121" s="4"/>
      <c r="N121" s="4">
        <v>50</v>
      </c>
      <c r="O121" s="4"/>
      <c r="P121" s="4">
        <v>908002</v>
      </c>
      <c r="Q121" s="4"/>
      <c r="R121" s="4">
        <v>0</v>
      </c>
    </row>
    <row r="122" spans="1:18" hidden="1" x14ac:dyDescent="0.15">
      <c r="A122" s="18">
        <f t="shared" si="7"/>
        <v>120</v>
      </c>
      <c r="B122" s="5" t="s">
        <v>38</v>
      </c>
      <c r="C122" s="2" t="s">
        <v>6</v>
      </c>
      <c r="D122" s="18" t="s">
        <v>21</v>
      </c>
      <c r="E122" s="3" t="s">
        <v>73</v>
      </c>
      <c r="F122" s="3"/>
      <c r="G122" s="15" t="s">
        <v>71</v>
      </c>
      <c r="H122" s="19" t="s">
        <v>416</v>
      </c>
      <c r="I122" s="19" t="s">
        <v>417</v>
      </c>
      <c r="J122" s="6">
        <v>500</v>
      </c>
      <c r="K122" s="6">
        <v>550</v>
      </c>
      <c r="L122" s="6"/>
      <c r="M122" s="4"/>
      <c r="N122" s="4">
        <v>50</v>
      </c>
      <c r="O122" s="4"/>
      <c r="P122" s="4">
        <v>908002</v>
      </c>
      <c r="Q122" s="4"/>
      <c r="R122" s="4">
        <v>0</v>
      </c>
    </row>
    <row r="123" spans="1:18" hidden="1" x14ac:dyDescent="0.15">
      <c r="A123" s="18">
        <f t="shared" si="7"/>
        <v>121</v>
      </c>
      <c r="B123" s="5" t="s">
        <v>39</v>
      </c>
      <c r="C123" s="18" t="s">
        <v>21</v>
      </c>
      <c r="D123" s="18" t="s">
        <v>21</v>
      </c>
      <c r="E123" s="3" t="s">
        <v>73</v>
      </c>
      <c r="F123" s="3"/>
      <c r="G123" s="15" t="s">
        <v>72</v>
      </c>
      <c r="H123" s="19" t="s">
        <v>390</v>
      </c>
      <c r="I123" s="19" t="s">
        <v>391</v>
      </c>
      <c r="J123" s="6">
        <v>500</v>
      </c>
      <c r="K123" s="6">
        <v>10</v>
      </c>
      <c r="L123" s="6"/>
      <c r="M123" s="4"/>
      <c r="N123" s="4">
        <v>50</v>
      </c>
      <c r="O123" s="4"/>
      <c r="P123" s="4">
        <v>908002</v>
      </c>
      <c r="Q123" s="4"/>
      <c r="R123" s="4">
        <v>0</v>
      </c>
    </row>
    <row r="124" spans="1:18" hidden="1" x14ac:dyDescent="0.15">
      <c r="A124" s="18">
        <f t="shared" si="7"/>
        <v>122</v>
      </c>
      <c r="B124" s="5" t="s">
        <v>69</v>
      </c>
      <c r="C124" s="18" t="s">
        <v>21</v>
      </c>
      <c r="D124" s="18" t="s">
        <v>21</v>
      </c>
      <c r="E124" s="3" t="s">
        <v>73</v>
      </c>
      <c r="F124" s="3"/>
      <c r="G124" s="15" t="s">
        <v>72</v>
      </c>
      <c r="H124" s="19" t="s">
        <v>424</v>
      </c>
      <c r="I124" s="19" t="s">
        <v>425</v>
      </c>
      <c r="J124" s="6">
        <v>500</v>
      </c>
      <c r="K124" s="6">
        <v>50</v>
      </c>
      <c r="L124" s="6"/>
      <c r="M124" s="4"/>
      <c r="N124" s="4">
        <v>50</v>
      </c>
      <c r="O124" s="4"/>
      <c r="P124" s="4">
        <v>908002</v>
      </c>
      <c r="Q124" s="4"/>
      <c r="R124" s="4">
        <v>0</v>
      </c>
    </row>
    <row r="125" spans="1:18" hidden="1" x14ac:dyDescent="0.15">
      <c r="A125" s="18">
        <f t="shared" si="7"/>
        <v>123</v>
      </c>
      <c r="B125" s="5" t="s">
        <v>37</v>
      </c>
      <c r="C125" s="18" t="s">
        <v>21</v>
      </c>
      <c r="D125" s="18" t="s">
        <v>21</v>
      </c>
      <c r="E125" s="3" t="s">
        <v>74</v>
      </c>
      <c r="F125" s="3"/>
      <c r="G125" s="15" t="s">
        <v>75</v>
      </c>
      <c r="H125" s="19" t="s">
        <v>438</v>
      </c>
      <c r="I125" s="19" t="s">
        <v>439</v>
      </c>
      <c r="J125" s="6">
        <v>500</v>
      </c>
      <c r="K125" s="6">
        <v>450</v>
      </c>
      <c r="L125" s="6"/>
      <c r="M125" s="4"/>
      <c r="N125" s="4">
        <v>10</v>
      </c>
      <c r="O125" s="4"/>
      <c r="P125" s="4">
        <v>908001</v>
      </c>
      <c r="Q125" s="4"/>
      <c r="R125" s="4">
        <v>0</v>
      </c>
    </row>
    <row r="126" spans="1:18" hidden="1" x14ac:dyDescent="0.15">
      <c r="A126" s="18">
        <f t="shared" si="7"/>
        <v>124</v>
      </c>
      <c r="B126" s="5" t="s">
        <v>37</v>
      </c>
      <c r="C126" s="18" t="s">
        <v>26</v>
      </c>
      <c r="D126" s="18" t="s">
        <v>21</v>
      </c>
      <c r="E126" s="3" t="s">
        <v>74</v>
      </c>
      <c r="F126" s="3"/>
      <c r="G126" s="15" t="s">
        <v>76</v>
      </c>
      <c r="H126" s="19" t="s">
        <v>446</v>
      </c>
      <c r="I126" s="19" t="s">
        <v>447</v>
      </c>
      <c r="J126" s="6">
        <v>500</v>
      </c>
      <c r="K126" s="6">
        <v>500</v>
      </c>
      <c r="L126" s="6"/>
      <c r="M126" s="4"/>
      <c r="N126" s="4">
        <v>10</v>
      </c>
      <c r="O126" s="4"/>
      <c r="P126" s="4">
        <v>908001</v>
      </c>
      <c r="Q126" s="4"/>
      <c r="R126" s="4">
        <v>0</v>
      </c>
    </row>
    <row r="127" spans="1:18" hidden="1" x14ac:dyDescent="0.15">
      <c r="A127" s="18">
        <f t="shared" si="7"/>
        <v>125</v>
      </c>
      <c r="B127" s="5" t="s">
        <v>37</v>
      </c>
      <c r="C127" s="2" t="s">
        <v>6</v>
      </c>
      <c r="D127" s="18" t="s">
        <v>21</v>
      </c>
      <c r="E127" s="3" t="s">
        <v>74</v>
      </c>
      <c r="F127" s="3"/>
      <c r="G127" s="15" t="s">
        <v>77</v>
      </c>
      <c r="H127" s="19" t="s">
        <v>444</v>
      </c>
      <c r="I127" s="19" t="s">
        <v>445</v>
      </c>
      <c r="J127" s="6">
        <v>500</v>
      </c>
      <c r="K127" s="6">
        <v>550</v>
      </c>
      <c r="L127" s="6"/>
      <c r="M127" s="4"/>
      <c r="N127" s="4">
        <v>10</v>
      </c>
      <c r="O127" s="4"/>
      <c r="P127" s="4">
        <v>908001</v>
      </c>
      <c r="Q127" s="4"/>
      <c r="R127" s="4">
        <v>0</v>
      </c>
    </row>
    <row r="128" spans="1:18" hidden="1" x14ac:dyDescent="0.15">
      <c r="A128" s="18">
        <f t="shared" si="7"/>
        <v>126</v>
      </c>
      <c r="B128" s="5" t="s">
        <v>35</v>
      </c>
      <c r="C128" s="18" t="s">
        <v>21</v>
      </c>
      <c r="D128" s="18" t="s">
        <v>21</v>
      </c>
      <c r="E128" s="3" t="s">
        <v>74</v>
      </c>
      <c r="F128" s="3"/>
      <c r="G128" s="15" t="s">
        <v>75</v>
      </c>
      <c r="H128" s="19" t="s">
        <v>362</v>
      </c>
      <c r="I128" s="19" t="s">
        <v>363</v>
      </c>
      <c r="J128" s="6">
        <v>500</v>
      </c>
      <c r="K128" s="6">
        <v>10</v>
      </c>
      <c r="L128" s="6"/>
      <c r="M128" s="4"/>
      <c r="N128" s="4">
        <v>10</v>
      </c>
      <c r="O128" s="4"/>
      <c r="P128" s="4">
        <v>908001</v>
      </c>
      <c r="Q128" s="4"/>
      <c r="R128" s="4">
        <v>0</v>
      </c>
    </row>
    <row r="129" spans="1:18" hidden="1" x14ac:dyDescent="0.15">
      <c r="A129" s="18">
        <f t="shared" si="7"/>
        <v>127</v>
      </c>
      <c r="B129" s="5" t="s">
        <v>36</v>
      </c>
      <c r="C129" s="18" t="s">
        <v>21</v>
      </c>
      <c r="D129" s="18" t="s">
        <v>21</v>
      </c>
      <c r="E129" s="3" t="s">
        <v>74</v>
      </c>
      <c r="F129" s="3"/>
      <c r="G129" s="15" t="s">
        <v>75</v>
      </c>
      <c r="H129" s="19" t="s">
        <v>336</v>
      </c>
      <c r="I129" s="19" t="s">
        <v>337</v>
      </c>
      <c r="J129" s="6">
        <v>500</v>
      </c>
      <c r="K129" s="6">
        <v>50</v>
      </c>
      <c r="L129" s="6"/>
      <c r="M129" s="4"/>
      <c r="N129" s="4">
        <v>10</v>
      </c>
      <c r="O129" s="4"/>
      <c r="P129" s="4">
        <v>908001</v>
      </c>
      <c r="Q129" s="4"/>
      <c r="R129" s="4">
        <v>0</v>
      </c>
    </row>
    <row r="130" spans="1:18" hidden="1" x14ac:dyDescent="0.15">
      <c r="A130" s="18">
        <f t="shared" si="7"/>
        <v>128</v>
      </c>
      <c r="B130" s="5" t="s">
        <v>38</v>
      </c>
      <c r="C130" s="18" t="s">
        <v>21</v>
      </c>
      <c r="D130" s="18" t="s">
        <v>21</v>
      </c>
      <c r="E130" s="3" t="s">
        <v>74</v>
      </c>
      <c r="F130" s="3"/>
      <c r="G130" s="15" t="s">
        <v>75</v>
      </c>
      <c r="H130" s="19" t="s">
        <v>368</v>
      </c>
      <c r="I130" s="19" t="s">
        <v>369</v>
      </c>
      <c r="J130" s="6">
        <v>500</v>
      </c>
      <c r="K130" s="6">
        <v>450</v>
      </c>
      <c r="L130" s="6"/>
      <c r="M130" s="4"/>
      <c r="N130" s="4">
        <v>10</v>
      </c>
      <c r="O130" s="4"/>
      <c r="P130" s="4">
        <v>908002</v>
      </c>
      <c r="Q130" s="4"/>
      <c r="R130" s="4">
        <v>0</v>
      </c>
    </row>
    <row r="131" spans="1:18" hidden="1" x14ac:dyDescent="0.15">
      <c r="A131" s="18">
        <f t="shared" si="7"/>
        <v>129</v>
      </c>
      <c r="B131" s="5" t="s">
        <v>38</v>
      </c>
      <c r="C131" s="18" t="s">
        <v>26</v>
      </c>
      <c r="D131" s="18" t="s">
        <v>21</v>
      </c>
      <c r="E131" s="3" t="s">
        <v>74</v>
      </c>
      <c r="F131" s="3"/>
      <c r="G131" s="15" t="s">
        <v>76</v>
      </c>
      <c r="H131" s="19" t="s">
        <v>420</v>
      </c>
      <c r="I131" s="19" t="s">
        <v>421</v>
      </c>
      <c r="J131" s="6">
        <v>500</v>
      </c>
      <c r="K131" s="6">
        <v>500</v>
      </c>
      <c r="L131" s="6"/>
      <c r="M131" s="4"/>
      <c r="N131" s="4">
        <v>10</v>
      </c>
      <c r="O131" s="4"/>
      <c r="P131" s="4">
        <v>908002</v>
      </c>
      <c r="Q131" s="4"/>
      <c r="R131" s="4">
        <v>0</v>
      </c>
    </row>
    <row r="132" spans="1:18" hidden="1" x14ac:dyDescent="0.15">
      <c r="A132" s="18">
        <f t="shared" si="7"/>
        <v>130</v>
      </c>
      <c r="B132" s="5" t="s">
        <v>38</v>
      </c>
      <c r="C132" s="2" t="s">
        <v>6</v>
      </c>
      <c r="D132" s="18" t="s">
        <v>21</v>
      </c>
      <c r="E132" s="3" t="s">
        <v>74</v>
      </c>
      <c r="F132" s="3"/>
      <c r="G132" s="15" t="s">
        <v>77</v>
      </c>
      <c r="H132" s="19" t="s">
        <v>126</v>
      </c>
      <c r="I132" s="19" t="s">
        <v>127</v>
      </c>
      <c r="J132" s="6">
        <v>500</v>
      </c>
      <c r="K132" s="6">
        <v>550</v>
      </c>
      <c r="L132" s="6"/>
      <c r="M132" s="4"/>
      <c r="N132" s="4">
        <v>10</v>
      </c>
      <c r="O132" s="4"/>
      <c r="P132" s="4">
        <v>908002</v>
      </c>
      <c r="Q132" s="4"/>
      <c r="R132" s="4">
        <v>0</v>
      </c>
    </row>
    <row r="133" spans="1:18" hidden="1" x14ac:dyDescent="0.15">
      <c r="A133" s="18">
        <f t="shared" si="7"/>
        <v>131</v>
      </c>
      <c r="B133" s="5" t="s">
        <v>39</v>
      </c>
      <c r="C133" s="18" t="s">
        <v>21</v>
      </c>
      <c r="D133" s="18" t="s">
        <v>21</v>
      </c>
      <c r="E133" s="3" t="s">
        <v>74</v>
      </c>
      <c r="F133" s="3"/>
      <c r="G133" s="15" t="s">
        <v>75</v>
      </c>
      <c r="H133" s="19" t="s">
        <v>120</v>
      </c>
      <c r="I133" s="19" t="s">
        <v>121</v>
      </c>
      <c r="J133" s="6">
        <v>500</v>
      </c>
      <c r="K133" s="6">
        <v>10</v>
      </c>
      <c r="L133" s="6"/>
      <c r="M133" s="4"/>
      <c r="N133" s="4">
        <v>10</v>
      </c>
      <c r="O133" s="4"/>
      <c r="P133" s="4">
        <v>908002</v>
      </c>
      <c r="Q133" s="4"/>
      <c r="R133" s="4">
        <v>0</v>
      </c>
    </row>
    <row r="134" spans="1:18" hidden="1" x14ac:dyDescent="0.15">
      <c r="A134" s="18">
        <f t="shared" si="7"/>
        <v>132</v>
      </c>
      <c r="B134" s="5" t="s">
        <v>69</v>
      </c>
      <c r="C134" s="18" t="s">
        <v>21</v>
      </c>
      <c r="D134" s="18" t="s">
        <v>21</v>
      </c>
      <c r="E134" s="3" t="s">
        <v>74</v>
      </c>
      <c r="F134" s="3"/>
      <c r="G134" s="15" t="s">
        <v>75</v>
      </c>
      <c r="H134" s="19" t="s">
        <v>124</v>
      </c>
      <c r="I134" s="19" t="s">
        <v>125</v>
      </c>
      <c r="J134" s="6">
        <v>500</v>
      </c>
      <c r="K134" s="6">
        <v>50</v>
      </c>
      <c r="L134" s="6"/>
      <c r="M134" s="4"/>
      <c r="N134" s="4">
        <v>10</v>
      </c>
      <c r="O134" s="4"/>
      <c r="P134" s="4">
        <v>908002</v>
      </c>
      <c r="Q134" s="4"/>
      <c r="R134" s="4">
        <v>0</v>
      </c>
    </row>
    <row r="135" spans="1:18" hidden="1" x14ac:dyDescent="0.15">
      <c r="A135" s="18">
        <f t="shared" si="7"/>
        <v>133</v>
      </c>
      <c r="B135" s="5" t="s">
        <v>37</v>
      </c>
      <c r="C135" s="18" t="s">
        <v>21</v>
      </c>
      <c r="D135" s="18" t="s">
        <v>21</v>
      </c>
      <c r="E135" s="3" t="s">
        <v>82</v>
      </c>
      <c r="F135" s="4">
        <v>50</v>
      </c>
      <c r="G135" s="15" t="s">
        <v>83</v>
      </c>
      <c r="H135" s="19" t="s">
        <v>264</v>
      </c>
      <c r="I135" s="19" t="s">
        <v>265</v>
      </c>
      <c r="J135" s="6">
        <v>500</v>
      </c>
      <c r="K135" s="6">
        <v>450</v>
      </c>
      <c r="L135" s="6"/>
      <c r="M135" s="4"/>
      <c r="N135" s="4">
        <v>50</v>
      </c>
      <c r="O135" s="4"/>
      <c r="P135" s="4">
        <v>908001</v>
      </c>
      <c r="Q135" s="4"/>
      <c r="R135" s="4">
        <v>0</v>
      </c>
    </row>
    <row r="136" spans="1:18" hidden="1" x14ac:dyDescent="0.15">
      <c r="A136" s="18">
        <f t="shared" si="7"/>
        <v>134</v>
      </c>
      <c r="B136" s="5" t="s">
        <v>37</v>
      </c>
      <c r="C136" s="18" t="s">
        <v>26</v>
      </c>
      <c r="D136" s="18" t="s">
        <v>21</v>
      </c>
      <c r="E136" s="3" t="s">
        <v>82</v>
      </c>
      <c r="F136" s="4">
        <v>50</v>
      </c>
      <c r="G136" s="15" t="s">
        <v>84</v>
      </c>
      <c r="H136" s="19" t="s">
        <v>296</v>
      </c>
      <c r="I136" s="19" t="s">
        <v>297</v>
      </c>
      <c r="J136" s="6">
        <v>500</v>
      </c>
      <c r="K136" s="6">
        <v>500</v>
      </c>
      <c r="L136" s="6"/>
      <c r="M136" s="4"/>
      <c r="N136" s="4">
        <v>50</v>
      </c>
      <c r="O136" s="4"/>
      <c r="P136" s="4">
        <v>908001</v>
      </c>
      <c r="Q136" s="4"/>
      <c r="R136" s="4">
        <v>0</v>
      </c>
    </row>
    <row r="137" spans="1:18" hidden="1" x14ac:dyDescent="0.15">
      <c r="A137" s="18">
        <f t="shared" si="7"/>
        <v>135</v>
      </c>
      <c r="B137" s="5" t="s">
        <v>37</v>
      </c>
      <c r="C137" s="2" t="s">
        <v>6</v>
      </c>
      <c r="D137" s="18" t="s">
        <v>21</v>
      </c>
      <c r="E137" s="3" t="s">
        <v>82</v>
      </c>
      <c r="F137" s="4">
        <v>50</v>
      </c>
      <c r="G137" s="15" t="s">
        <v>85</v>
      </c>
      <c r="H137" s="19" t="s">
        <v>278</v>
      </c>
      <c r="I137" s="19" t="s">
        <v>279</v>
      </c>
      <c r="J137" s="6">
        <v>500</v>
      </c>
      <c r="K137" s="6">
        <v>550</v>
      </c>
      <c r="L137" s="6"/>
      <c r="M137" s="4"/>
      <c r="N137" s="4">
        <v>50</v>
      </c>
      <c r="O137" s="4"/>
      <c r="P137" s="4">
        <v>908001</v>
      </c>
      <c r="Q137" s="4"/>
      <c r="R137" s="4">
        <v>0</v>
      </c>
    </row>
    <row r="138" spans="1:18" hidden="1" x14ac:dyDescent="0.15">
      <c r="A138" s="18">
        <f t="shared" si="7"/>
        <v>136</v>
      </c>
      <c r="B138" s="5" t="s">
        <v>35</v>
      </c>
      <c r="C138" s="18" t="s">
        <v>21</v>
      </c>
      <c r="D138" s="18" t="s">
        <v>21</v>
      </c>
      <c r="E138" s="3" t="s">
        <v>82</v>
      </c>
      <c r="F138" s="4">
        <v>50</v>
      </c>
      <c r="G138" s="15" t="s">
        <v>83</v>
      </c>
      <c r="H138" s="19" t="s">
        <v>250</v>
      </c>
      <c r="I138" s="19" t="s">
        <v>251</v>
      </c>
      <c r="J138" s="6">
        <v>500</v>
      </c>
      <c r="K138" s="6">
        <v>10</v>
      </c>
      <c r="L138" s="6"/>
      <c r="M138" s="4"/>
      <c r="N138" s="4">
        <v>50</v>
      </c>
      <c r="O138" s="4"/>
      <c r="P138" s="4">
        <v>908001</v>
      </c>
      <c r="Q138" s="4"/>
      <c r="R138" s="4">
        <v>0</v>
      </c>
    </row>
    <row r="139" spans="1:18" hidden="1" x14ac:dyDescent="0.15">
      <c r="A139" s="18">
        <f t="shared" si="7"/>
        <v>137</v>
      </c>
      <c r="B139" s="5" t="s">
        <v>36</v>
      </c>
      <c r="C139" s="18" t="s">
        <v>21</v>
      </c>
      <c r="D139" s="18" t="s">
        <v>21</v>
      </c>
      <c r="E139" s="3" t="s">
        <v>82</v>
      </c>
      <c r="F139" s="4">
        <v>50</v>
      </c>
      <c r="G139" s="15" t="s">
        <v>83</v>
      </c>
      <c r="H139" s="19" t="s">
        <v>252</v>
      </c>
      <c r="I139" s="19" t="s">
        <v>253</v>
      </c>
      <c r="J139" s="6">
        <v>500</v>
      </c>
      <c r="K139" s="6">
        <v>50</v>
      </c>
      <c r="L139" s="6"/>
      <c r="M139" s="4"/>
      <c r="N139" s="4">
        <v>50</v>
      </c>
      <c r="O139" s="4"/>
      <c r="P139" s="4">
        <v>908001</v>
      </c>
      <c r="Q139" s="4"/>
      <c r="R139" s="4">
        <v>0</v>
      </c>
    </row>
    <row r="140" spans="1:18" hidden="1" x14ac:dyDescent="0.15">
      <c r="A140" s="18">
        <f t="shared" si="7"/>
        <v>138</v>
      </c>
      <c r="B140" s="5" t="s">
        <v>38</v>
      </c>
      <c r="C140" s="18" t="s">
        <v>21</v>
      </c>
      <c r="D140" s="18" t="s">
        <v>21</v>
      </c>
      <c r="E140" s="3" t="s">
        <v>82</v>
      </c>
      <c r="F140" s="4">
        <v>50</v>
      </c>
      <c r="G140" s="15" t="s">
        <v>83</v>
      </c>
      <c r="H140" s="19" t="s">
        <v>300</v>
      </c>
      <c r="I140" s="19" t="s">
        <v>301</v>
      </c>
      <c r="J140" s="6">
        <v>500</v>
      </c>
      <c r="K140" s="6">
        <v>450</v>
      </c>
      <c r="L140" s="6"/>
      <c r="M140" s="4"/>
      <c r="N140" s="4">
        <v>50</v>
      </c>
      <c r="O140" s="4"/>
      <c r="P140" s="4">
        <v>908002</v>
      </c>
      <c r="Q140" s="4"/>
      <c r="R140" s="4">
        <v>0</v>
      </c>
    </row>
    <row r="141" spans="1:18" hidden="1" x14ac:dyDescent="0.15">
      <c r="A141" s="18">
        <f t="shared" si="7"/>
        <v>139</v>
      </c>
      <c r="B141" s="5" t="s">
        <v>38</v>
      </c>
      <c r="C141" s="18" t="s">
        <v>26</v>
      </c>
      <c r="D141" s="18" t="s">
        <v>21</v>
      </c>
      <c r="E141" s="3" t="s">
        <v>82</v>
      </c>
      <c r="F141" s="4">
        <v>50</v>
      </c>
      <c r="G141" s="15" t="s">
        <v>84</v>
      </c>
      <c r="H141" s="19" t="s">
        <v>260</v>
      </c>
      <c r="I141" s="19" t="s">
        <v>261</v>
      </c>
      <c r="J141" s="6">
        <v>500</v>
      </c>
      <c r="K141" s="6">
        <v>500</v>
      </c>
      <c r="L141" s="6"/>
      <c r="M141" s="4"/>
      <c r="N141" s="4">
        <v>50</v>
      </c>
      <c r="O141" s="4"/>
      <c r="P141" s="4">
        <v>908002</v>
      </c>
      <c r="Q141" s="4"/>
      <c r="R141" s="4">
        <v>0</v>
      </c>
    </row>
    <row r="142" spans="1:18" hidden="1" x14ac:dyDescent="0.15">
      <c r="A142" s="18">
        <f t="shared" si="7"/>
        <v>140</v>
      </c>
      <c r="B142" s="5" t="s">
        <v>38</v>
      </c>
      <c r="C142" s="2" t="s">
        <v>6</v>
      </c>
      <c r="D142" s="18" t="s">
        <v>21</v>
      </c>
      <c r="E142" s="3" t="s">
        <v>82</v>
      </c>
      <c r="F142" s="4">
        <v>50</v>
      </c>
      <c r="G142" s="15" t="s">
        <v>85</v>
      </c>
      <c r="H142" s="19" t="s">
        <v>268</v>
      </c>
      <c r="I142" s="19" t="s">
        <v>269</v>
      </c>
      <c r="J142" s="6">
        <v>500</v>
      </c>
      <c r="K142" s="6">
        <v>550</v>
      </c>
      <c r="L142" s="6"/>
      <c r="M142" s="4"/>
      <c r="N142" s="4">
        <v>50</v>
      </c>
      <c r="O142" s="4"/>
      <c r="P142" s="4">
        <v>908002</v>
      </c>
      <c r="Q142" s="4"/>
      <c r="R142" s="4">
        <v>0</v>
      </c>
    </row>
    <row r="143" spans="1:18" hidden="1" x14ac:dyDescent="0.15">
      <c r="A143" s="18">
        <f t="shared" si="7"/>
        <v>141</v>
      </c>
      <c r="B143" s="5" t="s">
        <v>39</v>
      </c>
      <c r="C143" s="18" t="s">
        <v>21</v>
      </c>
      <c r="D143" s="18" t="s">
        <v>21</v>
      </c>
      <c r="E143" s="3" t="s">
        <v>82</v>
      </c>
      <c r="F143" s="4">
        <v>50</v>
      </c>
      <c r="G143" s="15" t="s">
        <v>83</v>
      </c>
      <c r="H143" s="19" t="s">
        <v>236</v>
      </c>
      <c r="I143" s="19" t="s">
        <v>237</v>
      </c>
      <c r="J143" s="6">
        <v>500</v>
      </c>
      <c r="K143" s="6">
        <v>10</v>
      </c>
      <c r="L143" s="6"/>
      <c r="M143" s="4"/>
      <c r="N143" s="4">
        <v>50</v>
      </c>
      <c r="O143" s="4"/>
      <c r="P143" s="4">
        <v>908002</v>
      </c>
      <c r="Q143" s="4"/>
      <c r="R143" s="4">
        <v>0</v>
      </c>
    </row>
    <row r="144" spans="1:18" hidden="1" x14ac:dyDescent="0.15">
      <c r="A144" s="18">
        <f t="shared" si="7"/>
        <v>142</v>
      </c>
      <c r="B144" s="5" t="s">
        <v>69</v>
      </c>
      <c r="C144" s="18" t="s">
        <v>21</v>
      </c>
      <c r="D144" s="18" t="s">
        <v>21</v>
      </c>
      <c r="E144" s="3" t="s">
        <v>82</v>
      </c>
      <c r="F144" s="4">
        <v>50</v>
      </c>
      <c r="G144" s="15" t="s">
        <v>83</v>
      </c>
      <c r="H144" s="19" t="s">
        <v>272</v>
      </c>
      <c r="I144" s="19" t="s">
        <v>273</v>
      </c>
      <c r="J144" s="6">
        <v>500</v>
      </c>
      <c r="K144" s="6">
        <v>50</v>
      </c>
      <c r="L144" s="6"/>
      <c r="M144" s="4"/>
      <c r="N144" s="4">
        <v>50</v>
      </c>
      <c r="O144" s="4"/>
      <c r="P144" s="4">
        <v>908002</v>
      </c>
      <c r="Q144" s="4"/>
      <c r="R144" s="4">
        <v>0</v>
      </c>
    </row>
    <row r="145" spans="1:18" hidden="1" x14ac:dyDescent="0.15">
      <c r="A145" s="18">
        <f t="shared" si="7"/>
        <v>143</v>
      </c>
      <c r="B145" s="5" t="s">
        <v>37</v>
      </c>
      <c r="C145" s="18" t="s">
        <v>21</v>
      </c>
      <c r="D145" s="18" t="s">
        <v>21</v>
      </c>
      <c r="E145" s="3" t="s">
        <v>86</v>
      </c>
      <c r="F145" s="17">
        <v>10</v>
      </c>
      <c r="G145" s="15" t="s">
        <v>87</v>
      </c>
      <c r="H145" s="19" t="s">
        <v>320</v>
      </c>
      <c r="I145" s="19" t="s">
        <v>321</v>
      </c>
      <c r="J145" s="6">
        <v>500</v>
      </c>
      <c r="K145" s="6">
        <v>450</v>
      </c>
      <c r="L145" s="6"/>
      <c r="M145" s="4"/>
      <c r="N145" s="4"/>
      <c r="O145" s="4"/>
      <c r="P145" s="4">
        <v>908001</v>
      </c>
      <c r="Q145" s="4"/>
      <c r="R145" s="4">
        <v>0</v>
      </c>
    </row>
    <row r="146" spans="1:18" hidden="1" x14ac:dyDescent="0.15">
      <c r="A146" s="18">
        <f t="shared" si="7"/>
        <v>144</v>
      </c>
      <c r="B146" s="5" t="s">
        <v>37</v>
      </c>
      <c r="C146" s="18" t="s">
        <v>26</v>
      </c>
      <c r="D146" s="18" t="s">
        <v>21</v>
      </c>
      <c r="E146" s="3" t="s">
        <v>86</v>
      </c>
      <c r="F146" s="17">
        <v>10</v>
      </c>
      <c r="G146" s="15" t="s">
        <v>88</v>
      </c>
      <c r="H146" s="19" t="s">
        <v>316</v>
      </c>
      <c r="I146" s="19" t="s">
        <v>317</v>
      </c>
      <c r="J146" s="6">
        <v>500</v>
      </c>
      <c r="K146" s="6">
        <v>500</v>
      </c>
      <c r="L146" s="6"/>
      <c r="M146" s="4"/>
      <c r="N146" s="4"/>
      <c r="O146" s="4"/>
      <c r="P146" s="4">
        <v>908001</v>
      </c>
      <c r="Q146" s="4"/>
      <c r="R146" s="4">
        <v>0</v>
      </c>
    </row>
    <row r="147" spans="1:18" hidden="1" x14ac:dyDescent="0.15">
      <c r="A147" s="18">
        <f t="shared" si="7"/>
        <v>145</v>
      </c>
      <c r="B147" s="5" t="s">
        <v>37</v>
      </c>
      <c r="C147" s="2" t="s">
        <v>6</v>
      </c>
      <c r="D147" s="18" t="s">
        <v>21</v>
      </c>
      <c r="E147" s="3" t="s">
        <v>86</v>
      </c>
      <c r="F147" s="17">
        <v>10</v>
      </c>
      <c r="G147" s="15" t="s">
        <v>89</v>
      </c>
      <c r="H147" s="19" t="s">
        <v>224</v>
      </c>
      <c r="I147" s="19" t="s">
        <v>225</v>
      </c>
      <c r="J147" s="6">
        <v>500</v>
      </c>
      <c r="K147" s="6">
        <v>550</v>
      </c>
      <c r="L147" s="6"/>
      <c r="M147" s="4"/>
      <c r="N147" s="4"/>
      <c r="O147" s="4"/>
      <c r="P147" s="4">
        <v>908001</v>
      </c>
      <c r="Q147" s="4"/>
      <c r="R147" s="4">
        <v>0</v>
      </c>
    </row>
    <row r="148" spans="1:18" hidden="1" x14ac:dyDescent="0.15">
      <c r="A148" s="18">
        <f t="shared" si="7"/>
        <v>146</v>
      </c>
      <c r="B148" s="5" t="s">
        <v>35</v>
      </c>
      <c r="C148" s="18" t="s">
        <v>21</v>
      </c>
      <c r="D148" s="18" t="s">
        <v>21</v>
      </c>
      <c r="E148" s="3" t="s">
        <v>86</v>
      </c>
      <c r="F148" s="17">
        <v>10</v>
      </c>
      <c r="G148" s="15" t="s">
        <v>87</v>
      </c>
      <c r="H148" s="19" t="s">
        <v>350</v>
      </c>
      <c r="I148" s="19" t="s">
        <v>351</v>
      </c>
      <c r="J148" s="6">
        <v>500</v>
      </c>
      <c r="K148" s="6">
        <v>10</v>
      </c>
      <c r="L148" s="6"/>
      <c r="M148" s="4"/>
      <c r="N148" s="4"/>
      <c r="O148" s="4"/>
      <c r="P148" s="4">
        <v>908001</v>
      </c>
      <c r="Q148" s="4"/>
      <c r="R148" s="4">
        <v>0</v>
      </c>
    </row>
    <row r="149" spans="1:18" hidden="1" x14ac:dyDescent="0.15">
      <c r="A149" s="18">
        <f t="shared" si="7"/>
        <v>147</v>
      </c>
      <c r="B149" s="5" t="s">
        <v>36</v>
      </c>
      <c r="C149" s="18" t="s">
        <v>21</v>
      </c>
      <c r="D149" s="18" t="s">
        <v>21</v>
      </c>
      <c r="E149" s="3" t="s">
        <v>86</v>
      </c>
      <c r="F149" s="17">
        <v>10</v>
      </c>
      <c r="G149" s="15" t="s">
        <v>87</v>
      </c>
      <c r="H149" s="19" t="s">
        <v>358</v>
      </c>
      <c r="I149" s="19" t="s">
        <v>359</v>
      </c>
      <c r="J149" s="6">
        <v>500</v>
      </c>
      <c r="K149" s="6">
        <v>50</v>
      </c>
      <c r="L149" s="6"/>
      <c r="M149" s="4"/>
      <c r="N149" s="4"/>
      <c r="O149" s="4"/>
      <c r="P149" s="4">
        <v>908001</v>
      </c>
      <c r="Q149" s="4"/>
      <c r="R149" s="4">
        <v>0</v>
      </c>
    </row>
    <row r="150" spans="1:18" hidden="1" x14ac:dyDescent="0.15">
      <c r="A150" s="18">
        <f t="shared" si="7"/>
        <v>148</v>
      </c>
      <c r="B150" s="5" t="s">
        <v>38</v>
      </c>
      <c r="C150" s="18" t="s">
        <v>21</v>
      </c>
      <c r="D150" s="18" t="s">
        <v>21</v>
      </c>
      <c r="E150" s="3" t="s">
        <v>86</v>
      </c>
      <c r="F150" s="17">
        <v>10</v>
      </c>
      <c r="G150" s="15" t="s">
        <v>87</v>
      </c>
      <c r="H150" s="19" t="s">
        <v>356</v>
      </c>
      <c r="I150" s="19" t="s">
        <v>357</v>
      </c>
      <c r="J150" s="6">
        <v>500</v>
      </c>
      <c r="K150" s="6">
        <v>450</v>
      </c>
      <c r="L150" s="6"/>
      <c r="M150" s="4"/>
      <c r="N150" s="4"/>
      <c r="O150" s="4"/>
      <c r="P150" s="4">
        <v>908002</v>
      </c>
      <c r="Q150" s="4"/>
      <c r="R150" s="4">
        <v>0</v>
      </c>
    </row>
    <row r="151" spans="1:18" hidden="1" x14ac:dyDescent="0.15">
      <c r="A151" s="18">
        <f t="shared" si="7"/>
        <v>149</v>
      </c>
      <c r="B151" s="5" t="s">
        <v>38</v>
      </c>
      <c r="C151" s="18" t="s">
        <v>26</v>
      </c>
      <c r="D151" s="18" t="s">
        <v>21</v>
      </c>
      <c r="E151" s="3" t="s">
        <v>86</v>
      </c>
      <c r="F151" s="17">
        <v>10</v>
      </c>
      <c r="G151" s="15" t="s">
        <v>88</v>
      </c>
      <c r="H151" s="19" t="s">
        <v>380</v>
      </c>
      <c r="I151" s="19" t="s">
        <v>381</v>
      </c>
      <c r="J151" s="6">
        <v>500</v>
      </c>
      <c r="K151" s="6">
        <v>500</v>
      </c>
      <c r="L151" s="6"/>
      <c r="M151" s="4"/>
      <c r="N151" s="4"/>
      <c r="O151" s="4"/>
      <c r="P151" s="4">
        <v>908002</v>
      </c>
      <c r="Q151" s="4"/>
      <c r="R151" s="4">
        <v>0</v>
      </c>
    </row>
    <row r="152" spans="1:18" hidden="1" x14ac:dyDescent="0.15">
      <c r="A152" s="18">
        <f t="shared" si="7"/>
        <v>150</v>
      </c>
      <c r="B152" s="5" t="s">
        <v>38</v>
      </c>
      <c r="C152" s="2" t="s">
        <v>6</v>
      </c>
      <c r="D152" s="18" t="s">
        <v>21</v>
      </c>
      <c r="E152" s="3" t="s">
        <v>86</v>
      </c>
      <c r="F152" s="17">
        <v>10</v>
      </c>
      <c r="G152" s="15" t="s">
        <v>89</v>
      </c>
      <c r="H152" s="19" t="s">
        <v>382</v>
      </c>
      <c r="I152" s="19" t="s">
        <v>383</v>
      </c>
      <c r="J152" s="6">
        <v>500</v>
      </c>
      <c r="K152" s="6">
        <v>550</v>
      </c>
      <c r="L152" s="6"/>
      <c r="M152" s="4"/>
      <c r="N152" s="4"/>
      <c r="O152" s="4"/>
      <c r="P152" s="4">
        <v>908002</v>
      </c>
      <c r="Q152" s="4"/>
      <c r="R152" s="4">
        <v>0</v>
      </c>
    </row>
    <row r="153" spans="1:18" hidden="1" x14ac:dyDescent="0.15">
      <c r="A153" s="18">
        <f t="shared" si="7"/>
        <v>151</v>
      </c>
      <c r="B153" s="5" t="s">
        <v>39</v>
      </c>
      <c r="C153" s="18" t="s">
        <v>21</v>
      </c>
      <c r="D153" s="18" t="s">
        <v>21</v>
      </c>
      <c r="E153" s="3" t="s">
        <v>86</v>
      </c>
      <c r="F153" s="17">
        <v>10</v>
      </c>
      <c r="G153" s="15" t="s">
        <v>87</v>
      </c>
      <c r="H153" s="19" t="s">
        <v>330</v>
      </c>
      <c r="I153" s="19" t="s">
        <v>331</v>
      </c>
      <c r="J153" s="6">
        <v>500</v>
      </c>
      <c r="K153" s="6">
        <v>10</v>
      </c>
      <c r="L153" s="6"/>
      <c r="M153" s="4"/>
      <c r="N153" s="4"/>
      <c r="O153" s="4"/>
      <c r="P153" s="4">
        <v>908002</v>
      </c>
      <c r="Q153" s="4"/>
      <c r="R153" s="4">
        <v>0</v>
      </c>
    </row>
    <row r="154" spans="1:18" hidden="1" x14ac:dyDescent="0.15">
      <c r="A154" s="18">
        <f t="shared" si="7"/>
        <v>152</v>
      </c>
      <c r="B154" s="5" t="s">
        <v>69</v>
      </c>
      <c r="C154" s="18" t="s">
        <v>21</v>
      </c>
      <c r="D154" s="18" t="s">
        <v>21</v>
      </c>
      <c r="E154" s="3" t="s">
        <v>86</v>
      </c>
      <c r="F154" s="17">
        <v>10</v>
      </c>
      <c r="G154" s="15" t="s">
        <v>87</v>
      </c>
      <c r="H154" s="19" t="s">
        <v>338</v>
      </c>
      <c r="I154" s="19" t="s">
        <v>339</v>
      </c>
      <c r="J154" s="6">
        <v>500</v>
      </c>
      <c r="K154" s="6">
        <v>50</v>
      </c>
      <c r="L154" s="6"/>
      <c r="M154" s="4"/>
      <c r="N154" s="4"/>
      <c r="O154" s="4"/>
      <c r="P154" s="4">
        <v>908002</v>
      </c>
      <c r="Q154" s="4"/>
      <c r="R154" s="4">
        <v>0</v>
      </c>
    </row>
    <row r="155" spans="1:18" hidden="1" x14ac:dyDescent="0.15">
      <c r="A155" s="18">
        <f t="shared" si="7"/>
        <v>153</v>
      </c>
      <c r="B155" s="5" t="s">
        <v>37</v>
      </c>
      <c r="C155" s="18" t="s">
        <v>21</v>
      </c>
      <c r="D155" s="18" t="s">
        <v>21</v>
      </c>
      <c r="E155" s="3" t="s">
        <v>78</v>
      </c>
      <c r="F155" s="3"/>
      <c r="G155" s="15" t="s">
        <v>79</v>
      </c>
      <c r="H155" s="19" t="s">
        <v>430</v>
      </c>
      <c r="I155" s="19" t="s">
        <v>431</v>
      </c>
      <c r="J155" s="6">
        <v>500</v>
      </c>
      <c r="K155" s="6">
        <v>450</v>
      </c>
      <c r="L155" s="6"/>
      <c r="M155" s="4"/>
      <c r="N155" s="4"/>
      <c r="O155" s="4">
        <v>10</v>
      </c>
      <c r="P155" s="4">
        <v>908001</v>
      </c>
      <c r="Q155" s="4"/>
      <c r="R155" s="4">
        <v>0</v>
      </c>
    </row>
    <row r="156" spans="1:18" hidden="1" x14ac:dyDescent="0.15">
      <c r="A156" s="18">
        <f t="shared" si="7"/>
        <v>154</v>
      </c>
      <c r="B156" s="5" t="s">
        <v>37</v>
      </c>
      <c r="C156" s="18" t="s">
        <v>26</v>
      </c>
      <c r="D156" s="18" t="s">
        <v>21</v>
      </c>
      <c r="E156" s="3" t="s">
        <v>78</v>
      </c>
      <c r="F156" s="3"/>
      <c r="G156" s="15" t="s">
        <v>80</v>
      </c>
      <c r="H156" s="19" t="s">
        <v>432</v>
      </c>
      <c r="I156" s="19" t="s">
        <v>433</v>
      </c>
      <c r="J156" s="6">
        <v>500</v>
      </c>
      <c r="K156" s="6">
        <v>500</v>
      </c>
      <c r="L156" s="6"/>
      <c r="M156" s="4"/>
      <c r="N156" s="4"/>
      <c r="O156" s="4">
        <v>10</v>
      </c>
      <c r="P156" s="4">
        <v>908001</v>
      </c>
      <c r="Q156" s="4"/>
      <c r="R156" s="4">
        <v>0</v>
      </c>
    </row>
    <row r="157" spans="1:18" hidden="1" x14ac:dyDescent="0.15">
      <c r="A157" s="18">
        <f t="shared" si="7"/>
        <v>155</v>
      </c>
      <c r="B157" s="5" t="s">
        <v>37</v>
      </c>
      <c r="C157" s="2" t="s">
        <v>6</v>
      </c>
      <c r="D157" s="18" t="s">
        <v>21</v>
      </c>
      <c r="E157" s="3" t="s">
        <v>78</v>
      </c>
      <c r="F157" s="3"/>
      <c r="G157" s="15" t="s">
        <v>81</v>
      </c>
      <c r="H157" s="19" t="s">
        <v>366</v>
      </c>
      <c r="I157" s="19" t="s">
        <v>367</v>
      </c>
      <c r="J157" s="6">
        <v>500</v>
      </c>
      <c r="K157" s="6">
        <v>550</v>
      </c>
      <c r="L157" s="6"/>
      <c r="M157" s="4"/>
      <c r="N157" s="4"/>
      <c r="O157" s="4">
        <v>10</v>
      </c>
      <c r="P157" s="4">
        <v>908001</v>
      </c>
      <c r="Q157" s="4"/>
      <c r="R157" s="4">
        <v>0</v>
      </c>
    </row>
    <row r="158" spans="1:18" hidden="1" x14ac:dyDescent="0.15">
      <c r="A158" s="18">
        <f t="shared" si="7"/>
        <v>156</v>
      </c>
      <c r="B158" s="5" t="s">
        <v>35</v>
      </c>
      <c r="C158" s="18" t="s">
        <v>21</v>
      </c>
      <c r="D158" s="18" t="s">
        <v>21</v>
      </c>
      <c r="E158" s="3" t="s">
        <v>78</v>
      </c>
      <c r="F158" s="3"/>
      <c r="G158" s="15" t="s">
        <v>79</v>
      </c>
      <c r="H158" s="19" t="s">
        <v>342</v>
      </c>
      <c r="I158" s="19" t="s">
        <v>343</v>
      </c>
      <c r="J158" s="6">
        <v>500</v>
      </c>
      <c r="K158" s="6">
        <v>10</v>
      </c>
      <c r="L158" s="6"/>
      <c r="M158" s="4"/>
      <c r="N158" s="4"/>
      <c r="O158" s="4">
        <v>10</v>
      </c>
      <c r="P158" s="4">
        <v>908001</v>
      </c>
      <c r="Q158" s="4"/>
      <c r="R158" s="4">
        <v>0</v>
      </c>
    </row>
    <row r="159" spans="1:18" hidden="1" x14ac:dyDescent="0.15">
      <c r="A159" s="18">
        <f t="shared" si="7"/>
        <v>157</v>
      </c>
      <c r="B159" s="5" t="s">
        <v>36</v>
      </c>
      <c r="C159" s="18" t="s">
        <v>21</v>
      </c>
      <c r="D159" s="18" t="s">
        <v>21</v>
      </c>
      <c r="E159" s="3" t="s">
        <v>78</v>
      </c>
      <c r="F159" s="3"/>
      <c r="G159" s="15" t="s">
        <v>79</v>
      </c>
      <c r="H159" s="19" t="s">
        <v>402</v>
      </c>
      <c r="I159" s="19" t="s">
        <v>403</v>
      </c>
      <c r="J159" s="6">
        <v>500</v>
      </c>
      <c r="K159" s="6">
        <v>50</v>
      </c>
      <c r="L159" s="6"/>
      <c r="M159" s="4"/>
      <c r="N159" s="4"/>
      <c r="O159" s="4">
        <v>10</v>
      </c>
      <c r="P159" s="4">
        <v>908001</v>
      </c>
      <c r="Q159" s="4"/>
      <c r="R159" s="4">
        <v>0</v>
      </c>
    </row>
    <row r="160" spans="1:18" hidden="1" x14ac:dyDescent="0.15">
      <c r="A160" s="18">
        <f t="shared" si="7"/>
        <v>158</v>
      </c>
      <c r="B160" s="5" t="s">
        <v>38</v>
      </c>
      <c r="C160" s="18" t="s">
        <v>21</v>
      </c>
      <c r="D160" s="18" t="s">
        <v>21</v>
      </c>
      <c r="E160" s="3" t="s">
        <v>78</v>
      </c>
      <c r="F160" s="3"/>
      <c r="G160" s="15" t="s">
        <v>79</v>
      </c>
      <c r="H160" s="19" t="s">
        <v>360</v>
      </c>
      <c r="I160" s="19" t="s">
        <v>361</v>
      </c>
      <c r="J160" s="6">
        <v>500</v>
      </c>
      <c r="K160" s="6">
        <v>450</v>
      </c>
      <c r="L160" s="6"/>
      <c r="M160" s="4"/>
      <c r="N160" s="4"/>
      <c r="O160" s="4">
        <v>10</v>
      </c>
      <c r="P160" s="4">
        <v>908002</v>
      </c>
      <c r="Q160" s="4"/>
      <c r="R160" s="4">
        <v>0</v>
      </c>
    </row>
    <row r="161" spans="1:18" hidden="1" x14ac:dyDescent="0.15">
      <c r="A161" s="18">
        <f t="shared" si="7"/>
        <v>159</v>
      </c>
      <c r="B161" s="5" t="s">
        <v>38</v>
      </c>
      <c r="C161" s="18" t="s">
        <v>26</v>
      </c>
      <c r="D161" s="18" t="s">
        <v>21</v>
      </c>
      <c r="E161" s="3" t="s">
        <v>78</v>
      </c>
      <c r="F161" s="3"/>
      <c r="G161" s="15" t="s">
        <v>80</v>
      </c>
      <c r="H161" s="19" t="s">
        <v>112</v>
      </c>
      <c r="I161" s="19" t="s">
        <v>113</v>
      </c>
      <c r="J161" s="6">
        <v>500</v>
      </c>
      <c r="K161" s="6">
        <v>500</v>
      </c>
      <c r="L161" s="6"/>
      <c r="M161" s="4"/>
      <c r="N161" s="4"/>
      <c r="O161" s="4">
        <v>10</v>
      </c>
      <c r="P161" s="4">
        <v>908002</v>
      </c>
      <c r="Q161" s="4"/>
      <c r="R161" s="4">
        <v>0</v>
      </c>
    </row>
    <row r="162" spans="1:18" hidden="1" x14ac:dyDescent="0.15">
      <c r="A162" s="18">
        <f t="shared" si="7"/>
        <v>160</v>
      </c>
      <c r="B162" s="5" t="s">
        <v>38</v>
      </c>
      <c r="C162" s="2" t="s">
        <v>6</v>
      </c>
      <c r="D162" s="18" t="s">
        <v>21</v>
      </c>
      <c r="E162" s="3" t="s">
        <v>78</v>
      </c>
      <c r="F162" s="3"/>
      <c r="G162" s="15" t="s">
        <v>81</v>
      </c>
      <c r="H162" s="19" t="s">
        <v>426</v>
      </c>
      <c r="I162" s="19" t="s">
        <v>427</v>
      </c>
      <c r="J162" s="6">
        <v>500</v>
      </c>
      <c r="K162" s="6">
        <v>550</v>
      </c>
      <c r="L162" s="6"/>
      <c r="M162" s="4"/>
      <c r="N162" s="4"/>
      <c r="O162" s="4">
        <v>10</v>
      </c>
      <c r="P162" s="4">
        <v>908002</v>
      </c>
      <c r="Q162" s="4"/>
      <c r="R162" s="4">
        <v>0</v>
      </c>
    </row>
    <row r="163" spans="1:18" hidden="1" x14ac:dyDescent="0.15">
      <c r="A163" s="18">
        <f t="shared" si="7"/>
        <v>161</v>
      </c>
      <c r="B163" s="5" t="s">
        <v>39</v>
      </c>
      <c r="C163" s="18" t="s">
        <v>21</v>
      </c>
      <c r="D163" s="18" t="s">
        <v>21</v>
      </c>
      <c r="E163" s="3" t="s">
        <v>78</v>
      </c>
      <c r="F163" s="3"/>
      <c r="G163" s="15" t="s">
        <v>79</v>
      </c>
      <c r="H163" s="19" t="s">
        <v>262</v>
      </c>
      <c r="I163" s="19" t="s">
        <v>263</v>
      </c>
      <c r="J163" s="6">
        <v>500</v>
      </c>
      <c r="K163" s="6">
        <v>10</v>
      </c>
      <c r="L163" s="6"/>
      <c r="M163" s="4"/>
      <c r="N163" s="4"/>
      <c r="O163" s="4">
        <v>10</v>
      </c>
      <c r="P163" s="4">
        <v>908002</v>
      </c>
      <c r="Q163" s="4"/>
      <c r="R163" s="4">
        <v>0</v>
      </c>
    </row>
    <row r="164" spans="1:18" hidden="1" x14ac:dyDescent="0.15">
      <c r="A164" s="18">
        <f t="shared" si="7"/>
        <v>162</v>
      </c>
      <c r="B164" s="5" t="s">
        <v>69</v>
      </c>
      <c r="C164" s="18" t="s">
        <v>21</v>
      </c>
      <c r="D164" s="18" t="s">
        <v>21</v>
      </c>
      <c r="E164" s="3" t="s">
        <v>78</v>
      </c>
      <c r="F164" s="3"/>
      <c r="G164" s="15" t="s">
        <v>79</v>
      </c>
      <c r="H164" s="19" t="s">
        <v>248</v>
      </c>
      <c r="I164" s="19" t="s">
        <v>249</v>
      </c>
      <c r="J164" s="6">
        <v>500</v>
      </c>
      <c r="K164" s="6">
        <v>50</v>
      </c>
      <c r="L164" s="6"/>
      <c r="M164" s="4"/>
      <c r="N164" s="4"/>
      <c r="O164" s="4">
        <v>10</v>
      </c>
      <c r="P164" s="4">
        <v>908002</v>
      </c>
      <c r="Q164" s="4"/>
      <c r="R164" s="4">
        <v>0</v>
      </c>
    </row>
    <row r="165" spans="1:18" hidden="1" x14ac:dyDescent="0.15">
      <c r="A165" s="18">
        <f t="shared" si="7"/>
        <v>163</v>
      </c>
      <c r="B165" s="5" t="s">
        <v>37</v>
      </c>
      <c r="C165" s="18" t="s">
        <v>21</v>
      </c>
      <c r="D165" s="18" t="s">
        <v>21</v>
      </c>
      <c r="E165" s="3" t="s">
        <v>90</v>
      </c>
      <c r="F165" s="3"/>
      <c r="G165" s="15" t="s">
        <v>91</v>
      </c>
      <c r="H165" s="19" t="s">
        <v>274</v>
      </c>
      <c r="I165" s="19" t="s">
        <v>275</v>
      </c>
      <c r="J165" s="6">
        <v>500</v>
      </c>
      <c r="K165" s="6">
        <v>450</v>
      </c>
      <c r="L165" s="6"/>
      <c r="M165" s="4"/>
      <c r="N165" s="4"/>
      <c r="O165" s="4">
        <v>10</v>
      </c>
      <c r="P165" s="4">
        <v>908001</v>
      </c>
      <c r="Q165" s="4"/>
      <c r="R165" s="4">
        <v>0</v>
      </c>
    </row>
    <row r="166" spans="1:18" hidden="1" x14ac:dyDescent="0.15">
      <c r="A166" s="18">
        <f t="shared" si="7"/>
        <v>164</v>
      </c>
      <c r="B166" s="5" t="s">
        <v>37</v>
      </c>
      <c r="C166" s="18" t="s">
        <v>26</v>
      </c>
      <c r="D166" s="18" t="s">
        <v>21</v>
      </c>
      <c r="E166" s="3" t="s">
        <v>90</v>
      </c>
      <c r="F166" s="3"/>
      <c r="G166" s="15" t="s">
        <v>92</v>
      </c>
      <c r="H166" s="19" t="s">
        <v>428</v>
      </c>
      <c r="I166" s="19" t="s">
        <v>429</v>
      </c>
      <c r="J166" s="6">
        <v>500</v>
      </c>
      <c r="K166" s="6">
        <v>500</v>
      </c>
      <c r="L166" s="6"/>
      <c r="M166" s="4"/>
      <c r="N166" s="4"/>
      <c r="O166" s="4">
        <v>10</v>
      </c>
      <c r="P166" s="4">
        <v>908001</v>
      </c>
      <c r="Q166" s="4"/>
      <c r="R166" s="4">
        <v>0</v>
      </c>
    </row>
    <row r="167" spans="1:18" hidden="1" x14ac:dyDescent="0.15">
      <c r="A167" s="18">
        <f t="shared" si="7"/>
        <v>165</v>
      </c>
      <c r="B167" s="5" t="s">
        <v>37</v>
      </c>
      <c r="C167" s="2" t="s">
        <v>6</v>
      </c>
      <c r="D167" s="18" t="s">
        <v>21</v>
      </c>
      <c r="E167" s="3" t="s">
        <v>90</v>
      </c>
      <c r="F167" s="3"/>
      <c r="G167" s="15" t="s">
        <v>93</v>
      </c>
      <c r="H167" s="19" t="s">
        <v>246</v>
      </c>
      <c r="I167" s="19" t="s">
        <v>247</v>
      </c>
      <c r="J167" s="6">
        <v>500</v>
      </c>
      <c r="K167" s="6">
        <v>550</v>
      </c>
      <c r="L167" s="6"/>
      <c r="M167" s="4"/>
      <c r="N167" s="4"/>
      <c r="O167" s="4">
        <v>10</v>
      </c>
      <c r="P167" s="4">
        <v>908001</v>
      </c>
      <c r="Q167" s="4"/>
      <c r="R167" s="4">
        <v>0</v>
      </c>
    </row>
    <row r="168" spans="1:18" hidden="1" x14ac:dyDescent="0.15">
      <c r="A168" s="18">
        <f t="shared" si="7"/>
        <v>166</v>
      </c>
      <c r="B168" s="5" t="s">
        <v>35</v>
      </c>
      <c r="C168" s="18" t="s">
        <v>21</v>
      </c>
      <c r="D168" s="18" t="s">
        <v>21</v>
      </c>
      <c r="E168" s="3" t="s">
        <v>90</v>
      </c>
      <c r="F168" s="3"/>
      <c r="G168" s="15" t="s">
        <v>91</v>
      </c>
      <c r="H168" s="19" t="s">
        <v>240</v>
      </c>
      <c r="I168" s="19" t="s">
        <v>241</v>
      </c>
      <c r="J168" s="6">
        <v>500</v>
      </c>
      <c r="K168" s="6">
        <v>10</v>
      </c>
      <c r="L168" s="6"/>
      <c r="M168" s="4"/>
      <c r="N168" s="4"/>
      <c r="O168" s="4">
        <v>10</v>
      </c>
      <c r="P168" s="4">
        <v>908001</v>
      </c>
      <c r="Q168" s="4"/>
      <c r="R168" s="4">
        <v>0</v>
      </c>
    </row>
    <row r="169" spans="1:18" hidden="1" x14ac:dyDescent="0.15">
      <c r="A169" s="18">
        <f t="shared" si="7"/>
        <v>167</v>
      </c>
      <c r="B169" s="5" t="s">
        <v>36</v>
      </c>
      <c r="C169" s="18" t="s">
        <v>21</v>
      </c>
      <c r="D169" s="18" t="s">
        <v>21</v>
      </c>
      <c r="E169" s="3" t="s">
        <v>90</v>
      </c>
      <c r="F169" s="3"/>
      <c r="G169" s="15" t="s">
        <v>91</v>
      </c>
      <c r="H169" s="19" t="s">
        <v>256</v>
      </c>
      <c r="I169" s="19" t="s">
        <v>257</v>
      </c>
      <c r="J169" s="6">
        <v>500</v>
      </c>
      <c r="K169" s="6">
        <v>50</v>
      </c>
      <c r="L169" s="6"/>
      <c r="M169" s="4"/>
      <c r="N169" s="4"/>
      <c r="O169" s="4">
        <v>10</v>
      </c>
      <c r="P169" s="4">
        <v>908001</v>
      </c>
      <c r="Q169" s="4"/>
      <c r="R169" s="4">
        <v>0</v>
      </c>
    </row>
    <row r="170" spans="1:18" hidden="1" x14ac:dyDescent="0.15">
      <c r="A170" s="18">
        <f t="shared" si="7"/>
        <v>168</v>
      </c>
      <c r="B170" s="5" t="s">
        <v>38</v>
      </c>
      <c r="C170" s="18" t="s">
        <v>21</v>
      </c>
      <c r="D170" s="18" t="s">
        <v>21</v>
      </c>
      <c r="E170" s="3" t="s">
        <v>90</v>
      </c>
      <c r="F170" s="3"/>
      <c r="G170" s="15" t="s">
        <v>91</v>
      </c>
      <c r="H170" s="19" t="s">
        <v>266</v>
      </c>
      <c r="I170" s="19" t="s">
        <v>267</v>
      </c>
      <c r="J170" s="6">
        <v>500</v>
      </c>
      <c r="K170" s="6">
        <v>450</v>
      </c>
      <c r="L170" s="6"/>
      <c r="M170" s="4"/>
      <c r="N170" s="4"/>
      <c r="O170" s="4">
        <v>10</v>
      </c>
      <c r="P170" s="4">
        <v>908002</v>
      </c>
      <c r="Q170" s="4"/>
      <c r="R170" s="4">
        <v>0</v>
      </c>
    </row>
    <row r="171" spans="1:18" hidden="1" x14ac:dyDescent="0.15">
      <c r="A171" s="18">
        <f t="shared" si="7"/>
        <v>169</v>
      </c>
      <c r="B171" s="5" t="s">
        <v>38</v>
      </c>
      <c r="C171" s="18" t="s">
        <v>26</v>
      </c>
      <c r="D171" s="18" t="s">
        <v>21</v>
      </c>
      <c r="E171" s="3" t="s">
        <v>90</v>
      </c>
      <c r="F171" s="3"/>
      <c r="G171" s="15" t="s">
        <v>92</v>
      </c>
      <c r="H171" s="19" t="s">
        <v>280</v>
      </c>
      <c r="I171" s="19" t="s">
        <v>281</v>
      </c>
      <c r="J171" s="6">
        <v>500</v>
      </c>
      <c r="K171" s="6">
        <v>500</v>
      </c>
      <c r="L171" s="6"/>
      <c r="M171" s="4"/>
      <c r="N171" s="4"/>
      <c r="O171" s="4">
        <v>10</v>
      </c>
      <c r="P171" s="4">
        <v>908002</v>
      </c>
      <c r="Q171" s="4"/>
      <c r="R171" s="4">
        <v>0</v>
      </c>
    </row>
    <row r="172" spans="1:18" hidden="1" x14ac:dyDescent="0.15">
      <c r="A172" s="18">
        <f t="shared" si="7"/>
        <v>170</v>
      </c>
      <c r="B172" s="5" t="s">
        <v>38</v>
      </c>
      <c r="C172" s="2" t="s">
        <v>6</v>
      </c>
      <c r="D172" s="18" t="s">
        <v>21</v>
      </c>
      <c r="E172" s="3" t="s">
        <v>90</v>
      </c>
      <c r="F172" s="3"/>
      <c r="G172" s="15" t="s">
        <v>93</v>
      </c>
      <c r="H172" s="19" t="s">
        <v>294</v>
      </c>
      <c r="I172" s="19" t="s">
        <v>295</v>
      </c>
      <c r="J172" s="6">
        <v>500</v>
      </c>
      <c r="K172" s="6">
        <v>550</v>
      </c>
      <c r="L172" s="6"/>
      <c r="M172" s="4"/>
      <c r="N172" s="4"/>
      <c r="O172" s="4">
        <v>10</v>
      </c>
      <c r="P172" s="4">
        <v>908002</v>
      </c>
      <c r="Q172" s="4"/>
      <c r="R172" s="4">
        <v>0</v>
      </c>
    </row>
    <row r="173" spans="1:18" hidden="1" x14ac:dyDescent="0.15">
      <c r="A173" s="18">
        <f t="shared" si="7"/>
        <v>171</v>
      </c>
      <c r="B173" s="5" t="s">
        <v>39</v>
      </c>
      <c r="C173" s="18" t="s">
        <v>21</v>
      </c>
      <c r="D173" s="18" t="s">
        <v>21</v>
      </c>
      <c r="E173" s="3" t="s">
        <v>90</v>
      </c>
      <c r="F173" s="3"/>
      <c r="G173" s="15" t="s">
        <v>91</v>
      </c>
      <c r="H173" s="19" t="s">
        <v>310</v>
      </c>
      <c r="I173" s="19" t="s">
        <v>311</v>
      </c>
      <c r="J173" s="6">
        <v>500</v>
      </c>
      <c r="K173" s="6">
        <v>10</v>
      </c>
      <c r="L173" s="6"/>
      <c r="M173" s="4"/>
      <c r="N173" s="4"/>
      <c r="O173" s="4">
        <v>10</v>
      </c>
      <c r="P173" s="4">
        <v>908002</v>
      </c>
      <c r="Q173" s="4"/>
      <c r="R173" s="4">
        <v>0</v>
      </c>
    </row>
    <row r="174" spans="1:18" hidden="1" x14ac:dyDescent="0.15">
      <c r="A174" s="18">
        <f t="shared" si="7"/>
        <v>172</v>
      </c>
      <c r="B174" s="5" t="s">
        <v>69</v>
      </c>
      <c r="C174" s="18" t="s">
        <v>21</v>
      </c>
      <c r="D174" s="18" t="s">
        <v>21</v>
      </c>
      <c r="E174" s="3" t="s">
        <v>90</v>
      </c>
      <c r="F174" s="3"/>
      <c r="G174" s="15" t="s">
        <v>91</v>
      </c>
      <c r="H174" s="19" t="s">
        <v>290</v>
      </c>
      <c r="I174" s="19" t="s">
        <v>291</v>
      </c>
      <c r="J174" s="6">
        <v>500</v>
      </c>
      <c r="K174" s="6">
        <v>50</v>
      </c>
      <c r="L174" s="6"/>
      <c r="M174" s="4"/>
      <c r="N174" s="4"/>
      <c r="O174" s="4">
        <v>10</v>
      </c>
      <c r="P174" s="4">
        <v>908002</v>
      </c>
      <c r="Q174" s="4"/>
      <c r="R174" s="4">
        <v>0</v>
      </c>
    </row>
    <row r="175" spans="1:18" hidden="1" x14ac:dyDescent="0.15">
      <c r="A175" s="18">
        <f t="shared" ref="A175:A184" si="8">ROW() -2</f>
        <v>173</v>
      </c>
      <c r="B175" s="5" t="s">
        <v>37</v>
      </c>
      <c r="C175" s="18" t="s">
        <v>21</v>
      </c>
      <c r="D175" s="18" t="s">
        <v>21</v>
      </c>
      <c r="E175" s="3" t="s">
        <v>94</v>
      </c>
      <c r="F175" s="3"/>
      <c r="G175" s="15" t="s">
        <v>95</v>
      </c>
      <c r="H175" s="19" t="s">
        <v>284</v>
      </c>
      <c r="I175" s="19" t="s">
        <v>285</v>
      </c>
      <c r="J175" s="6">
        <v>500</v>
      </c>
      <c r="K175" s="6">
        <v>450</v>
      </c>
      <c r="L175" s="6"/>
      <c r="M175" s="4"/>
      <c r="N175" s="4"/>
      <c r="O175" s="4">
        <v>5</v>
      </c>
      <c r="P175" s="4">
        <v>908001</v>
      </c>
      <c r="Q175" s="4"/>
      <c r="R175" s="4">
        <v>0</v>
      </c>
    </row>
    <row r="176" spans="1:18" hidden="1" x14ac:dyDescent="0.15">
      <c r="A176" s="18">
        <f t="shared" si="8"/>
        <v>174</v>
      </c>
      <c r="B176" s="5" t="s">
        <v>37</v>
      </c>
      <c r="C176" s="18" t="s">
        <v>26</v>
      </c>
      <c r="D176" s="18" t="s">
        <v>21</v>
      </c>
      <c r="E176" s="3" t="s">
        <v>94</v>
      </c>
      <c r="F176" s="3"/>
      <c r="G176" s="15" t="s">
        <v>96</v>
      </c>
      <c r="H176" s="19" t="s">
        <v>232</v>
      </c>
      <c r="I176" s="19" t="s">
        <v>233</v>
      </c>
      <c r="J176" s="6">
        <v>500</v>
      </c>
      <c r="K176" s="6">
        <v>500</v>
      </c>
      <c r="L176" s="6"/>
      <c r="M176" s="4"/>
      <c r="N176" s="4"/>
      <c r="O176" s="4">
        <v>5</v>
      </c>
      <c r="P176" s="4">
        <v>908001</v>
      </c>
      <c r="Q176" s="4"/>
      <c r="R176" s="4">
        <v>0</v>
      </c>
    </row>
    <row r="177" spans="1:18" hidden="1" x14ac:dyDescent="0.15">
      <c r="A177" s="18">
        <f t="shared" si="8"/>
        <v>175</v>
      </c>
      <c r="B177" s="5" t="s">
        <v>37</v>
      </c>
      <c r="C177" s="2" t="s">
        <v>6</v>
      </c>
      <c r="D177" s="18" t="s">
        <v>21</v>
      </c>
      <c r="E177" s="3" t="s">
        <v>94</v>
      </c>
      <c r="F177" s="3"/>
      <c r="G177" s="15" t="s">
        <v>97</v>
      </c>
      <c r="H177" s="19" t="s">
        <v>244</v>
      </c>
      <c r="I177" s="19" t="s">
        <v>245</v>
      </c>
      <c r="J177" s="6">
        <v>500</v>
      </c>
      <c r="K177" s="6">
        <v>550</v>
      </c>
      <c r="L177" s="6"/>
      <c r="M177" s="4"/>
      <c r="N177" s="4"/>
      <c r="O177" s="4">
        <v>5</v>
      </c>
      <c r="P177" s="4">
        <v>908001</v>
      </c>
      <c r="Q177" s="4"/>
      <c r="R177" s="4">
        <v>0</v>
      </c>
    </row>
    <row r="178" spans="1:18" hidden="1" x14ac:dyDescent="0.15">
      <c r="A178" s="18">
        <f t="shared" si="8"/>
        <v>176</v>
      </c>
      <c r="B178" s="5" t="s">
        <v>35</v>
      </c>
      <c r="C178" s="18" t="s">
        <v>21</v>
      </c>
      <c r="D178" s="18" t="s">
        <v>21</v>
      </c>
      <c r="E178" s="3" t="s">
        <v>94</v>
      </c>
      <c r="F178" s="3"/>
      <c r="G178" s="15" t="s">
        <v>95</v>
      </c>
      <c r="H178" s="19" t="s">
        <v>364</v>
      </c>
      <c r="I178" s="19" t="s">
        <v>365</v>
      </c>
      <c r="J178" s="6">
        <v>500</v>
      </c>
      <c r="K178" s="6">
        <v>10</v>
      </c>
      <c r="L178" s="6"/>
      <c r="M178" s="4"/>
      <c r="N178" s="4"/>
      <c r="O178" s="4">
        <v>5</v>
      </c>
      <c r="P178" s="4">
        <v>908001</v>
      </c>
      <c r="Q178" s="4"/>
      <c r="R178" s="4">
        <v>0</v>
      </c>
    </row>
    <row r="179" spans="1:18" hidden="1" x14ac:dyDescent="0.15">
      <c r="A179" s="18">
        <f t="shared" si="8"/>
        <v>177</v>
      </c>
      <c r="B179" s="5" t="s">
        <v>36</v>
      </c>
      <c r="C179" s="18" t="s">
        <v>21</v>
      </c>
      <c r="D179" s="18" t="s">
        <v>21</v>
      </c>
      <c r="E179" s="3" t="s">
        <v>94</v>
      </c>
      <c r="F179" s="3"/>
      <c r="G179" s="15" t="s">
        <v>95</v>
      </c>
      <c r="H179" s="19" t="s">
        <v>164</v>
      </c>
      <c r="I179" s="19" t="s">
        <v>165</v>
      </c>
      <c r="J179" s="6">
        <v>500</v>
      </c>
      <c r="K179" s="6">
        <v>50</v>
      </c>
      <c r="L179" s="6"/>
      <c r="M179" s="4"/>
      <c r="N179" s="4"/>
      <c r="O179" s="4">
        <v>5</v>
      </c>
      <c r="P179" s="4">
        <v>908001</v>
      </c>
      <c r="Q179" s="4"/>
      <c r="R179" s="4">
        <v>0</v>
      </c>
    </row>
    <row r="180" spans="1:18" hidden="1" x14ac:dyDescent="0.15">
      <c r="A180" s="18">
        <f t="shared" si="8"/>
        <v>178</v>
      </c>
      <c r="B180" s="5" t="s">
        <v>38</v>
      </c>
      <c r="C180" s="18" t="s">
        <v>21</v>
      </c>
      <c r="D180" s="18" t="s">
        <v>21</v>
      </c>
      <c r="E180" s="3" t="s">
        <v>94</v>
      </c>
      <c r="F180" s="3"/>
      <c r="G180" s="15" t="s">
        <v>95</v>
      </c>
      <c r="H180" s="19" t="s">
        <v>154</v>
      </c>
      <c r="I180" s="19" t="s">
        <v>155</v>
      </c>
      <c r="J180" s="6">
        <v>500</v>
      </c>
      <c r="K180" s="6">
        <v>450</v>
      </c>
      <c r="L180" s="6"/>
      <c r="M180" s="4"/>
      <c r="N180" s="4"/>
      <c r="O180" s="4">
        <v>5</v>
      </c>
      <c r="P180" s="4">
        <v>908002</v>
      </c>
      <c r="Q180" s="4"/>
      <c r="R180" s="4">
        <v>0</v>
      </c>
    </row>
    <row r="181" spans="1:18" hidden="1" x14ac:dyDescent="0.15">
      <c r="A181" s="18">
        <f t="shared" si="8"/>
        <v>179</v>
      </c>
      <c r="B181" s="5" t="s">
        <v>38</v>
      </c>
      <c r="C181" s="18" t="s">
        <v>26</v>
      </c>
      <c r="D181" s="18" t="s">
        <v>21</v>
      </c>
      <c r="E181" s="3" t="s">
        <v>94</v>
      </c>
      <c r="F181" s="3"/>
      <c r="G181" s="15" t="s">
        <v>96</v>
      </c>
      <c r="H181" s="19" t="s">
        <v>168</v>
      </c>
      <c r="I181" s="19" t="s">
        <v>169</v>
      </c>
      <c r="J181" s="6">
        <v>500</v>
      </c>
      <c r="K181" s="6">
        <v>500</v>
      </c>
      <c r="L181" s="6"/>
      <c r="M181" s="4"/>
      <c r="N181" s="4"/>
      <c r="O181" s="4">
        <v>5</v>
      </c>
      <c r="P181" s="4">
        <v>908002</v>
      </c>
      <c r="Q181" s="4"/>
      <c r="R181" s="4">
        <v>0</v>
      </c>
    </row>
    <row r="182" spans="1:18" hidden="1" x14ac:dyDescent="0.15">
      <c r="A182" s="18">
        <f t="shared" si="8"/>
        <v>180</v>
      </c>
      <c r="B182" s="5" t="s">
        <v>38</v>
      </c>
      <c r="C182" s="2" t="s">
        <v>6</v>
      </c>
      <c r="D182" s="18" t="s">
        <v>21</v>
      </c>
      <c r="E182" s="3" t="s">
        <v>94</v>
      </c>
      <c r="F182" s="3"/>
      <c r="G182" s="15" t="s">
        <v>97</v>
      </c>
      <c r="H182" s="19" t="s">
        <v>144</v>
      </c>
      <c r="I182" s="19" t="s">
        <v>145</v>
      </c>
      <c r="J182" s="6">
        <v>500</v>
      </c>
      <c r="K182" s="6">
        <v>550</v>
      </c>
      <c r="L182" s="6"/>
      <c r="M182" s="4"/>
      <c r="N182" s="4"/>
      <c r="O182" s="4">
        <v>5</v>
      </c>
      <c r="P182" s="4">
        <v>908002</v>
      </c>
      <c r="Q182" s="4"/>
      <c r="R182" s="4">
        <v>0</v>
      </c>
    </row>
    <row r="183" spans="1:18" hidden="1" x14ac:dyDescent="0.15">
      <c r="A183" s="18">
        <f t="shared" si="8"/>
        <v>181</v>
      </c>
      <c r="B183" s="5" t="s">
        <v>39</v>
      </c>
      <c r="C183" s="18" t="s">
        <v>21</v>
      </c>
      <c r="D183" s="18" t="s">
        <v>21</v>
      </c>
      <c r="E183" s="3" t="s">
        <v>94</v>
      </c>
      <c r="F183" s="3"/>
      <c r="G183" s="15" t="s">
        <v>95</v>
      </c>
      <c r="H183" s="19" t="s">
        <v>156</v>
      </c>
      <c r="I183" s="19" t="s">
        <v>157</v>
      </c>
      <c r="J183" s="6">
        <v>500</v>
      </c>
      <c r="K183" s="6">
        <v>10</v>
      </c>
      <c r="L183" s="6"/>
      <c r="M183" s="4"/>
      <c r="N183" s="4"/>
      <c r="O183" s="4">
        <v>5</v>
      </c>
      <c r="P183" s="4">
        <v>908002</v>
      </c>
      <c r="Q183" s="4"/>
      <c r="R183" s="4">
        <v>0</v>
      </c>
    </row>
    <row r="184" spans="1:18" hidden="1" x14ac:dyDescent="0.15">
      <c r="A184" s="18">
        <f t="shared" si="8"/>
        <v>182</v>
      </c>
      <c r="B184" s="5" t="s">
        <v>69</v>
      </c>
      <c r="C184" s="18" t="s">
        <v>21</v>
      </c>
      <c r="D184" s="18" t="s">
        <v>21</v>
      </c>
      <c r="E184" s="3" t="s">
        <v>94</v>
      </c>
      <c r="F184" s="3"/>
      <c r="G184" s="15" t="s">
        <v>95</v>
      </c>
      <c r="H184" s="19" t="s">
        <v>160</v>
      </c>
      <c r="I184" s="19" t="s">
        <v>161</v>
      </c>
      <c r="J184" s="6">
        <v>500</v>
      </c>
      <c r="K184" s="6">
        <v>50</v>
      </c>
      <c r="L184" s="6"/>
      <c r="M184" s="4"/>
      <c r="N184" s="4"/>
      <c r="O184" s="4">
        <v>5</v>
      </c>
      <c r="P184" s="4">
        <v>908002</v>
      </c>
      <c r="Q184" s="4"/>
      <c r="R184" s="4">
        <v>0</v>
      </c>
    </row>
  </sheetData>
  <autoFilter ref="A2:R184" xr:uid="{00000000-0009-0000-0000-000005000000}">
    <filterColumn colId="4">
      <filters>
        <filter val="ミックスマッチ"/>
      </filters>
    </filterColumn>
    <filterColumn colId="11">
      <filters>
        <filter val="600"/>
      </filters>
    </filterColumn>
  </autoFilter>
  <mergeCells count="17">
    <mergeCell ref="A1:A2"/>
    <mergeCell ref="B1:B2"/>
    <mergeCell ref="E1:E2"/>
    <mergeCell ref="D1:D2"/>
    <mergeCell ref="G1:G2"/>
    <mergeCell ref="R1:R2"/>
    <mergeCell ref="C1:C2"/>
    <mergeCell ref="H1:H2"/>
    <mergeCell ref="I1:I2"/>
    <mergeCell ref="J1:J2"/>
    <mergeCell ref="Q1:Q2"/>
    <mergeCell ref="O1:O2"/>
    <mergeCell ref="P1:P2"/>
    <mergeCell ref="F1:F2"/>
    <mergeCell ref="K1:L1"/>
    <mergeCell ref="M1:M2"/>
    <mergeCell ref="N1:N2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4DB037-C760-40C4-B269-3FB930AB08E5}">
  <ds:schemaRefs>
    <ds:schemaRef ds:uri="b4c7ce4d-67a4-4f44-8f88-bfeca3803a63"/>
    <ds:schemaRef ds:uri="8ab8a245-1025-469f-bc0a-26499413059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972D09-AB88-4636-A816-02ADF9C469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CC0873-5DE2-4887-BBF6-6F9859593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 仕様　特売</vt:lpstr>
      <vt:lpstr> 仕様　特売　図</vt:lpstr>
      <vt:lpstr>値引確認</vt:lpstr>
      <vt:lpstr>値引確認追加</vt:lpstr>
      <vt:lpstr>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2020-10-27T04:38:03Z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