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09"/>
  <workbookPr/>
  <mc:AlternateContent xmlns:mc="http://schemas.openxmlformats.org/markup-compatibility/2006">
    <mc:Choice Requires="x15">
      <x15ac:absPath xmlns:x15ac="http://schemas.microsoft.com/office/spreadsheetml/2010/11/ac" url="/Users/joephan/Desktop/"/>
    </mc:Choice>
  </mc:AlternateContent>
  <xr:revisionPtr revIDLastSave="0" documentId="13_ncr:1_{FDC245AE-BEE8-9845-A8BD-AA6A4A9FEFF8}" xr6:coauthVersionLast="47" xr6:coauthVersionMax="47" xr10:uidLastSave="{00000000-0000-0000-0000-000000000000}"/>
  <bookViews>
    <workbookView xWindow="53780" yWindow="620" windowWidth="37980" windowHeight="25220" firstSheet="2" activeTab="2" xr2:uid="{00000000-000D-0000-FFFF-FFFF00000000}"/>
  </bookViews>
  <sheets>
    <sheet name=" che phủ" sheetId="4" r:id="rId1"/>
    <sheet name=" Lịch sử thay đổi" sheetId="3" r:id="rId2"/>
    <sheet name=" Bảng QA" sheetId="9" r:id="rId3"/>
    <sheet name=" Xử lý tổng thể" sheetId="10" r:id="rId4"/>
    <sheet name=" Cấu trúc mã nguồn" sheetId="14" r:id="rId5"/>
    <sheet name=" Cấu trúc thư mục SFTP" sheetId="13" r:id="rId6"/>
    <sheet name=" Danh sách nhật ký ứng dụng" sheetId="15" r:id="rId7"/>
    <sheet name=" Danh sách nhật ký lỗi" sheetId="18" r:id="rId8"/>
    <sheet name=" Mẫu Email" sheetId="17"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s>
  <definedNames>
    <definedName name="_" localSheetId="2" hidden="1">{"'表紙'!$A$1:$W$39"}</definedName>
    <definedName name="_" hidden="1">{"'表紙'!$A$1:$W$39"}</definedName>
    <definedName name="____PFM2">#REF!</definedName>
    <definedName name="____PFM21">#REF!</definedName>
    <definedName name="____pfm3">#REF!</definedName>
    <definedName name="___PFM2">#REF!</definedName>
    <definedName name="___PFM21">#REF!</definedName>
    <definedName name="___pfm3">#REF!</definedName>
    <definedName name="__B16" localSheetId="2" hidden="1">{"'発注データ送信 確認事項'!$A$1:$D$28"}</definedName>
    <definedName name="__B16" hidden="1">{"'発注データ送信 確認事項'!$A$1:$D$28"}</definedName>
    <definedName name="__B6" localSheetId="2" hidden="1">{"'発注データ送信 確認事項'!$A$1:$D$28"}</definedName>
    <definedName name="__B6" hidden="1">{"'発注データ送信 確認事項'!$A$1:$D$28"}</definedName>
    <definedName name="__PFM2">#REF!</definedName>
    <definedName name="__PFM21">#REF!</definedName>
    <definedName name="__pfm3">#REF!</definedName>
    <definedName name="_1Excel_BuiltIn__FilterDatabase_1">#REF!</definedName>
    <definedName name="_2Excel_BuiltIn__FilterDatabase_1_1">#REF!</definedName>
    <definedName name="_3Nagaoka_障害一覧_発生_改修">#REF!</definedName>
    <definedName name="_B16" localSheetId="2" hidden="1">{"'発注データ送信 確認事項'!$A$1:$D$28"}</definedName>
    <definedName name="_B16" hidden="1">{"'発注データ送信 確認事項'!$A$1:$D$28"}</definedName>
    <definedName name="_B6" localSheetId="2" hidden="1">{"'発注データ送信 確認事項'!$A$1:$D$28"}</definedName>
    <definedName name="_B6" hidden="1">{"'発注データ送信 確認事項'!$A$1:$D$28"}</definedName>
    <definedName name="_Fill" hidden="1">#REF!</definedName>
    <definedName name="_fill2" hidden="1">#REF!</definedName>
    <definedName name="_xlnm._FilterDatabase" hidden="1">#REF!</definedName>
    <definedName name="_Key1" hidden="1">#REF!</definedName>
    <definedName name="_Key2" hidden="1">#REF!</definedName>
    <definedName name="_Order1" hidden="1">1</definedName>
    <definedName name="_Order2" hidden="1">0</definedName>
    <definedName name="_Parse_In" hidden="1">#REF!</definedName>
    <definedName name="_Parse_Out" hidden="1">#REF!</definedName>
    <definedName name="_PFM2">#REF!</definedName>
    <definedName name="_PFM21">#REF!</definedName>
    <definedName name="_pfm3">#REF!</definedName>
    <definedName name="_Sort" hidden="1">#REF!</definedName>
    <definedName name="_Table2_In1" hidden="1">#REF!</definedName>
    <definedName name="_Table2_In2" hidden="1">#REF!</definedName>
    <definedName name="_Table2_Out" hidden="1">#REF!</definedName>
    <definedName name="a">#REF!</definedName>
    <definedName name="aa" localSheetId="2" hidden="1">{"'表紙'!$A$1:$W$39"}</definedName>
    <definedName name="aa" hidden="1">{"'表紙'!$A$1:$W$39"}</definedName>
    <definedName name="aaa">#REF!</definedName>
    <definedName name="aaaa" localSheetId="2" hidden="1">{"'表紙'!$A$1:$W$39"}</definedName>
    <definedName name="aaaa" hidden="1">{"'表紙'!$A$1:$W$39"}</definedName>
    <definedName name="ＡＡＡＡＡＡ" localSheetId="2" hidden="1">{"'表紙'!$A$1:$W$39"}</definedName>
    <definedName name="ＡＡＡＡＡＡ" hidden="1">{"'表紙'!$A$1:$W$39"}</definedName>
    <definedName name="aaaaaaaaaaaaaa" localSheetId="2" hidden="1">{"'表紙'!$A$1:$W$39"}</definedName>
    <definedName name="aaaaaaaaaaaaaa" hidden="1">{"'表紙'!$A$1:$W$39"}</definedName>
    <definedName name="aaaaaaaaaaaaaaaaaaa" hidden="1">#REF!</definedName>
    <definedName name="aak" localSheetId="2" hidden="1">{"'表紙'!$A$1:$W$39"}</definedName>
    <definedName name="aak" hidden="1">{"'表紙'!$A$1:$W$39"}</definedName>
    <definedName name="Access_Button" hidden="1">"項目一覧_データ_List"</definedName>
    <definedName name="AccessDatabase" hidden="1">"C:\Documents and Settings\kawana.OHSAKI\My Documents\作業中\ＤＢらいぶらり.mdb"</definedName>
    <definedName name="AS" localSheetId="2" hidden="1">{"'表紙'!$A$1:$W$39"}</definedName>
    <definedName name="AS" hidden="1">{"'表紙'!$A$1:$W$39"}</definedName>
    <definedName name="assss" localSheetId="2" hidden="1">{"'機能一覧 Master'!$A$1:$I$56"}</definedName>
    <definedName name="assss" hidden="1">{"'機能一覧 Master'!$A$1:$I$56"}</definedName>
    <definedName name="AX" localSheetId="2" hidden="1">{"'表紙'!$A$1:$W$39"}</definedName>
    <definedName name="AX" hidden="1">{"'表紙'!$A$1:$W$39"}</definedName>
    <definedName name="b" hidden="1">#REF!</definedName>
    <definedName name="BASE">#REF!</definedName>
    <definedName name="BASE2">#REF!</definedName>
    <definedName name="bbb">#REF!</definedName>
    <definedName name="bbbbbbbbbbbbbbbbb"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bbbbbbbbbbbbbbbbb" hidden="1">{#N/A,#N/A,TRUE,"ﾒｲﾝｻｰﾊﾞ";#N/A,#N/A,TRUE,"ｽﾀﾝﾊﾞｲｻｰﾊﾞ";#N/A,#N/A,TRUE,"ﾒﾝﾃﾅﾝｽ&amp;SMS";#N/A,#N/A,TRUE,"ﾁｰﾌ端末(NT)";#N/A,#N/A,TRUE,"監視端末(NT)";#N/A,#N/A,TRUE,"予備端末";#N/A,#N/A,TRUE,"ﾈｯﾄﾜｰｸ機器";#N/A,#N/A,TRUE,"受信用PC98";#N/A,#N/A,TRUE,"とりまとめ"}</definedName>
    <definedName name="BG" localSheetId="2" hidden="1">{"'表紙'!$A$1:$W$39"}</definedName>
    <definedName name="BG" hidden="1">{"'表紙'!$A$1:$W$39"}</definedName>
    <definedName name="BQ" localSheetId="2" hidden="1">{"'表紙'!$A$1:$W$39"}</definedName>
    <definedName name="BQ" hidden="1">{"'表紙'!$A$1:$W$39"}</definedName>
    <definedName name="BS" localSheetId="2" hidden="1">{"'表紙'!$A$1:$W$39"}</definedName>
    <definedName name="BS" hidden="1">{"'表紙'!$A$1:$W$39"}</definedName>
    <definedName name="BU" localSheetId="2" hidden="1">{"'表紙'!$A$1:$W$39"}</definedName>
    <definedName name="BU" hidden="1">{"'表紙'!$A$1:$W$39"}</definedName>
    <definedName name="BX" localSheetId="2" hidden="1">{"'表紙'!$A$1:$W$39"}</definedName>
    <definedName name="BX" hidden="1">{"'表紙'!$A$1:$W$39"}</definedName>
    <definedName name="BZ" localSheetId="2" hidden="1">{"'表紙'!$A$1:$W$39"}</definedName>
    <definedName name="BZ" hidden="1">{"'表紙'!$A$1:$W$39"}</definedName>
    <definedName name="ccc" localSheetId="2" hidden="1">{"'表紙'!$A$1:$W$39"}</definedName>
    <definedName name="ccc" hidden="1">{"'表紙'!$A$1:$W$39"}</definedName>
    <definedName name="ＣＴＣ"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ＣＴＣ" hidden="1">{#N/A,#N/A,TRUE,"ﾒｲﾝｻｰﾊﾞ";#N/A,#N/A,TRUE,"ｽﾀﾝﾊﾞｲｻｰﾊﾞ";#N/A,#N/A,TRUE,"ﾒﾝﾃﾅﾝｽ&amp;SMS";#N/A,#N/A,TRUE,"ﾁｰﾌ端末(NT)";#N/A,#N/A,TRUE,"監視端末(NT)";#N/A,#N/A,TRUE,"予備端末";#N/A,#N/A,TRUE,"ﾈｯﾄﾜｰｸ機器";#N/A,#N/A,TRUE,"受信用PC98";#N/A,#N/A,TRUE,"とりまとめ"}</definedName>
    <definedName name="CY" localSheetId="2" hidden="1">{"'表紙'!$A$1:$W$39"}</definedName>
    <definedName name="CY" hidden="1">{"'表紙'!$A$1:$W$39"}</definedName>
    <definedName name="CYC"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CYC" hidden="1">{#N/A,#N/A,TRUE,"ﾒｲﾝｻｰﾊﾞ";#N/A,#N/A,TRUE,"ｽﾀﾝﾊﾞｲｻｰﾊﾞ";#N/A,#N/A,TRUE,"ﾒﾝﾃﾅﾝｽ&amp;SMS";#N/A,#N/A,TRUE,"ﾁｰﾌ端末(NT)";#N/A,#N/A,TRUE,"監視端末(NT)";#N/A,#N/A,TRUE,"予備端末";#N/A,#N/A,TRUE,"ﾈｯﾄﾜｰｸ機器";#N/A,#N/A,TRUE,"受信用PC98";#N/A,#N/A,TRUE,"とりまとめ"}</definedName>
    <definedName name="DBPARTNER" localSheetId="2" hidden="1">{"'2.3 NT(ｱｶｳﾝﾄ)基本方針2'!$A$1:$AN$62"}</definedName>
    <definedName name="DBPARTNER" hidden="1">{"'2.3 NT(ｱｶｳﾝﾄ)基本方針2'!$A$1:$AN$62"}</definedName>
    <definedName name="ｄｄｄ" hidden="1">#REF!</definedName>
    <definedName name="dddd"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dddddd" localSheetId="2" hidden="1">{"'2.3 NT(ｱｶｳﾝﾄ)基本方針2'!$A$1:$AN$62"}</definedName>
    <definedName name="dddddddddddd" hidden="1">{"'2.3 NT(ｱｶｳﾝﾄ)基本方針2'!$A$1:$AN$62"}</definedName>
    <definedName name="ddfsdsd" localSheetId="2" hidden="1">{"HCDN_注釈以外",#N/A,FALSE,"10.0対応";"HCDN_注釈",#N/A,FALSE,"10.0対応";"HCDN_注釈以外",#N/A,FALSE,"9.0対応";"HCDN_注釈",#N/A,FALSE,"9.0対応";#N/A,#N/A,FALSE,"ﾏﾆｭｱﾙ一覧";#N/A,#N/A,FALSE,"ﾏﾆｭｱﾙ一覧 (2)"}</definedName>
    <definedName name="ddfsdsd" hidden="1">{"HCDN_注釈以外",#N/A,FALSE,"10.0対応";"HCDN_注釈",#N/A,FALSE,"10.0対応";"HCDN_注釈以外",#N/A,FALSE,"9.0対応";"HCDN_注釈",#N/A,FALSE,"9.0対応";#N/A,#N/A,FALSE,"ﾏﾆｭｱﾙ一覧";#N/A,#N/A,FALSE,"ﾏﾆｭｱﾙ一覧 (2)"}</definedName>
    <definedName name="DISC_CLASS_LVL">#REF!</definedName>
    <definedName name="DISC_EXCEPTION">#REF!</definedName>
    <definedName name="DISC_STEP">#REF!</definedName>
    <definedName name="DISC_TARGET">#REF!</definedName>
    <definedName name="DS" localSheetId="2" hidden="1">{"'表紙'!$A$1:$W$39"}</definedName>
    <definedName name="DS" hidden="1">{"'表紙'!$A$1:$W$39"}</definedName>
    <definedName name="DS_KEYS">#REF!</definedName>
    <definedName name="DS_NM">#REF!</definedName>
    <definedName name="e" hidden="1">#REF!</definedName>
    <definedName name="EB" localSheetId="2" hidden="1">{"'表紙'!$A$1:$W$39"}</definedName>
    <definedName name="EB" hidden="1">{"'表紙'!$A$1:$W$39"}</definedName>
    <definedName name="eeeeeeeeeeeeeeeeee" localSheetId="2" hidden="1">{"HCDN_注釈以外",#N/A,FALSE,"10.0対応";"HCDN_注釈",#N/A,FALSE,"10.0対応";"HCDN_注釈以外",#N/A,FALSE,"9.0対応";"HCDN_注釈",#N/A,FALSE,"9.0対応";#N/A,#N/A,FALSE,"ﾏﾆｭｱﾙ一覧";#N/A,#N/A,FALSE,"ﾏﾆｭｱﾙ一覧 (2)"}</definedName>
    <definedName name="eeeeeeeeeeeeeeeeee" hidden="1">{"HCDN_注釈以外",#N/A,FALSE,"10.0対応";"HCDN_注釈",#N/A,FALSE,"10.0対応";"HCDN_注釈以外",#N/A,FALSE,"9.0対応";"HCDN_注釈",#N/A,FALSE,"9.0対応";#N/A,#N/A,FALSE,"ﾏﾆｭｱﾙ一覧";#N/A,#N/A,FALSE,"ﾏﾆｭｱﾙ一覧 (2)"}</definedName>
    <definedName name="efefefe"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efefefe" hidden="1">{#N/A,#N/A,TRUE,"ﾒｲﾝｻｰﾊﾞ";#N/A,#N/A,TRUE,"ｽﾀﾝﾊﾞｲｻｰﾊﾞ";#N/A,#N/A,TRUE,"ﾒﾝﾃﾅﾝｽ&amp;SMS";#N/A,#N/A,TRUE,"ﾁｰﾌ端末(NT)";#N/A,#N/A,TRUE,"監視端末(NT)";#N/A,#N/A,TRUE,"予備端末";#N/A,#N/A,TRUE,"ﾈｯﾄﾜｰｸ機器";#N/A,#N/A,TRUE,"受信用PC98";#N/A,#N/A,TRUE,"とりまとめ"}</definedName>
    <definedName name="EH" localSheetId="2" hidden="1">{"'表紙'!$A$1:$W$39"}</definedName>
    <definedName name="EH" hidden="1">{"'表紙'!$A$1:$W$39"}</definedName>
    <definedName name="ET" localSheetId="2" hidden="1">{"'フローチャート'!$A$1:$AO$191"}</definedName>
    <definedName name="ET" hidden="1">{"'フローチャート'!$A$1:$AO$191"}</definedName>
    <definedName name="ETT" localSheetId="2" hidden="1">{"'フローチャート'!$A$1:$AO$191"}</definedName>
    <definedName name="ETT" hidden="1">{"'フローチャート'!$A$1:$AO$191"}</definedName>
    <definedName name="EY" localSheetId="2" hidden="1">{"'表紙'!$A$1:$W$39"}</definedName>
    <definedName name="EY" hidden="1">{"'表紙'!$A$1:$W$39"}</definedName>
    <definedName name="FD" localSheetId="2" hidden="1">{"'表紙'!$A$1:$W$39"}</definedName>
    <definedName name="FD" hidden="1">{"'表紙'!$A$1:$W$39"}</definedName>
    <definedName name="ferfefef" localSheetId="2" hidden="1">{"'2.3 NT(ｱｶｳﾝﾄ)基本方針2'!$A$1:$AN$62"}</definedName>
    <definedName name="ferfefef" hidden="1">{"'2.3 NT(ｱｶｳﾝﾄ)基本方針2'!$A$1:$AN$62"}</definedName>
    <definedName name="ffffffffffffff"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f"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f" hidden="1">{#N/A,#N/A,TRUE,"ﾒｲﾝｻｰﾊﾞ";#N/A,#N/A,TRUE,"ｽﾀﾝﾊﾞｲｻｰﾊﾞ";#N/A,#N/A,TRUE,"ﾒﾝﾃﾅﾝｽ&amp;SMS";#N/A,#N/A,TRUE,"ﾁｰﾌ端末(NT)";#N/A,#N/A,TRUE,"監視端末(NT)";#N/A,#N/A,TRUE,"予備端末";#N/A,#N/A,TRUE,"ﾈｯﾄﾜｰｸ機器";#N/A,#N/A,TRUE,"受信用PC98";#N/A,#N/A,TRUE,"とりまとめ"}</definedName>
    <definedName name="ggggggggggggggggggg" localSheetId="2" hidden="1">{"'2.3 NT(ｱｶｳﾝﾄ)基本方針2'!$A$1:$AN$62"}</definedName>
    <definedName name="ggggggggggggggggggg" hidden="1">{"'2.3 NT(ｱｶｳﾝﾄ)基本方針2'!$A$1:$AN$62"}</definedName>
    <definedName name="ggggggggggggggggggggggggg" localSheetId="2" hidden="1">{"'2.3 NT(ｱｶｳﾝﾄ)基本方針2'!$A$1:$AN$62"}</definedName>
    <definedName name="ggggggggggggggggggggggggg" hidden="1">{"'2.3 NT(ｱｶｳﾝﾄ)基本方針2'!$A$1:$AN$62"}</definedName>
    <definedName name="Grpリーダ">#REF!</definedName>
    <definedName name="h" localSheetId="2" hidden="1">{"'フローチャート'!$A$1:$AO$191"}</definedName>
    <definedName name="h" hidden="1">{"'フローチャート'!$A$1:$AO$191"}</definedName>
    <definedName name="htdhthrthrsdt"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dhthrthrsdt"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ML_CodePage" hidden="1">932</definedName>
    <definedName name="HTML_Control" localSheetId="2" hidden="1">{"'表紙'!$A$1:$W$39"}</definedName>
    <definedName name="HTML_Control" hidden="1">{"'表紙'!$A$1:$W$39"}</definedName>
    <definedName name="HTML_Control_1" localSheetId="2">{"'表紙'!$A$1:$W$39"}</definedName>
    <definedName name="HTML_Control_1">{"'表紙'!$A$1:$W$39"}</definedName>
    <definedName name="HTML_CONTROL2" localSheetId="2" hidden="1">{"'機能一覧 Master'!$A$1:$I$56"}</definedName>
    <definedName name="HTML_CONTROL2" hidden="1">{"'機能一覧 Master'!$A$1:$I$56"}</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HTML1_1" hidden="1">"'[ﾌﾟﾗｯﾄﾌｫﾑ.XLS]プラットフォーム 変更分'!$A$1:$G$16"</definedName>
    <definedName name="HTML1_10" hidden="1">""</definedName>
    <definedName name="HTML1_11" hidden="1">1</definedName>
    <definedName name="HTML1_12" hidden="1">"C:\My Documents\変更h_w.htm"</definedName>
    <definedName name="HTML1_2" hidden="1">1</definedName>
    <definedName name="HTML1_3" hidden="1">""</definedName>
    <definedName name="HTML1_4" hidden="1">""</definedName>
    <definedName name="HTML1_5" hidden="1">""</definedName>
    <definedName name="HTML1_6" hidden="1">-4146</definedName>
    <definedName name="HTML1_7" hidden="1">-4146</definedName>
    <definedName name="HTML1_8" hidden="1">""</definedName>
    <definedName name="HTML1_9" hidden="1">""</definedName>
    <definedName name="HTML2_1" hidden="1">"'[ﾌﾟﾗｯﾄﾌｫﾑ.XLS]プラットフォーム 変更分'!$A$1:$G$19"</definedName>
    <definedName name="HTML2_10" hidden="1">""</definedName>
    <definedName name="HTML2_11" hidden="1">1</definedName>
    <definedName name="HTML2_12" hidden="1">"C:\My Documents\変更h_w.htm"</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definedName>
    <definedName name="HTML2_9" hidden="1">""</definedName>
    <definedName name="HTML3_1" hidden="1">"[ﾌﾟﾗｯﾄﾌｫﾑ.XLS]プラットフォーム!$A$1:$G$1656"</definedName>
    <definedName name="HTML3_10" hidden="1">""</definedName>
    <definedName name="HTML3_11" hidden="1">1</definedName>
    <definedName name="HTML3_12" hidden="1">"C:\My Documents\h_wMIN.htm"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definedName>
    <definedName name="HTML3_9" hidden="1">""</definedName>
    <definedName name="HTMLCount" hidden="1">3</definedName>
    <definedName name="ITﾃｽﾄ基準">#REF!</definedName>
    <definedName name="ITﾃｽﾄ基準小計1">#REF!</definedName>
    <definedName name="ITﾃｽﾄ基準小計2">#REF!</definedName>
    <definedName name="ITﾃｽﾄ基準小計2ｺﾋﾟｰ">#REF!</definedName>
    <definedName name="ITﾃｽﾄ実績">#REF!</definedName>
    <definedName name="ITﾃｽﾄ実績小計1">#REF!</definedName>
    <definedName name="ＩＴﾃｽﾄ実績小計1ｺﾋﾟｰ">#REF!</definedName>
    <definedName name="ITﾃｽﾄ実績小計2">#REF!</definedName>
    <definedName name="IT障害基準">#REF!</definedName>
    <definedName name="IT障害基準小計1">#REF!</definedName>
    <definedName name="IT障害基準小計2">#REF!</definedName>
    <definedName name="IT障害実績">#REF!</definedName>
    <definedName name="IT障害実績小計1">#REF!</definedName>
    <definedName name="IT障害実績小計2">#REF!</definedName>
    <definedName name="ka" localSheetId="2" hidden="1">{"'表紙'!$A$1:$W$39"}</definedName>
    <definedName name="ka" hidden="1">{"'表紙'!$A$1:$W$39"}</definedName>
    <definedName name="KEYS">#REF!</definedName>
    <definedName name="kikyykykfyu"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kikyykykfyu"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 hidden="1">#REF!</definedName>
    <definedName name="kkkkkkkkkkkkkk"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k" localSheetId="2" hidden="1">{"HCDN_注釈以外",#N/A,FALSE,"10.0対応";"HCDN_注釈",#N/A,FALSE,"10.0対応";"HCDN_注釈以外",#N/A,FALSE,"9.0対応";"HCDN_注釈",#N/A,FALSE,"9.0対応";#N/A,#N/A,FALSE,"ﾏﾆｭｱﾙ一覧";#N/A,#N/A,FALSE,"ﾏﾆｭｱﾙ一覧 (2)"}</definedName>
    <definedName name="kkkkkkkkkkkkkkk" hidden="1">{"HCDN_注釈以外",#N/A,FALSE,"10.0対応";"HCDN_注釈",#N/A,FALSE,"10.0対応";"HCDN_注釈以外",#N/A,FALSE,"9.0対応";"HCDN_注釈",#N/A,FALSE,"9.0対応";#N/A,#N/A,FALSE,"ﾏﾆｭｱﾙ一覧";#N/A,#N/A,FALSE,"ﾏﾆｭｱﾙ一覧 (2)"}</definedName>
    <definedName name="kouse" localSheetId="2" hidden="1">{"HCDN_注釈以外",#N/A,FALSE,"10.0対応";"HCDN_注釈",#N/A,FALSE,"10.0対応";"HCDN_注釈以外",#N/A,FALSE,"9.0対応";"HCDN_注釈",#N/A,FALSE,"9.0対応";#N/A,#N/A,FALSE,"ﾏﾆｭｱﾙ一覧";#N/A,#N/A,FALSE,"ﾏﾆｭｱﾙ一覧 (2)"}</definedName>
    <definedName name="kouse" hidden="1">{"HCDN_注釈以外",#N/A,FALSE,"10.0対応";"HCDN_注釈",#N/A,FALSE,"10.0対応";"HCDN_注釈以外",#N/A,FALSE,"9.0対応";"HCDN_注釈",#N/A,FALSE,"9.0対応";#N/A,#N/A,FALSE,"ﾏﾆｭｱﾙ一覧";#N/A,#N/A,FALSE,"ﾏﾆｭｱﾙ一覧 (2)"}</definedName>
    <definedName name="ｌ" localSheetId="2" hidden="1">{"HCDN_注釈以外",#N/A,FALSE,"10.0対応";"HCDN_注釈",#N/A,FALSE,"10.0対応";"HCDN_注釈以外",#N/A,FALSE,"9.0対応";"HCDN_注釈",#N/A,FALSE,"9.0対応";#N/A,#N/A,FALSE,"ﾏﾆｭｱﾙ一覧";#N/A,#N/A,FALSE,"ﾏﾆｭｱﾙ一覧 (2)"}</definedName>
    <definedName name="ｌ" hidden="1">{"HCDN_注釈以外",#N/A,FALSE,"10.0対応";"HCDN_注釈",#N/A,FALSE,"10.0対応";"HCDN_注釈以外",#N/A,FALSE,"9.0対応";"HCDN_注釈",#N/A,FALSE,"9.0対応";#N/A,#N/A,FALSE,"ﾏﾆｭｱﾙ一覧";#N/A,#N/A,FALSE,"ﾏﾆｭｱﾙ一覧 (2)"}</definedName>
    <definedName name="LL" localSheetId="2" hidden="1">{"'表紙'!$A$1:$W$39"}</definedName>
    <definedName name="LL" hidden="1">{"'表紙'!$A$1:$W$39"}</definedName>
    <definedName name="ｌｌｌ"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ｌｌｌ"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LM" localSheetId="2" hidden="1">{"'表紙'!$A$1:$W$39"}</definedName>
    <definedName name="LM" hidden="1">{"'表紙'!$A$1:$W$39"}</definedName>
    <definedName name="LP" localSheetId="2" hidden="1">{"'表紙'!$A$1:$W$39"}</definedName>
    <definedName name="LP" hidden="1">{"'表紙'!$A$1:$W$39"}</definedName>
    <definedName name="ML" localSheetId="2" hidden="1">{"'表紙'!$A$1:$W$39"}</definedName>
    <definedName name="ML" hidden="1">{"'表紙'!$A$1:$W$39"}</definedName>
    <definedName name="MM" localSheetId="2" hidden="1">{"'表紙'!$A$1:$W$39"}</definedName>
    <definedName name="MM" hidden="1">{"'表紙'!$A$1:$W$39"}</definedName>
    <definedName name="MP" localSheetId="2" hidden="1">{"'表紙'!$A$1:$W$39"}</definedName>
    <definedName name="MP" hidden="1">{"'表紙'!$A$1:$W$39"}</definedName>
    <definedName name="ＭＳＫＫ"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ＭＳＫＫ" hidden="1">{#N/A,#N/A,TRUE,"ﾒｲﾝｻｰﾊﾞ";#N/A,#N/A,TRUE,"ｽﾀﾝﾊﾞｲｻｰﾊﾞ";#N/A,#N/A,TRUE,"ﾒﾝﾃﾅﾝｽ&amp;SMS";#N/A,#N/A,TRUE,"ﾁｰﾌ端末(NT)";#N/A,#N/A,TRUE,"監視端末(NT)";#N/A,#N/A,TRUE,"予備端末";#N/A,#N/A,TRUE,"ﾈｯﾄﾜｰｸ機器";#N/A,#N/A,TRUE,"受信用PC98";#N/A,#N/A,TRUE,"とりまとめ"}</definedName>
    <definedName name="NAMES">#REF!</definedName>
    <definedName name="NEC_KEYS">#REF!</definedName>
    <definedName name="NG" localSheetId="2" hidden="1">{"'表紙'!$A$1:$W$39"}</definedName>
    <definedName name="NG" hidden="1">{"'表紙'!$A$1:$W$39"}</definedName>
    <definedName name="NI" localSheetId="2" hidden="1">{"'表紙'!$A$1:$W$39"}</definedName>
    <definedName name="NI" hidden="1">{"'表紙'!$A$1:$W$39"}</definedName>
    <definedName name="NJ" localSheetId="2" hidden="1">{"'表紙'!$A$1:$W$39"}</definedName>
    <definedName name="NJ" hidden="1">{"'表紙'!$A$1:$W$39"}</definedName>
    <definedName name="NK" localSheetId="2" hidden="1">{"'表紙'!$A$1:$W$39"}</definedName>
    <definedName name="NK" hidden="1">{"'表紙'!$A$1:$W$39"}</definedName>
    <definedName name="NM" localSheetId="2" hidden="1">{"'表紙'!$A$1:$W$39"}</definedName>
    <definedName name="NM" hidden="1">{"'表紙'!$A$1:$W$39"}</definedName>
    <definedName name="NN" localSheetId="2" hidden="1">{"'表紙'!$A$1:$W$39"}</definedName>
    <definedName name="NN" hidden="1">{"'表紙'!$A$1:$W$39"}</definedName>
    <definedName name="NU" localSheetId="2" hidden="1">{"'表紙'!$A$1:$W$39"}</definedName>
    <definedName name="NU" hidden="1">{"'表紙'!$A$1:$W$39"}</definedName>
    <definedName name="NV" localSheetId="2" hidden="1">{"'表紙'!$A$1:$W$39"}</definedName>
    <definedName name="NV" hidden="1">{"'表紙'!$A$1:$W$39"}</definedName>
    <definedName name="PGﾃｽﾄ基準">#REF!</definedName>
    <definedName name="PGﾃｽﾄ基準小計1">#REF!</definedName>
    <definedName name="PGﾃｽﾄ基準小計2">#REF!</definedName>
    <definedName name="PGﾃｽﾄ実績">#REF!</definedName>
    <definedName name="PGﾃｽﾄ実績小計1">#REF!</definedName>
    <definedName name="PGﾃｽﾄ実績小計2">#REF!</definedName>
    <definedName name="PG障害基準">#REF!</definedName>
    <definedName name="PG障害基準小計1">#REF!</definedName>
    <definedName name="PG障害基準小計2">#REF!</definedName>
    <definedName name="PG障害実績">#REF!</definedName>
    <definedName name="PG障害実績小計1">#REF!</definedName>
    <definedName name="PG障害実績小計2">#REF!</definedName>
    <definedName name="_xlnm.Print_Area" localSheetId="4">[1]ソースコード構成!$A$1:$BK$41</definedName>
    <definedName name="_xlnm.Print_Area" localSheetId="5">[2]SFTPフォルダ構成!$A$1:$BK$39</definedName>
    <definedName name="_xlnm.Print_Area" localSheetId="0">[3]表紙!$A$1:$BK$55</definedName>
    <definedName name="_xlnm.Print_Area" localSheetId="7">'[4]エラーログ一覧 '!$A$1:$BK$33</definedName>
    <definedName name="_xlnm.Print_Area" localSheetId="6">[5]アプリログ一覧!$A$1:$BK$26</definedName>
    <definedName name="_xlnm.Print_Area" localSheetId="1">[6]変更履歴!$A$1:$BK$55</definedName>
    <definedName name="_xlnm.Print_Area" localSheetId="8">[7]メールテンプレート!$A$1:$BK$55</definedName>
    <definedName name="_xlnm.Print_Area" localSheetId="3">[8]全体処理!$A$1:$BK$284</definedName>
    <definedName name="_xlnm.Print_Titles" localSheetId="2">[9]QA表!$1:$5</definedName>
    <definedName name="_xlnm.Print_Titles" localSheetId="4">[1]ソースコード構成!$1:$5</definedName>
    <definedName name="_xlnm.Print_Titles" localSheetId="5">[2]SFTPフォルダ構成!$1:$5</definedName>
    <definedName name="_xlnm.Print_Titles" localSheetId="0">[3]表紙!$1:$5</definedName>
    <definedName name="_xlnm.Print_Titles" localSheetId="7">'[4]エラーログ一覧 '!$1:$5</definedName>
    <definedName name="_xlnm.Print_Titles" localSheetId="6">[5]アプリログ一覧!$1:$5</definedName>
    <definedName name="_xlnm.Print_Titles" localSheetId="1">[6]変更履歴!$1:$5</definedName>
    <definedName name="_xlnm.Print_Titles" localSheetId="8">[7]メールテンプレート!$1:$5</definedName>
    <definedName name="_xlnm.Print_Titles" localSheetId="3">[8]全体処理!$1:$5</definedName>
    <definedName name="PSﾃｽﾄ基準">#REF!</definedName>
    <definedName name="PSﾃｽﾄ基準小計1">#REF!</definedName>
    <definedName name="PSﾃｽﾄ基準小計2">#REF!</definedName>
    <definedName name="PSﾃｽﾄ実績">#REF!</definedName>
    <definedName name="PSﾃｽﾄ実績小計1">#REF!</definedName>
    <definedName name="PSﾃｽﾄ実績小計2">#REF!</definedName>
    <definedName name="PS障害基準">#REF!</definedName>
    <definedName name="PS障害基準小計1">#REF!</definedName>
    <definedName name="PS障害基準小計2">#REF!</definedName>
    <definedName name="PS障害実績">#REF!</definedName>
    <definedName name="PS障害実績小計1">#REF!</definedName>
    <definedName name="PS障害実績小計2">#REF!</definedName>
    <definedName name="PTﾃｽﾄ基準">#REF!</definedName>
    <definedName name="PTﾃｽﾄ基準小計1">#REF!</definedName>
    <definedName name="PTﾃｽﾄ基準小計2">#REF!</definedName>
    <definedName name="PTﾃｽﾄ実績">#REF!</definedName>
    <definedName name="PTﾃｽﾄ実績小計1">#REF!</definedName>
    <definedName name="PTﾃｽﾄ実績小計2">#REF!</definedName>
    <definedName name="PT障害基準">#REF!</definedName>
    <definedName name="PT障害基準小計1">#REF!</definedName>
    <definedName name="PT障害基準小計2">#REF!</definedName>
    <definedName name="PT障害実績">#REF!</definedName>
    <definedName name="PT障害実績小計1">#REF!</definedName>
    <definedName name="PT障害実績小計2">#REF!</definedName>
    <definedName name="q" localSheetId="2" hidden="1">{"'フローチャート'!$A$1:$AO$191"}</definedName>
    <definedName name="q" hidden="1">{"'フローチャート'!$A$1:$AO$191"}</definedName>
    <definedName name="qedqwfffase" localSheetId="2" hidden="1">{"HCDN_注釈以外",#N/A,FALSE,"10.0対応";"HCDN_注釈",#N/A,FALSE,"10.0対応";"HCDN_注釈以外",#N/A,FALSE,"9.0対応";"HCDN_注釈",#N/A,FALSE,"9.0対応";#N/A,#N/A,FALSE,"ﾏﾆｭｱﾙ一覧";#N/A,#N/A,FALSE,"ﾏﾆｭｱﾙ一覧 (2)"}</definedName>
    <definedName name="qedqwfffase" hidden="1">{"HCDN_注釈以外",#N/A,FALSE,"10.0対応";"HCDN_注釈",#N/A,FALSE,"10.0対応";"HCDN_注釈以外",#N/A,FALSE,"9.0対応";"HCDN_注釈",#N/A,FALSE,"9.0対応";#N/A,#N/A,FALSE,"ﾏﾆｭｱﾙ一覧";#N/A,#N/A,FALSE,"ﾏﾆｭｱﾙ一覧 (2)"}</definedName>
    <definedName name="qq" localSheetId="2" hidden="1">{"'機能一覧 Master'!$A$1:$I$56"}</definedName>
    <definedName name="qq" hidden="1">{"'機能一覧 Master'!$A$1:$I$56"}</definedName>
    <definedName name="qqqqq" localSheetId="2" hidden="1">{"'機能一覧 Master'!$A$1:$I$56"}</definedName>
    <definedName name="qqqqq" hidden="1">{"'機能一覧 Master'!$A$1:$I$56"}</definedName>
    <definedName name="RE" localSheetId="2" hidden="1">{"'表紙'!$A$1:$W$39"}</definedName>
    <definedName name="RE" hidden="1">{"'表紙'!$A$1:$W$39"}</definedName>
    <definedName name="RH" localSheetId="2" hidden="1">{"'表紙'!$A$1:$W$39"}</definedName>
    <definedName name="RH" hidden="1">{"'表紙'!$A$1:$W$39"}</definedName>
    <definedName name="RR" localSheetId="2" hidden="1">{"'表紙'!$A$1:$W$39"}</definedName>
    <definedName name="RR" hidden="1">{"'表紙'!$A$1:$W$39"}</definedName>
    <definedName name="RT" localSheetId="2" hidden="1">{"'表紙'!$A$1:$W$39"}</definedName>
    <definedName name="RT" hidden="1">{"'表紙'!$A$1:$W$39"}</definedName>
    <definedName name="RU" localSheetId="2" hidden="1">{"'表紙'!$A$1:$W$39"}</definedName>
    <definedName name="RU" hidden="1">{"'表紙'!$A$1:$W$39"}</definedName>
    <definedName name="Ｓ" localSheetId="2" hidden="1">{"'表紙'!$A$1:$W$39"}</definedName>
    <definedName name="Ｓ" hidden="1">{"'表紙'!$A$1:$W$39"}</definedName>
    <definedName name="sample" localSheetId="2" hidden="1">{"HCDN_注釈以外",#N/A,FALSE,"10.0対応";"HCDN_注釈",#N/A,FALSE,"10.0対応";"HCDN_注釈以外",#N/A,FALSE,"9.0対応";"HCDN_注釈",#N/A,FALSE,"9.0対応";#N/A,#N/A,FALSE,"ﾏﾆｭｱﾙ一覧";#N/A,#N/A,FALSE,"ﾏﾆｭｱﾙ一覧 (2)"}</definedName>
    <definedName name="sample" hidden="1">{"HCDN_注釈以外",#N/A,FALSE,"10.0対応";"HCDN_注釈",#N/A,FALSE,"10.0対応";"HCDN_注釈以外",#N/A,FALSE,"9.0対応";"HCDN_注釈",#N/A,FALSE,"9.0対応";#N/A,#N/A,FALSE,"ﾏﾆｭｱﾙ一覧";#N/A,#N/A,FALSE,"ﾏﾆｭｱﾙ一覧 (2)"}</definedName>
    <definedName name="Satisfa見積総括票" localSheetId="2" hidden="1">{"'機能一覧 Master'!$A$1:$I$56"}</definedName>
    <definedName name="Satisfa見積総括票" hidden="1">{"'機能一覧 Master'!$A$1:$I$56"}</definedName>
    <definedName name="SQL_Runtime型名">#REF!</definedName>
    <definedName name="srhghsthdsrh"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rhghsthdsrh"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sss" hidden="1">#REF!</definedName>
    <definedName name="ssssssssssssss"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ﾃｽﾄ基準">#REF!</definedName>
    <definedName name="SSﾃｽﾄ基準小計1">#REF!</definedName>
    <definedName name="SSﾃｽﾄ基準小計2">#REF!</definedName>
    <definedName name="SSﾃｽﾄ実績">#REF!</definedName>
    <definedName name="SSﾃｽﾄ実績小計1">#REF!</definedName>
    <definedName name="SSﾃｽﾄ実績小計2">#REF!</definedName>
    <definedName name="SS障害基準">#REF!</definedName>
    <definedName name="SS障害基準小計1">#REF!</definedName>
    <definedName name="SS障害基準小計2">#REF!</definedName>
    <definedName name="SS障害実績">#REF!</definedName>
    <definedName name="SS障害実績小計1">#REF!</definedName>
    <definedName name="SS障害実績小計2">#REF!</definedName>
    <definedName name="STﾃｽﾄ基準">#REF!</definedName>
    <definedName name="STﾃｽﾄ基準小計1">#REF!</definedName>
    <definedName name="STﾃｽﾄ基準小計2">#REF!</definedName>
    <definedName name="STﾃｽﾄ実績">#REF!</definedName>
    <definedName name="STﾃｽﾄ実績小計1">#REF!</definedName>
    <definedName name="STﾃｽﾄ実績小計2">#REF!</definedName>
    <definedName name="ST障害基準">#REF!</definedName>
    <definedName name="ST障害基準小計1">#REF!</definedName>
    <definedName name="ST障害基準小計2">#REF!</definedName>
    <definedName name="ST障害実績">#REF!</definedName>
    <definedName name="ST障害実績小計1">#REF!</definedName>
    <definedName name="ST障害実績小計2">#REF!</definedName>
    <definedName name="SU" localSheetId="2" hidden="1">{"'表紙'!$A$1:$W$39"}</definedName>
    <definedName name="SU" hidden="1">{"'表紙'!$A$1:$W$39"}</definedName>
    <definedName name="SUKE" localSheetId="2" hidden="1">{"'表紙'!$A$1:$W$39"}</definedName>
    <definedName name="SUKE" hidden="1">{"'表紙'!$A$1:$W$39"}</definedName>
    <definedName name="SYMBOL">#REF!</definedName>
    <definedName name="TBL_KEYS">#REF!</definedName>
    <definedName name="TBL_KEYS2">#REF!</definedName>
    <definedName name="tesutoaa" localSheetId="2" hidden="1">{"月例報告",#N/A,FALSE,"STB"}</definedName>
    <definedName name="tesutoaa" hidden="1">{"月例報告",#N/A,FALSE,"STB"}</definedName>
    <definedName name="ＴＯＰ" hidden="1">#REF!</definedName>
    <definedName name="TRANS_HEADER">#REF!</definedName>
    <definedName name="ｔｔ"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ｔｔ" hidden="1">{#N/A,#N/A,TRUE,"ﾒｲﾝｻｰﾊﾞ";#N/A,#N/A,TRUE,"ｽﾀﾝﾊﾞｲｻｰﾊﾞ";#N/A,#N/A,TRUE,"ﾒﾝﾃﾅﾝｽ&amp;SMS";#N/A,#N/A,TRUE,"ﾁｰﾌ端末(NT)";#N/A,#N/A,TRUE,"監視端末(NT)";#N/A,#N/A,TRUE,"予備端末";#N/A,#N/A,TRUE,"ﾈｯﾄﾜｰｸ機器";#N/A,#N/A,TRUE,"受信用PC98";#N/A,#N/A,TRUE,"とりまとめ"}</definedName>
    <definedName name="ttttttttttttttttttttttttttttttttttttttt"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ttttttttttttttttttttttttttttttttttttttt" hidden="1">{#N/A,#N/A,TRUE,"ﾒｲﾝｻｰﾊﾞ";#N/A,#N/A,TRUE,"ｽﾀﾝﾊﾞｲｻｰﾊﾞ";#N/A,#N/A,TRUE,"ﾒﾝﾃﾅﾝｽ&amp;SMS";#N/A,#N/A,TRUE,"ﾁｰﾌ端末(NT)";#N/A,#N/A,TRUE,"監視端末(NT)";#N/A,#N/A,TRUE,"予備端末";#N/A,#N/A,TRUE,"ﾈｯﾄﾜｰｸ機器";#N/A,#N/A,TRUE,"受信用PC98";#N/A,#N/A,TRUE,"とりまとめ"}</definedName>
    <definedName name="UIﾃｽﾄ基準">#REF!</definedName>
    <definedName name="UIﾃｽﾄ基準小計1">#REF!</definedName>
    <definedName name="UIﾃｽﾄ基準小計2">#REF!</definedName>
    <definedName name="UIﾃｽﾄ実績">#REF!</definedName>
    <definedName name="UIﾃｽﾄ実績小計1">#REF!</definedName>
    <definedName name="UIﾃｽﾄ実績小計2">#REF!</definedName>
    <definedName name="UI障害基準">#REF!</definedName>
    <definedName name="UI障害基準小計1">#REF!</definedName>
    <definedName name="UI障害基準小計2">#REF!</definedName>
    <definedName name="UI障害実績">#REF!</definedName>
    <definedName name="UI障害実績小計1">#REF!</definedName>
    <definedName name="UI障害実績小計2">#REF!</definedName>
    <definedName name="VE" localSheetId="2" hidden="1">{"'表紙'!$A$1:$W$39"}</definedName>
    <definedName name="VE" hidden="1">{"'表紙'!$A$1:$W$39"}</definedName>
    <definedName name="VH" localSheetId="2" hidden="1">{"'表紙'!$A$1:$W$39"}</definedName>
    <definedName name="VH" hidden="1">{"'表紙'!$A$1:$W$39"}</definedName>
    <definedName name="VN" localSheetId="2" hidden="1">{"'表紙'!$A$1:$W$39"}</definedName>
    <definedName name="VN" hidden="1">{"'表紙'!$A$1:$W$39"}</definedName>
    <definedName name="vv"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vv"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vvvv"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vvvvvv" hidden="1">{#N/A,#N/A,TRUE,"ﾒｲﾝｻｰﾊﾞ";#N/A,#N/A,TRUE,"ｽﾀﾝﾊﾞｲｻｰﾊﾞ";#N/A,#N/A,TRUE,"ﾒﾝﾃﾅﾝｽ&amp;SMS";#N/A,#N/A,TRUE,"ﾁｰﾌ端末(NT)";#N/A,#N/A,TRUE,"監視端末(NT)";#N/A,#N/A,TRUE,"予備端末";#N/A,#N/A,TRUE,"ﾈｯﾄﾜｰｸ機器";#N/A,#N/A,TRUE,"受信用PC98";#N/A,#N/A,TRUE,"とりまとめ"}</definedName>
    <definedName name="VW" localSheetId="2" hidden="1">{"'表紙'!$A$1:$W$39"}</definedName>
    <definedName name="VW" hidden="1">{"'表紙'!$A$1:$W$39"}</definedName>
    <definedName name="VX" localSheetId="2" hidden="1">{"'表紙'!$A$1:$W$39"}</definedName>
    <definedName name="VX" hidden="1">{"'表紙'!$A$1:$W$39"}</definedName>
    <definedName name="VZ" localSheetId="2" hidden="1">{"'表紙'!$A$1:$W$39"}</definedName>
    <definedName name="VZ" hidden="1">{"'表紙'!$A$1:$W$39"}</definedName>
    <definedName name="wrn.HCDN_全印刷." localSheetId="2" hidden="1">{"HCDN_注釈以外",#N/A,FALSE,"10.0対応";"HCDN_注釈",#N/A,FALSE,"10.0対応";"HCDN_注釈以外",#N/A,FALSE,"9.0対応";"HCDN_注釈",#N/A,FALSE,"9.0対応";#N/A,#N/A,FALSE,"ﾏﾆｭｱﾙ一覧";#N/A,#N/A,FALSE,"ﾏﾆｭｱﾙ一覧 (2)"}</definedName>
    <definedName name="wrn.HCDN_全印刷." hidden="1">{"HCDN_注釈以外",#N/A,FALSE,"10.0対応";"HCDN_注釈",#N/A,FALSE,"10.0対応";"HCDN_注釈以外",#N/A,FALSE,"9.0対応";"HCDN_注釈",#N/A,FALSE,"9.0対応";#N/A,#N/A,FALSE,"ﾏﾆｭｱﾙ一覧";#N/A,#N/A,FALSE,"ﾏﾆｭｱﾙ一覧 (2)"}</definedName>
    <definedName name="wrn.まとめ."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仕様書表紙." localSheetId="2" hidden="1">{#N/A,#N/A,FALSE,"表一覧"}</definedName>
    <definedName name="wrn.仕様書表紙." hidden="1">{#N/A,#N/A,FALSE,"表一覧"}</definedName>
    <definedName name="wrn.出力." localSheetId="2" hidden="1">{#N/A,#N/A,FALSE,"本部-店舗通信ﾃｽﾄｽｹｼﾞｭｰﾙ"}</definedName>
    <definedName name="wrn.出力." hidden="1">{#N/A,#N/A,FALSE,"本部-店舗通信ﾃｽﾄｽｹｼﾞｭｰﾙ"}</definedName>
    <definedName name="wrn.月例報告." localSheetId="2" hidden="1">{"月例報告",#N/A,FALSE,"STB"}</definedName>
    <definedName name="wrn.月例報告." hidden="1">{"月例報告",#N/A,FALSE,"STB"}</definedName>
    <definedName name="wrn.構成ｶﾞｲﾄﾞ_全印刷."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S" localSheetId="2" hidden="1">{"'表紙'!$A$1:$W$39"}</definedName>
    <definedName name="WS" hidden="1">{"'表紙'!$A$1:$W$39"}</definedName>
    <definedName name="wwwww"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wwwwww"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wwwwww" hidden="1">{#N/A,#N/A,TRUE,"ﾒｲﾝｻｰﾊﾞ";#N/A,#N/A,TRUE,"ｽﾀﾝﾊﾞｲｻｰﾊﾞ";#N/A,#N/A,TRUE,"ﾒﾝﾃﾅﾝｽ&amp;SMS";#N/A,#N/A,TRUE,"ﾁｰﾌ端末(NT)";#N/A,#N/A,TRUE,"監視端末(NT)";#N/A,#N/A,TRUE,"予備端末";#N/A,#N/A,TRUE,"ﾈｯﾄﾜｰｸ機器";#N/A,#N/A,TRUE,"受信用PC98";#N/A,#N/A,TRUE,"とりまとめ"}</definedName>
    <definedName name="XJ" localSheetId="2" hidden="1">{"'表紙'!$A$1:$W$39"}</definedName>
    <definedName name="XJ" hidden="1">{"'表紙'!$A$1:$W$39"}</definedName>
    <definedName name="XM" localSheetId="2" hidden="1">{"'表紙'!$A$1:$W$39"}</definedName>
    <definedName name="XM" hidden="1">{"'表紙'!$A$1:$W$39"}</definedName>
    <definedName name="XN" localSheetId="2" hidden="1">{"'表紙'!$A$1:$W$39"}</definedName>
    <definedName name="XN" hidden="1">{"'表紙'!$A$1:$W$39"}</definedName>
    <definedName name="xxxxxxxxxxxxxxxxxxxx"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xxxxxxxxxxxxxxxxxxxx" hidden="1">{#N/A,#N/A,TRUE,"ﾒｲﾝｻｰﾊﾞ";#N/A,#N/A,TRUE,"ｽﾀﾝﾊﾞｲｻｰﾊﾞ";#N/A,#N/A,TRUE,"ﾒﾝﾃﾅﾝｽ&amp;SMS";#N/A,#N/A,TRUE,"ﾁｰﾌ端末(NT)";#N/A,#N/A,TRUE,"監視端末(NT)";#N/A,#N/A,TRUE,"予備端末";#N/A,#N/A,TRUE,"ﾈｯﾄﾜｰｸ機器";#N/A,#N/A,TRUE,"受信用PC98";#N/A,#N/A,TRUE,"とりまとめ"}</definedName>
    <definedName name="XY" localSheetId="2" hidden="1">{"'表紙'!$A$1:$W$39"}</definedName>
    <definedName name="XY" hidden="1">{"'表紙'!$A$1:$W$39"}</definedName>
    <definedName name="yb" localSheetId="2" hidden="1">{"'表紙'!$A$1:$W$39"}</definedName>
    <definedName name="yb" hidden="1">{"'表紙'!$A$1:$W$39"}</definedName>
    <definedName name="yd" localSheetId="2" hidden="1">{"'表紙'!$A$1:$W$39"}</definedName>
    <definedName name="yd" hidden="1">{"'表紙'!$A$1:$W$39"}</definedName>
    <definedName name="yj" localSheetId="2" hidden="1">{"'表紙'!$A$1:$W$39"}</definedName>
    <definedName name="yj" hidden="1">{"'表紙'!$A$1:$W$39"}</definedName>
    <definedName name="yk" localSheetId="2" hidden="1">{"'表紙'!$A$1:$W$39"}</definedName>
    <definedName name="yk" hidden="1">{"'表紙'!$A$1:$W$39"}</definedName>
    <definedName name="yl" localSheetId="2" hidden="1">{"'表紙'!$A$1:$W$39"}</definedName>
    <definedName name="yl" hidden="1">{"'表紙'!$A$1:$W$39"}</definedName>
    <definedName name="ys" localSheetId="2" hidden="1">{"'表紙'!$A$1:$W$39"}</definedName>
    <definedName name="ys" hidden="1">{"'表紙'!$A$1:$W$39"}</definedName>
    <definedName name="yv" localSheetId="2" hidden="1">{"'表紙'!$A$1:$W$39"}</definedName>
    <definedName name="yv" hidden="1">{"'表紙'!$A$1:$W$39"}</definedName>
    <definedName name="yyd" localSheetId="2" hidden="1">{"'表紙'!$A$1:$W$39"}</definedName>
    <definedName name="yyd" hidden="1">{"'表紙'!$A$1:$W$39"}</definedName>
    <definedName name="yyg" localSheetId="2" hidden="1">{"'表紙'!$A$1:$W$39"}</definedName>
    <definedName name="yyg" hidden="1">{"'表紙'!$A$1:$W$39"}</definedName>
    <definedName name="yyh" localSheetId="2" hidden="1">{"'表紙'!$A$1:$W$39"}</definedName>
    <definedName name="yyh" hidden="1">{"'表紙'!$A$1:$W$39"}</definedName>
    <definedName name="yyj" localSheetId="2" hidden="1">{"'表紙'!$A$1:$W$39"}</definedName>
    <definedName name="yyj" hidden="1">{"'表紙'!$A$1:$W$39"}</definedName>
    <definedName name="yyn" localSheetId="2" hidden="1">{"'表紙'!$A$1:$W$39"}</definedName>
    <definedName name="yyn" hidden="1">{"'表紙'!$A$1:$W$39"}</definedName>
    <definedName name="yyp" localSheetId="2" hidden="1">{"'表紙'!$A$1:$W$39"}</definedName>
    <definedName name="yyp" hidden="1">{"'表紙'!$A$1:$W$39"}</definedName>
    <definedName name="yys" localSheetId="2" hidden="1">{"'表紙'!$A$1:$W$39"}</definedName>
    <definedName name="yys" hidden="1">{"'表紙'!$A$1:$W$39"}</definedName>
    <definedName name="yyw" localSheetId="2" hidden="1">{"'表紙'!$A$1:$W$39"}</definedName>
    <definedName name="yyw" hidden="1">{"'表紙'!$A$1:$W$39"}</definedName>
    <definedName name="Z" localSheetId="2" hidden="1">{"'機能一覧 Master'!$A$1:$I$56"}</definedName>
    <definedName name="Z" hidden="1">{"'機能一覧 Master'!$A$1:$I$56"}</definedName>
    <definedName name="ZH" localSheetId="2" hidden="1">{"'表紙'!$A$1:$W$39"}</definedName>
    <definedName name="ZH" hidden="1">{"'表紙'!$A$1:$W$39"}</definedName>
    <definedName name="ZK" localSheetId="2" hidden="1">{"'表紙'!$A$1:$W$39"}</definedName>
    <definedName name="ZK" hidden="1">{"'表紙'!$A$1:$W$39"}</definedName>
    <definedName name="zz" localSheetId="2" hidden="1">{"'フローチャート'!$A$1:$AO$191"}</definedName>
    <definedName name="zz" hidden="1">{"'フローチャート'!$A$1:$AO$191"}</definedName>
    <definedName name="ZZZ" localSheetId="2" hidden="1">{"'フローチャート'!$A$1:$AO$191"}</definedName>
    <definedName name="ZZZ" hidden="1">{"'フローチャート'!$A$1:$AO$191"}</definedName>
    <definedName name="ZZZZ" localSheetId="2" hidden="1">{"'フローチャート'!$A$1:$AO$191"}</definedName>
    <definedName name="ZZZZ" hidden="1">{"'フローチャート'!$A$1:$AO$191"}</definedName>
    <definedName name="zzzzzzzzzzzzzzzzzz"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zzzzzzzzzzzzzzzzzz"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あ" localSheetId="2" hidden="1">{"'表紙'!$A$1:$W$39"}</definedName>
    <definedName name="あ" hidden="1">{"'表紙'!$A$1:$W$39"}</definedName>
    <definedName name="ああ">#REF!</definedName>
    <definedName name="あああ" hidden="1">#REF!</definedName>
    <definedName name="あああああ" localSheetId="2" hidden="1">{"'機能一覧 Master'!$A$1:$I$56"}</definedName>
    <definedName name="あああああ" hidden="1">{"'機能一覧 Master'!$A$1:$I$56"}</definedName>
    <definedName name="ああああああ" localSheetId="2" hidden="1">{"'発注データ送信 確認事項'!$A$1:$D$28"}</definedName>
    <definedName name="ああああああ" hidden="1">{"'発注データ送信 確認事項'!$A$1:$D$28"}</definedName>
    <definedName name="あいう" localSheetId="2" hidden="1">{"'発注データ送信 確認事項'!$A$1:$D$28"}</definedName>
    <definedName name="あいう" hidden="1">{"'発注データ送信 確認事項'!$A$1:$D$28"}</definedName>
    <definedName name="アクライアラ情報登録変更" hidden="1">#REF!</definedName>
    <definedName name="ｱｸﾜｲｱﾗ情報" hidden="1">#REF!</definedName>
    <definedName name="ｱｸﾜｲｱﾗ情報照会" hidden="1">#REF!</definedName>
    <definedName name="あるべき姿">#REF!</definedName>
    <definedName name="インタセクト" hidden="1">#REF!</definedName>
    <definedName name="グラフ" localSheetId="2" hidden="1">{"'表紙'!$A$1:$W$39"}</definedName>
    <definedName name="グラフ" hidden="1">{"'表紙'!$A$1:$W$39"}</definedName>
    <definedName name="コミニュケーション" localSheetId="2" hidden="1">{"'表紙'!$A$1:$W$39"}</definedName>
    <definedName name="コミニュケーション" hidden="1">{"'表紙'!$A$1:$W$39"}</definedName>
    <definedName name="ｺﾐﾆｭｹｰｼｮﾝ計画" localSheetId="2" hidden="1">{"'表紙'!$A$1:$W$39"}</definedName>
    <definedName name="ｺﾐﾆｭｹｰｼｮﾝ計画" hidden="1">{"'表紙'!$A$1:$W$39"}</definedName>
    <definedName name="システム版数">#REF!</definedName>
    <definedName name="スケジュール" localSheetId="2" hidden="1">{"'表紙'!$A$1:$W$39"}</definedName>
    <definedName name="スケジュール" hidden="1">{"'表紙'!$A$1:$W$39"}</definedName>
    <definedName name="すけじゅーる２" localSheetId="2" hidden="1">{"'表紙'!$A$1:$W$39"}</definedName>
    <definedName name="すけじゅーる２" hidden="1">{"'表紙'!$A$1:$W$39"}</definedName>
    <definedName name="たいうおう" localSheetId="2" hidden="1">{"'表紙'!$A$1:$W$39"}</definedName>
    <definedName name="たいうおう" hidden="1">{"'表紙'!$A$1:$W$39"}</definedName>
    <definedName name="っっj" localSheetId="2" hidden="1">{"'表紙'!$A$1:$W$39"}</definedName>
    <definedName name="っっj" hidden="1">{"'表紙'!$A$1:$W$39"}</definedName>
    <definedName name="デフォルト値">#REF!</definedName>
    <definedName name="パスワード変更" hidden="1">#REF!</definedName>
    <definedName name="マスタ" localSheetId="2" hidden="1">{"'表紙'!$A$1:$W$39"}</definedName>
    <definedName name="マスタ" hidden="1">{"'表紙'!$A$1:$W$39"}</definedName>
    <definedName name="レシートサンプル" localSheetId="2" hidden="1">{"'表紙'!$A$1:$W$39"}</definedName>
    <definedName name="レシートサンプル" hidden="1">{"'表紙'!$A$1:$W$39"}</definedName>
    <definedName name="一括先" hidden="1">#REF!</definedName>
    <definedName name="一括先用" hidden="1">#REF!</definedName>
    <definedName name="今回業務改革計画">#REF!</definedName>
    <definedName name="仕様書" localSheetId="2" hidden="1">{#N/A,#N/A,FALSE,"表一覧"}</definedName>
    <definedName name="仕様書" hidden="1">{#N/A,#N/A,FALSE,"表一覧"}</definedName>
    <definedName name="付帯作業項目">#REF!</definedName>
    <definedName name="体制" localSheetId="2" hidden="1">{"'表紙'!$A$1:$W$39"}</definedName>
    <definedName name="体制" hidden="1">{"'表紙'!$A$1:$W$39"}</definedName>
    <definedName name="例外" hidden="1">#REF!</definedName>
    <definedName name="優先度">#REF!</definedName>
    <definedName name="全体" localSheetId="2" hidden="1">{"'表紙'!$A$1:$W$39"}</definedName>
    <definedName name="全体" hidden="1">{"'表紙'!$A$1:$W$39"}</definedName>
    <definedName name="共通" localSheetId="2" hidden="1">{"'フローチャート'!$A$1:$AO$191"}</definedName>
    <definedName name="共通" hidden="1">{"'フローチャート'!$A$1:$AO$191"}</definedName>
    <definedName name="分類1">#REF!</definedName>
    <definedName name="分類2">#REF!</definedName>
    <definedName name="加盟店情報" hidden="1">#REF!</definedName>
    <definedName name="加盟店情報１" hidden="1">#REF!</definedName>
    <definedName name="加盟店情報変更" hidden="1">#REF!</definedName>
    <definedName name="原因区分">#REF!</definedName>
    <definedName name="品質" localSheetId="2" hidden="1">{"'表紙'!$A$1:$W$39"}</definedName>
    <definedName name="品質" hidden="1">{"'表紙'!$A$1:$W$39"}</definedName>
    <definedName name="問合せ" hidden="1">#REF!</definedName>
    <definedName name="問題・課題">#REF!</definedName>
    <definedName name="問題管理台帳２" localSheetId="2" hidden="1">{"'フローチャート'!$A$1:$AO$191"}</definedName>
    <definedName name="問題管理台帳２" hidden="1">{"'フローチャート'!$A$1:$AO$191"}</definedName>
    <definedName name="将来計画">#REF!</definedName>
    <definedName name="店舗DF_KEYS">#REF!</definedName>
    <definedName name="店舗情報" hidden="1">#REF!</definedName>
    <definedName name="店舗情報１" hidden="1">#REF!</definedName>
    <definedName name="店舗情報明細" hidden="1">#REF!</definedName>
    <definedName name="影響度">#REF!</definedName>
    <definedName name="御見積前提"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御見積前提" hidden="1">{#N/A,#N/A,TRUE,"ﾒｲﾝｻｰﾊﾞ";#N/A,#N/A,TRUE,"ｽﾀﾝﾊﾞｲｻｰﾊﾞ";#N/A,#N/A,TRUE,"ﾒﾝﾃﾅﾝｽ&amp;SMS";#N/A,#N/A,TRUE,"ﾁｰﾌ端末(NT)";#N/A,#N/A,TRUE,"監視端末(NT)";#N/A,#N/A,TRUE,"予備端末";#N/A,#N/A,TRUE,"ﾈｯﾄﾜｰｸ機器";#N/A,#N/A,TRUE,"受信用PC98";#N/A,#N/A,TRUE,"とりまとめ"}</definedName>
    <definedName name="所属">#REF!</definedName>
    <definedName name="担当部署">#REF!</definedName>
    <definedName name="改版履歴" localSheetId="2" hidden="1">{"'表紙'!$A$1:$W$39"}</definedName>
    <definedName name="改版履歴" hidden="1">{"'表紙'!$A$1:$W$39"}</definedName>
    <definedName name="改革" localSheetId="2" hidden="1">{"'表紙'!$A$1:$W$39"}</definedName>
    <definedName name="改革" hidden="1">{"'表紙'!$A$1:$W$39"}</definedName>
    <definedName name="新見積条件共通" localSheetId="2" hidden="1">{"'フローチャート'!$A$1:$AO$191"}</definedName>
    <definedName name="新見積条件共通" hidden="1">{"'フローチャート'!$A$1:$AO$191"}</definedName>
    <definedName name="月例報告2" localSheetId="2" hidden="1">{"月例報告",#N/A,FALSE,"STB"}</definedName>
    <definedName name="月例報告2" hidden="1">{"月例報告",#N/A,FALSE,"STB"}</definedName>
    <definedName name="概要" localSheetId="2" hidden="1">{"'表紙'!$A$1:$W$39"}</definedName>
    <definedName name="概要" hidden="1">{"'表紙'!$A$1:$W$39"}</definedName>
    <definedName name="版数">#REF!</definedName>
    <definedName name="版数１">#REF!</definedName>
    <definedName name="版数2">#REF!</definedName>
    <definedName name="版数3">#REF!</definedName>
    <definedName name="物流DF_KEYS">#REF!</definedName>
    <definedName name="現状">#REF!</definedName>
    <definedName name="現象">#REF!</definedName>
    <definedName name="番号">#REF!</definedName>
    <definedName name="発生工程">#REF!</definedName>
    <definedName name="発行区分">#REF!</definedName>
    <definedName name="発行区分１">#REF!</definedName>
    <definedName name="発行者名">#REF!</definedName>
    <definedName name="種別">#REF!</definedName>
    <definedName name="端末情報" hidden="1">#REF!</definedName>
    <definedName name="端末情報変更" hidden="1">#REF!</definedName>
    <definedName name="端末情報照会" hidden="1">#REF!</definedName>
    <definedName name="端末情報登録・変更" hidden="1">#REF!</definedName>
    <definedName name="考慮" localSheetId="2" hidden="1">{"'発注データ送信 確認事項'!$A$1:$D$28"}</definedName>
    <definedName name="考慮" hidden="1">{"'発注データ送信 確認事項'!$A$1:$D$28"}</definedName>
    <definedName name="解決策">#REF!</definedName>
    <definedName name="計画" localSheetId="2" hidden="1">{"'表紙'!$A$1:$W$39"}</definedName>
    <definedName name="計画" hidden="1">{"'表紙'!$A$1:$W$39"}</definedName>
    <definedName name="責任体制" localSheetId="2" hidden="1">{"'表紙'!$A$1:$W$39"}</definedName>
    <definedName name="責任体制" hidden="1">{"'表紙'!$A$1:$W$39"}</definedName>
    <definedName name="辞書範囲">#REF!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4" i="18" l="1" a="1"/>
  <c r="AP4" i="18" s="1"/>
  <c r="Z4" i="18"/>
  <c r="H4" i="18"/>
  <c r="AT2" i="18"/>
  <c r="AP2" i="18"/>
  <c r="K2" i="18"/>
  <c r="A2" i="18"/>
  <c r="W1" i="18"/>
  <c r="AP4" i="17" a="1"/>
  <c r="AP4" i="17" s="1"/>
  <c r="Z4" i="17"/>
  <c r="H4" i="17"/>
  <c r="K2" i="17"/>
  <c r="A2" i="17"/>
  <c r="W1" i="17"/>
  <c r="AP4" i="15" a="1"/>
  <c r="AP4" i="15" s="1"/>
  <c r="Z4" i="15"/>
  <c r="H4" i="15"/>
  <c r="K2" i="15"/>
  <c r="A2" i="15"/>
  <c r="W1" i="15"/>
  <c r="W1" i="13"/>
  <c r="AP4" i="14" a="1"/>
  <c r="AP4" i="14" s="1"/>
  <c r="Z4" i="14"/>
  <c r="H4" i="14"/>
  <c r="W1" i="14"/>
  <c r="A2" i="14"/>
  <c r="K2" i="14"/>
  <c r="AP4" i="13" a="1"/>
  <c r="AP4" i="13" s="1"/>
  <c r="Z4" i="13"/>
  <c r="K2" i="13"/>
  <c r="H4" i="13"/>
  <c r="A2" i="13"/>
  <c r="AP4" i="10" a="1"/>
  <c r="AP4" i="10" s="1"/>
  <c r="Z4" i="10"/>
  <c r="W1" i="10"/>
  <c r="K2" i="10"/>
  <c r="H4" i="10"/>
  <c r="A2" i="10"/>
  <c r="AP4" i="9" a="1"/>
  <c r="AP4" i="9" s="1"/>
  <c r="Z4" i="9"/>
  <c r="W1" i="9"/>
  <c r="K2" i="9"/>
  <c r="H4" i="9"/>
  <c r="A2" i="9"/>
  <c r="AP4" i="3" a="1"/>
  <c r="AP4" i="3" s="1"/>
  <c r="Z4" i="3"/>
  <c r="W1" i="3"/>
  <c r="K2" i="3"/>
  <c r="H4" i="3"/>
  <c r="A2" i="3"/>
  <c r="AP4" i="4" a="1"/>
  <c r="AP4" i="4" s="1"/>
  <c r="BH2" i="4"/>
  <c r="BH2" i="3" s="1"/>
  <c r="BC2" i="4"/>
  <c r="BC2" i="3" s="1"/>
  <c r="AY2" i="4"/>
  <c r="AY2" i="3" s="1"/>
  <c r="AT2" i="4"/>
  <c r="AP2" i="4"/>
  <c r="AY2" i="18" l="1"/>
  <c r="BH2" i="18"/>
  <c r="BC2" i="18"/>
  <c r="AP2" i="17"/>
  <c r="AP2" i="15"/>
  <c r="AP2" i="14"/>
  <c r="AP2" i="13"/>
  <c r="AP2" i="10"/>
  <c r="AP2" i="9"/>
  <c r="AP2" i="3"/>
  <c r="AT2" i="17"/>
  <c r="AT2" i="15"/>
  <c r="AT2" i="14"/>
  <c r="AT2" i="13"/>
  <c r="AT2" i="10"/>
  <c r="AT2" i="9"/>
  <c r="AT2" i="3"/>
  <c r="AY2" i="14"/>
  <c r="BH2" i="9"/>
  <c r="AY2" i="15"/>
  <c r="AY2" i="17"/>
  <c r="AY2" i="13"/>
  <c r="BH2" i="15"/>
  <c r="BH2" i="17"/>
  <c r="AY2" i="9"/>
  <c r="AY2" i="10"/>
  <c r="BH2" i="13"/>
  <c r="BH2" i="10"/>
  <c r="BH2" i="14"/>
  <c r="BC2" i="9"/>
  <c r="BC2" i="15"/>
  <c r="BC2" i="10"/>
  <c r="BC2" i="13"/>
  <c r="BC2" i="17"/>
  <c r="BC2" i="1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<sst xmlns="http://schemas.openxmlformats.org/spreadsheetml/2006/main" count="469" uniqueCount="252">
  <si>
    <t>Tên hệ thống</t>
    <phoneticPr fontId="13"/>
  </si>
  <si>
    <t>Loại hệ thống</t>
    <phoneticPr fontId="13"/>
  </si>
  <si>
    <t>Tổng quan về xử lý</t>
  </si>
  <si>
    <t>Tác giả</t>
    <phoneticPr fontId="13"/>
  </si>
  <si>
    <t>Ngày tạo</t>
    <phoneticPr fontId="13"/>
  </si>
  <si>
    <t>Cập nhật bởi</t>
    <phoneticPr fontId="13"/>
  </si>
  <si>
    <t>Ngày cập nhật</t>
    <phoneticPr fontId="13"/>
  </si>
  <si>
    <t>Số phiên bản</t>
    <phoneticPr fontId="13"/>
  </si>
  <si>
    <t>POS tự phục vụ đơn giản chỉ dùng tiền mặt</t>
    <phoneticPr fontId="13"/>
  </si>
  <si>
    <r>
      <rPr>
        <sz val="11"/>
        <color rgb="FF000000"/>
        <rFont val="Meiryo UI"/>
        <family val="3"/>
        <charset val="128"/>
      </rPr>
      <t>Máy chủ POS</t>
    </r>
  </si>
  <si>
    <t>Danh mục chức năng</t>
    <phoneticPr fontId="13"/>
  </si>
  <si>
    <t>nhãn kệ điện tử</t>
    <rPh sb="0" eb="4">
      <t>Denshitanafuda</t>
    </rPh>
    <phoneticPr fontId="13"/>
  </si>
  <si>
    <t>mục</t>
    <phoneticPr fontId="13"/>
  </si>
  <si>
    <t>Tài liệu thiết kế cơ bản POS tự phục vụ đơn giản chỉ dùng tiền mặt</t>
    <phoneticPr fontId="13"/>
  </si>
  <si>
    <t>Máy chủ POS/nhãn kệ điện tử/</t>
  </si>
  <si>
    <t>Ngày phê duyệt</t>
    <phoneticPr fontId="13"/>
  </si>
  <si>
    <t>Người phê duyệt</t>
    <phoneticPr fontId="13"/>
  </si>
  <si>
    <t>■ Lịch sử sửa đổi và bãi bỏ</t>
    <phoneticPr fontId="13"/>
  </si>
  <si>
    <t>Thay đổi</t>
    <phoneticPr fontId="13"/>
  </si>
  <si>
    <t>HiệpPD</t>
  </si>
  <si>
    <r>
      <rPr>
        <sz val="11"/>
        <color rgb="FF000000"/>
        <rFont val="Meiryo UI"/>
        <family val="3"/>
        <charset val="128"/>
      </rPr>
      <t>Tạo mới</t>
    </r>
  </si>
  <si>
    <t>Thêm trang tính "Cấu hình thư mục SFTP"</t>
  </si>
  <si>
    <t>Thêm trang tính "Cấu hình mã nguồn"</t>
  </si>
  <si>
    <t>Sửa đổi bảng "Xử lý tổng thể"</t>
  </si>
  <si>
    <t>Thêm trang tính "Danh sách nhật ký"</t>
  </si>
  <si>
    <t>Thêm một trang tính "Mẫu Email"</t>
  </si>
  <si>
    <t>Cập nhật thông báo đầu ra trong một trang tính</t>
  </si>
  <si>
    <t>Thêm phản hồi sau khi sự cố xảy ra vào trang tính "Danh sách nhật ký"</t>
  </si>
  <si>
    <t>Thêm luồng giám sát vào trang tính "Xử lý tổng thể"</t>
  </si>
  <si>
    <t>KHÔNG</t>
    <phoneticPr fontId="6"/>
  </si>
  <si>
    <t>loại</t>
    <phoneticPr fontId="6"/>
  </si>
  <si>
    <t>câu hỏi</t>
    <rPh sb="0" eb="2">
      <t>Shitsumon</t>
    </rPh>
    <phoneticPr fontId="6"/>
  </si>
  <si>
    <t>Người hỏi</t>
    <rPh sb="0" eb="3">
      <t>Shitsumonsha</t>
    </rPh>
    <phoneticPr fontId="6"/>
  </si>
  <si>
    <t>trả lời</t>
    <rPh sb="0" eb="2">
      <t>Kaito</t>
    </rPh>
    <phoneticPr fontId="6"/>
  </si>
  <si>
    <t>trạng thái</t>
    <phoneticPr fontId="6"/>
  </si>
  <si>
    <t>*Nhận được chủ</t>
  </si>
  <si>
    <t>OC/S&amp;G</t>
  </si>
  <si>
    <t>Hộp thư đến</t>
  </si>
  <si>
    <t>cò súng</t>
  </si>
  <si>
    <t>Xử lý hàng loạt</t>
  </si>
  <si>
    <t>Đồng hồ đám mây</t>
  </si>
  <si>
    <t>E-mail</t>
  </si>
  <si>
    <t>Chỉ nhận</t>
  </si>
  <si>
    <t>Chỉ dành cho nhập khẩu</t>
  </si>
  <si>
    <t>Chỉ nhật ký</t>
  </si>
  <si>
    <t>Chỉ sao lưu</t>
  </si>
  <si>
    <t>※Nhập khẩu master</t>
  </si>
  <si>
    <t>Cơ sở dữ liệu</t>
  </si>
  <si>
    <t>* (Sản phẩm/Giá bán) Thông tin tạo tệp TXT</t>
  </si>
  <si>
    <t>Thư mục đầu ra</t>
  </si>
  <si>
    <t>Chỉ đầu ra</t>
  </si>
  <si>
    <t>* (Sản phẩm/Giá bán) Thông tin truyền tệp TXT</t>
  </si>
  <si>
    <t>IshidaFTP</t>
  </si>
  <si>
    <t>* Theo dõi luồng (theo dõi nhập khẩu chính)</t>
  </si>
  <si>
    <t>1. Mã nguồn hàng loạt</t>
  </si>
  <si>
    <t>URL: https://git.luvina.net/dev1/pos-server/pos-server-batch-ishida</t>
  </si>
  <si>
    <t>Chi nhánh:</t>
  </si>
  <si>
    <t>phát triển -&gt; Môi trường Spike</t>
  </si>
  <si>
    <t>dàn dựng -&gt; Môi trường dàn dựng</t>
  </si>
  <si>
    <t>main -&gt; Production Evinronment</t>
  </si>
  <si>
    <t>#</t>
  </si>
  <si>
    <t>Báo cáo</t>
  </si>
  <si>
    <t>Thư mục đầu tiên</t>
  </si>
  <si>
    <t>Thư mục thứ hai</t>
  </si>
  <si>
    <t>Nội dung</t>
  </si>
  <si>
    <t>pos-server-batch-ishida/</t>
  </si>
  <si>
    <t>/ishida</t>
  </si>
  <si>
    <t>trình giải nén/</t>
  </si>
  <si>
    <t>Quá trình giải nén các tệp .ZIP</t>
  </si>
  <si>
    <t xml:space="preserve"> kiểm tra kết thúc tập tin khớp/</t>
  </si>
  <si>
    <t>Kiểm tra tệp .END</t>
  </si>
  <si>
    <t>trình xử lý tách csv/</t>
  </si>
  <si>
    <t>Xử lý để tách tất cả dữ liệu cửa hàng thành các tệp CSV cho từng cửa hàng</t>
  </si>
  <si>
    <t>tạo-tệp-kết-thúc-xử-lý/</t>
  </si>
  <si>
    <t>Quá trình tạo tệp .END</t>
  </si>
  <si>
    <t>người nhập khẩu bản sao/</t>
  </si>
  <si>
    <t>Nhập vào cơ sở dữ liệu bản sao</t>
  </si>
  <si>
    <t>chuyển đổi và xuất tệp csv-oc/</t>
  </si>
  <si>
    <t>Chuyển đổi dữ liệu từ cơ sở dữ liệu bản sao và tạo CSV (cho OC)</t>
  </si>
  <si>
    <t>chuyển đổi và xuất tệp csv-sg/</t>
  </si>
  <si>
    <t>Quy trình chuyển đổi dữ liệu từ cơ sở dữ liệu bản sao và tạo CSV (cho SG)</t>
  </si>
  <si>
    <t>split-txt-by-sent-time-handler/</t>
  </si>
  <si>
    <t>Chia tệp txt trong path000 thành nhiều tệp txt theo ngày và giờ gửi mong muốn</t>
  </si>
  <si>
    <t>trình nhập cơ sở dữ liệu sao lưu/</t>
  </si>
  <si>
    <t>Nhập tệp .txt đã gửi vào cơ sở dữ liệu sao lưu</t>
  </si>
  <si>
    <t>trình xử lý sao lưu-txt/</t>
  </si>
  <si>
    <t>Di chuyển các tệp .txt đến một thư mục được chỉ định</t>
  </si>
  <si>
    <t>trình xử lý tệp gửi/</t>
  </si>
  <si>
    <t>Gửi tệp .txt cho ông Ishida</t>
  </si>
  <si>
    <t>lấy-đồng-bộ-lưu-trữ</t>
  </si>
  <si>
    <t>Nhận thông tin cửa hàng</t>
  </si>
  <si>
    <t>Tên cửa hàng</t>
  </si>
  <si>
    <t>Điểm đến kết nối</t>
  </si>
  <si>
    <t>Các loại tập tin</t>
  </si>
  <si>
    <t>xô</t>
  </si>
  <si>
    <t>tiền tố</t>
  </si>
  <si>
    <t>Tên tập tin</t>
  </si>
  <si>
    <t>Kasumi</t>
  </si>
  <si>
    <t>OC</t>
  </si>
  <si>
    <t>Liên kết bên ngoài Master</t>
  </si>
  <si>
    <t xml:space="preserve"> /prd-ignica-ksm /stg-ignica-ksm /spk-ignica-ksm</t>
  </si>
  <si>
    <t>/pos-bản gốc</t>
  </si>
  <si>
    <t>/oc</t>
  </si>
  <si>
    <t>/nhận được</t>
  </si>
  <si>
    <t xml:space="preserve"> {table_name}.CSV {table_name}.END P001.CSV P001.END Ví dụ: GHPLUM.csv GHPLUM.END</t>
  </si>
  <si>
    <t>/csv</t>
  </si>
  <si>
    <t>/{store_code} Ví dụ: 09176</t>
  </si>
  <si>
    <t>/{tên_bảng}/ Ví dụ: GHPLUM</t>
  </si>
  <si>
    <t>{table_name}_{yyyymmddhhmmss}.CSV {table_name}_{yyyymmddhhmmss}.END Ví dụ: GHPLUM_20250102150623.CSV GHPLUM_20250102150623.END</t>
  </si>
  <si>
    <t>/{tên_bảng}/ Ví dụ: P001</t>
  </si>
  <si>
    <t>P001_20250102150623.CSV P001_20250102150623.KẾT THÚC</t>
  </si>
  <si>
    <t>/{mã_cửa_hàng}</t>
  </si>
  <si>
    <t>/GHPLUM/</t>
  </si>
  <si>
    <t>/P001/</t>
  </si>
  <si>
    <t>hỗ trợ</t>
  </si>
  <si>
    <t>GHPLUM_20250102150623.CSV GHPLUM_20250102150623.KẾT THÚC</t>
  </si>
  <si>
    <t>/nhật ký</t>
  </si>
  <si>
    <t>GHPLUM_import_2025010250623.log P001_import_2025010250623.log</t>
  </si>
  <si>
    <t>Máy chủ chuyển tiếp S&amp;G</t>
  </si>
  <si>
    <t>/sg</t>
  </si>
  <si>
    <t>[mã_công_ty 5 chữ số]00100_[mã_cửa_hàng 5 chữ số]09176_[năm/tháng/ngày 8 chữ số][thời_gian 6 chữ số]20250522104538316.zip [mã_công_ty 5 chữ số]00100_[mã_cửa_hàng 5 chữ số]09176_[năm/tháng/ngày 8 chữ số][thời_gian 6 chữ số]20250522104538316.zip.END Ví dụ: 00100_09176_20250522104538316.zip 00100_09176_20250522104538316.zip.END</t>
  </si>
  <si>
    <t>/{mã_cửa_hàng}00398</t>
  </si>
  <si>
    <t>/{table_name} Ví dụ: ItemMaster</t>
  </si>
  <si>
    <t>ItemMaster_20250102120340_20250102120540.csv ItemMaster_20250102120340_20250102120540.HẾT</t>
  </si>
  <si>
    <t>/{table_name} Ví dụ: SpecialPriceKsmMaster</t>
  </si>
  <si>
    <t>SpecialPriceKsmMaster_20250102120340_20250102120540.csvGiá đặc biệtKsmMaster_20250102120340_20250102120540.END</t>
  </si>
  <si>
    <t>/{table_name} Ví dụ: ForcePriceMaster</t>
  </si>
  <si>
    <t>ForcePriceMaster_20250102120340_20250102120540.csv ForcePriceMaster_20250102120340_20250102120540.HẾT</t>
  </si>
  <si>
    <t>/{tên_bảng}</t>
  </si>
  <si>
    <t>ItemMaster_20250102120340_20250102120540.csv</t>
  </si>
  <si>
    <t>Giá đặc biệtKsmMaster_20250102120340_20250102120540.csv</t>
  </si>
  <si>
    <t>ForcePriceMaster_20250102120340_20250102120540.csv</t>
  </si>
  <si>
    <t>ItemMaster_import_20250102120340.log Giá đặc biệtKsmMaster_import_2025010250623.log</t>
  </si>
  <si>
    <t>Nhãn kệ điện tử ISHIDA</t>
  </si>
  <si>
    <t>POS Master</t>
  </si>
  <si>
    <t>/pos-master</t>
  </si>
  <si>
    <t>{4 chữ số cuối của số cửa hàng}{Cố định thành 00}{ngày 8 chữ số, thời gian 6 chữ số}SHOHIN.TXT {4 chữ số cuối của số cửa hàng}{Cố định thành 00}{ngày 8 chữ số, thời gian 6 chữ số}ESLDATA.TXT Ví dụ: 03980020250630SHOHIN.TXT 03980020250630ESLDATA.TXT</t>
  </si>
  <si>
    <t>{4 chữ số cuối của số cửa hàng}{Đã sửa thành 00}{ngày 8 chữ số, thời gian 6 chữ số}SHOHIN.log {4 chữ số cuối của số cửa hàng}{Đã sửa thành 00}{ngày 8 chữ số, thời gian 6 chữ số}ESLDATA.error Ví dụ: 03980020250630SHOHIN.log 03980020250630ESLDATA.error</t>
  </si>
  <si>
    <t>1. Nhật ký Cloudwatch</t>
  </si>
  <si>
    <t>Vị trí lưu trữ</t>
  </si>
  <si>
    <t>quá trình</t>
  </si>
  <si>
    <t>Loại nhật ký</t>
  </si>
  <si>
    <t>Tiêu đề email</t>
  </si>
  <si>
    <t>nhận xét</t>
  </si>
  <si>
    <t>Phản ứng sau sự cố</t>
  </si>
  <si>
    <t>/pos/log/import/all</t>
  </si>
  <si>
    <t>Nhận chủ</t>
  </si>
  <si>
    <t>Nhật ký ứng dụng</t>
  </si>
  <si>
    <t>{table_name} Bắt đầu nhận dữ liệu chính BIPOROGY {table_name} Bắt đầu nhận dữ liệu chính máy chủ POS</t>
  </si>
  <si>
    <t>Bắt đầu nhận máy chủ BIPOROGY/POS</t>
  </si>
  <si>
    <t>Không có thông báo nào được gửi</t>
  </si>
  <si>
    <t>{table_name} Đã hoàn tất tiếp nhận chính {file_name} Đã hoàn tất tiếp nhận chính cho máy chủ POS</t>
  </si>
  <si>
    <t>Biên lai chính của máy chủ BIPOROGY/POS đã hoàn tất</t>
  </si>
  <si>
    <t>Nhập khẩu chính</t>
  </si>
  <si>
    <t>{store_code}_{table_name} Đã bắt đầu nhập vào cơ sở dữ liệu bản sao</t>
  </si>
  <si>
    <t>Bắt đầu nhập vào cơ sở dữ liệu bản sao</t>
  </si>
  <si>
    <t xml:space="preserve"> {store_code}_{table_name} Đã hoàn tất nhập vào bản sao chính</t>
  </si>
  <si>
    <t>Đã hoàn tất nhập vào bản sao chính</t>
  </si>
  <si>
    <t>/pos/log/export/all</t>
  </si>
  <si>
    <t>Tạo tệp thông tin (Sản phẩm/Giá bán)</t>
  </si>
  <si>
    <t>{store_code} Bắt đầu tạo dữ liệu được liên kết</t>
  </si>
  <si>
    <t>Ở bước tạo thông tin (sản phẩm và giá bán), hãy bắt đầu tạo tệp TXT.</t>
  </si>
  <si>
    <t>{store_code} Đã hoàn tất việc tạo dữ liệu được liên kết</t>
  </si>
  <si>
    <t>Ở bước tạo thông tin (sản phẩm và giá bán), hãy hoàn tất việc tạo tệp TXT.</t>
  </si>
  <si>
    <t>/pos/log/sent/all</t>
  </si>
  <si>
    <t>(Sản phẩm/Giá bán) Tệp thông tin truyền tải</t>
  </si>
  <si>
    <t>{file_name} đã bắt đầu chuyển tập tin</t>
  </si>
  <si>
    <t>Trong bước gửi thông tin (sản phẩm và giá bán), hãy bắt đầu gửi tệp TXT</t>
  </si>
  <si>
    <t>{file_name} đã hoàn tất việc chuyển tập tin</t>
  </si>
  <si>
    <t>Ở bước gửi thông tin (sản phẩm và giá bán), tệp TXT sẽ được gửi.</t>
  </si>
  <si>
    <t>/pos/log/import/error/</t>
  </si>
  <si>
    <t>Nhật ký lỗi</t>
  </si>
  <si>
    <t>Đã xảy ra lỗi khi phân tách dữ liệu cho tất cả các cửa hàng trong {table_name} theo cửa hàng. {error_message}</t>
  </si>
  <si>
    <t>Trong quá trình tiếp nhận chính, lỗi sẽ xảy ra khi tách dữ liệu cho từng kho lưu trữ khỏi dữ liệu cho tất cả các kho lưu trữ.</t>
  </si>
  <si>
    <t>Thông báo: Rubina, USMH Phản hồi: Rubina, Kiểm tra dữ liệu tệp đã nhận, Nếu là sự cố xử lý, hãy sửa và thử lại, Nếu là sự cố tệp, hãy liên hệ với BIPOROGY.</t>
  </si>
  <si>
    <t>{store_code}_{table_name} Sau khi tách dữ liệu chính cho từng kho lưu trữ, đã xảy ra lỗi trong quá trình tạo tệp END. {error_message}</t>
  </si>
  <si>
    <t>Thông báo: Rubina, USMH Phản hồi: Rubina Kiểm tra dữ liệu tệp đã nhận Nếu có sự cố xử lý, hãy sửa và thử lại Nếu có sự cố tệp, hãy liên hệ với BIPOROGY và VTI</t>
  </si>
  <si>
    <t>Đã xảy ra lỗi trong quá trình sao lưu tệp chính {table_name} đã nhận. {error_message}</t>
  </si>
  <si>
    <t>Khi nhận được tệp chính, sẽ xảy ra lỗi khi sao lưu tệp chính đã nhận.</t>
  </si>
  <si>
    <t>Điểm đến thông báo: Rubina Hỗ trợ USMH: Rubina Kiểm tra nhật ký Sửa và thử lại</t>
  </si>
  <si>
    <t>Đã xảy ra lỗi khi giải nén {file_name} {error_message}</t>
  </si>
  <si>
    <t>Xảy ra lỗi khi giải nén dữ liệu trong quá trình nhận từ máy chủ POS.</t>
  </si>
  <si>
    <t>Thông báo: Rubina, USMH Phản hồi: Rubina, Kiểm tra dữ liệu tệp đã nhận, Nếu có sự cố xử lý, hãy sửa và thử lại, Nếu có sự cố tệp, hãy liên hệ với VTI</t>
  </si>
  <si>
    <t>Đã xảy ra lỗi trong quá trình sao lưu sau khi giải nén {file_name} {error_message}</t>
  </si>
  <si>
    <t>Xảy ra lỗi khi sao lưu tệp ZIP nhận được từ máy chủ POS.</t>
  </si>
  <si>
    <t>Đã xảy ra lỗi kết nối DB trong quá trình nhập bản sao {store_code}_{table_name}. {error_message}</t>
  </si>
  <si>
    <t>Tôi gặp lỗi kết nối cơ sở dữ liệu khi nhập bản sao</t>
  </si>
  <si>
    <t>Thông báo tới: ・Lubina ・Phản hồi của USMH: Lubina ・Kiểm tra cơ sở dữ liệu và mạng ・Nếu có sự cố xử lý, hãy khắc phục và thử lại</t>
  </si>
  <si>
    <t>Đã xảy ra lỗi khi tải xuống tệp từ S3 trong quá trình nhập bản sao {store_code}_{table_name}. {error_message}</t>
  </si>
  <si>
    <t xml:space="preserve"> Tôi gặp lỗi khi tải xuống tệp từ S3 khi nhập bản sao.</t>
  </si>
  <si>
    <t>Điểm đến thông báo: Rubyna USMH Hỗ trợ: Rubyna Kiểm tra S3 và mạng Nếu có sự cố xử lý, hãy khắc phục và thử lại</t>
  </si>
  <si>
    <t>Đã xảy ra lỗi ngoại lệ trong quá trình nhập bản sao {store_code}_{table_name}. {error_message}</t>
  </si>
  <si>
    <t xml:space="preserve"> Đã xảy ra lỗi ngoại lệ trong quá trình nhập bản sao.</t>
  </si>
  <si>
    <t>Thông báo: ・Lubina ・Phản hồi của USMH: Lubina ・Kiểm tra nhật ký, cơ sở dữ liệu và mạng ・Nếu có sự cố xử lý, hãy khắc phục và thử lại</t>
  </si>
  <si>
    <t>Đã xảy ra lỗi khi tạo tệp END sau khi nhập bản sao {store_code}_{table_name}. {error_message}</t>
  </si>
  <si>
    <t>Sau khi nhập bản sao, sẽ xảy ra lỗi khi tạo tệp END.</t>
  </si>
  <si>
    <t>Giám sát nhập khẩu chính</t>
  </si>
  <si>
    <t>{store_code} Dữ liệu P001 không được nhập</t>
  </si>
  <si>
    <t>Vào lúc 00:00 hàng ngày, nó sẽ kiểm tra xem máy chủ P001 đã được nhập hay chưa, nếu dữ liệu chưa được nhập thì sẽ xảy ra lỗi.</t>
  </si>
  <si>
    <t>Thông báo: BIPOROGY, Rubina, USMH Phản hồi: Rubina, Kiểm tra nhật ký, cơ sở dữ liệu, mạng, Nếu là sự cố xử lý, hãy khắc phục và thử lại</t>
  </si>
  <si>
    <t>{store_code} Dữ liệu ItemMaster chưa được tải</t>
  </si>
  <si>
    <t>Vào lúc 05:30 hàng ngày, hệ thống sẽ kiểm tra xem dữ liệu Itemmaster đã được nhập hay chưa, nếu dữ liệu chưa được nhập thì sẽ xảy ra lỗi.</t>
  </si>
  <si>
    <t>Điểm đến thông báo: VTI, Rubina, USMH Được hỗ trợ: Rubina, SFTP, Kiểm tra mạng, Nếu có sự cố xử lý, hãy khắc phục và thử lại</t>
  </si>
  <si>
    <t>/pos/log/export/error/</t>
  </si>
  <si>
    <t>{store_code} Đã xảy ra lỗi kết nối cơ sở dữ liệu khi truy xuất thông tin lưu trữ trong quá trình tạo dữ liệu được liên kết. {error_message}</t>
  </si>
  <si>
    <t>Ở bước bạn tạo thông tin (sản phẩm và giá bán), lỗi kết nối cơ sở dữ liệu xảy ra khi truy xuất thông tin cửa hàng.</t>
  </si>
  <si>
    <t>{store_code} Đã xảy ra lỗi ngoại lệ khi truy xuất thông tin cửa hàng trong quá trình tạo dữ liệu được liên kết. {error_message}</t>
  </si>
  <si>
    <t>Lỗi ngoại lệ xảy ra khi truy xuất thông tin cửa hàng trong bước bạn tạo thông tin (sản phẩm/giá bán).</t>
  </si>
  <si>
    <t>{store_code} Xảy ra lỗi kết nối cơ sở dữ liệu khi xuất dữ liệu trong quá trình tạo dữ liệu được liên kết. {error_message}</t>
  </si>
  <si>
    <t>Khi tạo thông tin sản phẩm/giá, xảy ra lỗi kết nối cơ sở dữ liệu.</t>
  </si>
  <si>
    <t>{store_code} Không thể xuất dữ liệu ra S3 khi tạo dữ liệu được liên kết {error_message}</t>
  </si>
  <si>
    <t>Ở bước bạn tạo thông tin (sản phẩm/giá bán), việc xuất ra S3 sẽ không thành công khi tạo tệp TXT.</t>
  </si>
  <si>
    <t>Thông báo tới: ・Lubina ・Phản hồi của USMH: Rubina ・Kiểm tra nhật ký, cơ sở dữ liệu, mạng và S3 ・Nếu có sự cố xử lý, hãy khắc phục và thử lại</t>
  </si>
  <si>
    <t>{store_code} Đã xảy ra lỗi ngoại lệ khi xuất dữ liệu trong quá trình tạo dữ liệu được liên kết. {error_message}</t>
  </si>
  <si>
    <t>Lỗi ngoại lệ xảy ra khi tạo tệp TXT ở bước bạn tạo thông tin sản phẩm và giá.</t>
  </si>
  <si>
    <t>Xảy ra lỗi khi tạo dữ liệu được liên kết bằng cách chia tệp TXT theo ngày và giờ gửi. {error_message}</t>
  </si>
  <si>
    <t>Xảy ra lỗi khi tách tệp TXT ở bước bạn tạo thông tin (sản phẩm/giá bán).</t>
  </si>
  <si>
    <t>Thông báo tới: ・Lubina ・Phản hồi của USMH: Rubina ・Kiểm tra nhật ký, dữ liệu, mạng và S3 ・Nếu có sự cố xử lý, hãy khắc phục và thử lại</t>
  </si>
  <si>
    <t>Xảy ra lỗi khi lên lịch gửi theo ngày và giờ trong quá trình tạo dữ liệu được liên kết. {error_message}</t>
  </si>
  <si>
    <t>Xảy ra lỗi khi lên lịch gửi tệp TXT trong bước bạn tạo thông tin (sản phẩm và giá bán).</t>
  </si>
  <si>
    <t>Điểm đến thông báo: Rubyna, Phản hồi của USMH: Rubyna, Kiểm tra nhật ký và Eventbridge, Nếu có sự cố xử lý, hãy khắc phục và thử lại</t>
  </si>
  <si>
    <t>/pos/log/sent/error</t>
  </si>
  <si>
    <t>Đã xảy ra lỗi kết nối cơ sở dữ liệu khi truy xuất thông tin lưu trữ khi gửi tệp {file_name}. {error_message}</t>
  </si>
  <si>
    <t>Trong bước gửi thông tin (sản phẩm/giá bán), xảy ra lỗi kết nối cơ sở dữ liệu khi lấy thông tin gửi tệp.</t>
  </si>
  <si>
    <t>Thông báo: Rubina, USMH (Kasumi và Ishida) Phản hồi: Rubina, kiểm tra nhật ký, cơ sở dữ liệu và mạng, nếu có sự cố xử lý, hãy sửa và thử lại, liên hệ với Ishida (trạng thái, tác động, kế hoạch thử lại)</t>
  </si>
  <si>
    <t>Đã xảy ra lỗi ngoại lệ khi truy xuất thông tin lưu trữ khi gửi tệp {file_name}. {error_message}</t>
  </si>
  <si>
    <t>Trong bước gửi thông tin (sản phẩm/giá bán), lỗi ngoại lệ xảy ra khi truy xuất thông tin gửi tệp.</t>
  </si>
  <si>
    <t>Đã xảy ra lỗi kết nối khi kết nối với máy chủ FTP cho {file_name} {error_message}</t>
  </si>
  <si>
    <t>Khi kết nối đến máy chủ FTP trong bước gửi thông tin (sản phẩm/giá bán), xảy ra lỗi kết nối.</t>
  </si>
  <si>
    <t>Thông báo: Rubina, USMH (Kasumi và Ishida) Phản hồi: Rubina, hãy kiểm tra nhật ký và mạng, nếu có sự cố xử lý, hãy khắc phục và thử lại, liên hệ với Ishida (trạng thái, tác động, yêu cầu khôi phục máy chủ)</t>
  </si>
  <si>
    <t>Đã xảy ra lỗi kết nối khi gửi tệp {file_name} {error_message}</t>
  </si>
  <si>
    <t>Xảy ra lỗi khi gửi tệp ở bước bạn gửi thông tin (sản phẩm/giá bán).</t>
  </si>
  <si>
    <t>Thông báo: Rubina, USMH (Kasumi và Ishida) Phản hồi: Rubina, kiểm tra nhật ký và mạng, nếu có sự cố xử lý, hãy sửa và thử lại, liên hệ với Ishida (trạng thái, tác động, kế hoạch thử lại)</t>
  </si>
  <si>
    <t>Đã xảy ra lỗi ngoại lệ khi gửi tệp {file_name} {error_message}</t>
  </si>
  <si>
    <t>Trong bước gửi thông tin (sản phẩm/giá bán), lỗi ngoại lệ xảy ra khi gửi tệp.</t>
  </si>
  <si>
    <t>Đã xảy ra lỗi trong quá trình sao lưu sau khi gửi {file_name} {error_message}</t>
  </si>
  <si>
    <t>Xảy ra lỗi trong quá trình sao lưu tệp khi gửi thông tin sản phẩm và giá.</t>
  </si>
  <si>
    <t>Thông báo: Rubina, USMH (Kasumi và Ishida) Phản hồi: Rubina, hãy kiểm tra nhật ký, cơ sở dữ liệu và mạng, nếu có sự cố xử lý, hãy khắc phục và thử lại.</t>
  </si>
  <si>
    <t>1. Mẫu email</t>
  </si>
  <si>
    <t>chủ thể</t>
  </si>
  <si>
    <t>【{env}】【POS】【Lỗi】 {yyyy/mm/dd} {Thông báo CloudWatch}</t>
  </si>
  <si>
    <t>người nhận thư</t>
  </si>
  <si>
    <t>{"Gửi đến1","Gửi đến2","Gửi đến3"}</t>
  </si>
  <si>
    <t>Bồ Đề</t>
  </si>
  <si>
    <t>Thân gửi tất cả mọi người, Cảm ơn sự hỗ trợ của các bạn. Khi thực hiện lệnh xử lý chính, lỗi sau xảy ra. [Ngày và giờ xảy ra] {yyyy/mm/dd hh:mm:ss} [Nội dung lỗi] {cloudWatchMessage &amp; errorMessage} [URL nhật ký AWS] {cloudwatch-log-url} Vui lòng liên hệ với người phụ trách. Vậy là xong.</t>
  </si>
  <si>
    <t>Nguồn</t>
  </si>
  <si>
    <t>Kênh GroupMail và Teams</t>
  </si>
  <si>
    <t>2. Ví dụ</t>
  </si>
  <si>
    <t>[Môi trường sản xuất] [POS] [Lỗi] 2025/07/24 20250724164000 Xảy ra lỗi kết nối khi kết nối với máy chủ FTP để gửi tệp ESLDATA.TXT.</t>
  </si>
  <si>
    <t>aws-pos-alert@luvina.net</t>
  </si>
  <si>
    <t>Nhóm email của Kasumi và Ishida</t>
  </si>
  <si>
    <r>
      <rPr>
        <sz val="11"/>
        <color rgb="FF000000"/>
        <rFont val="Meiryo UI"/>
        <family val="2"/>
        <charset val="128"/>
      </rPr>
      <t xml:space="preserve"> Thân gửi tất cả mọi người, Cảm ơn sự hỗ trợ của các bạn. Khi thực hiện lệnh xử lý chính, lỗi sau đã xảy ra. [Ngày và giờ xảy ra] 2025/07/24 16:40:05 [Nội dung lỗi] Đã xảy ra lỗi kết nối khi kết nối đến máy chủ FTP để gửi tệp 20250724164000ESLDATA.TXT. Không thể kết nối với máy chủ FTP 10.156.96.211 [URL nhật ký AWS]</t>
    </r>
    <r>
      <rPr>
        <u/>
        <sz val="11"/>
        <color rgb="FF4472C4"/>
        <rFont val="Meiryo UI"/>
        <family val="2"/>
        <charset val="128"/>
      </rPr>
      <t>https://ap-northeast-1.console.aws.amazon.com/cloudwatch/home?region=ap-northeast-1#logsV2:log-groups/log-group/$252Fpos$252Flog$252Fsent$252F2025$252F07$252F12$252F/log-events/313b6c6e-0081-43ba-9794-e8cdf95542e7</t>
    </r>
    <r>
      <rPr>
        <sz val="11"/>
        <color rgb="FF000000"/>
        <rFont val="Meiryo UI"/>
        <family val="2"/>
        <charset val="128"/>
      </rPr>
      <t>Vui lòng kiểm tra với người phụ trách.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</si>
</sst>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_-;\-&quot;¥&quot;* #,##0_-;_-&quot;¥&quot;* &quot;-&quot;_-;_-@_-"/>
    <numFmt numFmtId="165" formatCode="_-* #,##0_-;\-* #,##0_-;_-* &quot;-&quot;_-;_-@_-"/>
    <numFmt numFmtId="166" formatCode="_-&quot;¥&quot;* #,##0.00_-;\-&quot;¥&quot;* #,##0.00_-;_-&quot;¥&quot;* &quot;-&quot;??_-;_-@_-"/>
    <numFmt numFmtId="167" formatCode="_-* #,##0.00_-;\-* #,##0.00_-;_-* &quot;-&quot;??_-;_-@_-"/>
    <numFmt numFmtId="168" formatCode="yyyy\-mm\-dd;@"/>
    <numFmt numFmtId="169" formatCode="yyyy/mm/dd"/>
  </numFmts>
  <fonts count="22">
    <font>
      <sz val="11"/>
      <name val="Meiryo UI"/>
      <family val="3"/>
      <charset val="128"/>
    </font>
    <font>
      <sz val="11"/>
      <color theme="1"/>
      <name val="Calibri"/>
      <family val="2"/>
      <scheme val="minor"/>
    </font>
    <font>
      <sz val="10"/>
      <color theme="1"/>
      <name val="Arial"/>
      <family val="2"/>
    </font>
    <font>
      <sz val="11"/>
      <color theme="1"/>
      <name val="Calibri"/>
      <family val="2"/>
      <scheme val="minor"/>
    </font>
    <font>
      <sz val="11"/>
      <color theme="1"/>
      <name val="Meiryo UI"/>
      <family val="2"/>
    </font>
    <font>
      <sz val="11"/>
      <name val="Meiryo UI"/>
      <family val="3"/>
      <charset val="128"/>
    </font>
    <font>
      <sz val="11"/>
      <color rgb="FFFFFFFF"/>
      <name val="Meiryo UI"/>
      <family val="2"/>
    </font>
    <font>
      <sz val="11"/>
      <name val="Meiryo UI"/>
      <family val="2"/>
    </font>
    <font>
      <sz val="11"/>
      <name val="Meiryo UI"/>
      <family val="2"/>
      <charset val="128"/>
    </font>
    <font>
      <sz val="11"/>
      <color theme="0"/>
      <name val="Meiryo UI"/>
      <family val="3"/>
      <charset val="128"/>
    </font>
    <font>
      <sz val="11"/>
      <color rgb="FFFF0000"/>
      <name val="Meiryo UI"/>
      <family val="3"/>
      <charset val="128"/>
    </font>
    <font>
      <sz val="11"/>
      <color rgb="FFFFFFFF"/>
      <name val="Meiryo UI"/>
      <family val="2"/>
      <charset val="128"/>
    </font>
    <font>
      <u/>
      <sz val="11"/>
      <color theme="10"/>
      <name val="Meiryo UI"/>
      <family val="3"/>
      <charset val="128"/>
    </font>
    <font>
      <sz val="6"/>
      <name val="Meiryo UI"/>
      <family val="3"/>
      <charset val="128"/>
    </font>
    <font>
      <sz val="11"/>
      <color rgb="FFFFFFFF"/>
      <name val="Meiryo UI"/>
      <family val="3"/>
      <charset val="128"/>
    </font>
    <font>
      <sz val="18"/>
      <name val="Meiryo UI"/>
      <family val="3"/>
      <charset val="128"/>
    </font>
    <font>
      <sz val="11"/>
      <color rgb="FF000000"/>
      <name val="Meiryo UI"/>
      <family val="3"/>
      <charset val="128"/>
    </font>
    <font>
      <b/>
      <sz val="24"/>
      <name val="Meiryo UI"/>
      <family val="3"/>
      <charset val="128"/>
    </font>
    <font>
      <b/>
      <sz val="24"/>
      <color rgb="FF000000"/>
      <name val="Meiryo UI"/>
      <family val="3"/>
      <charset val="128"/>
    </font>
    <font>
      <sz val="11"/>
      <color rgb="FF000000"/>
      <name val="Meiryo UI"/>
      <family val="2"/>
      <charset val="128"/>
    </font>
    <font>
      <u/>
      <sz val="11"/>
      <color rgb="FF4472C4"/>
      <name val="Meiryo UI"/>
      <family val="2"/>
      <charset val="128"/>
    </font>
    <font>
      <sz val="11"/>
      <color rgb="FF000000"/>
      <name val="Meiryo UI"/>
      <family val="2"/>
    </font>
  </fonts>
  <fills count="11">
    <fill>
      <patternFill patternType="none"/>
    </fill>
    <fill>
      <patternFill patternType="gray125"/>
    </fill>
    <fill>
      <patternFill patternType="solid">
        <fgColor rgb="FF333399"/>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5"/>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9"/>
        <bgColor rgb="FF000000"/>
      </patternFill>
    </fill>
    <fill>
      <patternFill patternType="solid">
        <fgColor theme="9" tint="0.39997558519241921"/>
        <bgColor indexed="64"/>
      </patternFill>
    </fill>
  </fills>
  <borders count="53">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right style="thin">
        <color auto="1"/>
      </right>
      <top style="thin">
        <color auto="1"/>
      </top>
      <bottom style="hair">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top/>
      <bottom style="hair">
        <color theme="0" tint="-0.499984740745262"/>
      </bottom>
      <diagonal/>
    </border>
    <border>
      <left/>
      <right style="thin">
        <color theme="0" tint="-0.499984740745262"/>
      </right>
      <top/>
      <bottom style="hair">
        <color theme="0" tint="-0.499984740745262"/>
      </bottom>
      <diagonal/>
    </border>
    <border>
      <left/>
      <right/>
      <top/>
      <bottom style="hair">
        <color theme="0" tint="-0.499984740745262"/>
      </bottom>
      <diagonal/>
    </border>
    <border>
      <left style="thin">
        <color theme="0" tint="-0.499984740745262"/>
      </left>
      <right/>
      <top style="hair">
        <color theme="0" tint="-0.499984740745262"/>
      </top>
      <bottom style="hair">
        <color theme="0" tint="-0.499984740745262"/>
      </bottom>
      <diagonal/>
    </border>
    <border>
      <left/>
      <right style="thin">
        <color theme="0" tint="-0.499984740745262"/>
      </right>
      <top style="hair">
        <color theme="0" tint="-0.499984740745262"/>
      </top>
      <bottom style="hair">
        <color theme="0" tint="-0.499984740745262"/>
      </bottom>
      <diagonal/>
    </border>
    <border>
      <left/>
      <right/>
      <top style="hair">
        <color theme="0" tint="-0.499984740745262"/>
      </top>
      <bottom style="hair">
        <color theme="0" tint="-0.499984740745262"/>
      </bottom>
      <diagonal/>
    </border>
    <border>
      <left style="thin">
        <color theme="0" tint="-0.499984740745262"/>
      </left>
      <right/>
      <top style="hair">
        <color theme="0" tint="-0.499984740745262"/>
      </top>
      <bottom/>
      <diagonal/>
    </border>
    <border>
      <left/>
      <right style="thin">
        <color theme="0" tint="-0.499984740745262"/>
      </right>
      <top style="hair">
        <color theme="0" tint="-0.499984740745262"/>
      </top>
      <bottom/>
      <diagonal/>
    </border>
    <border>
      <left/>
      <right/>
      <top style="hair">
        <color theme="0" tint="-0.499984740745262"/>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2">
    <xf numFmtId="0" fontId="0" fillId="0" borderId="0"/>
    <xf numFmtId="9" fontId="2" fillId="0" borderId="0" applyFont="0" applyFill="0" applyBorder="0" applyAlignment="0" applyProtection="0"/>
    <xf numFmtId="166" fontId="2" fillId="0" borderId="0" applyFont="0" applyFill="0" applyBorder="0" applyAlignment="0" applyProtection="0"/>
    <xf numFmtId="164" fontId="2" fillId="0" borderId="0" applyFont="0" applyFill="0" applyBorder="0" applyAlignment="0" applyProtection="0"/>
    <xf numFmtId="167" fontId="2" fillId="0" borderId="0" applyFont="0" applyFill="0" applyBorder="0" applyAlignment="0" applyProtection="0"/>
    <xf numFmtId="165" fontId="2" fillId="0" borderId="0" applyFont="0" applyFill="0" applyBorder="0" applyAlignment="0" applyProtection="0"/>
    <xf numFmtId="0" fontId="3" fillId="0" borderId="0"/>
    <xf numFmtId="0" fontId="5" fillId="0" borderId="0">
      <alignment vertical="center"/>
    </xf>
    <xf numFmtId="0" fontId="8" fillId="0" borderId="0">
      <alignment vertical="center"/>
    </xf>
    <xf numFmtId="0" fontId="5" fillId="0" borderId="0"/>
    <xf numFmtId="0" fontId="12" fillId="0" borderId="0" applyNumberFormat="0" applyFill="0" applyBorder="0" applyAlignment="0" applyProtection="0"/>
    <xf numFmtId="0" fontId="1" fillId="0" borderId="0"/>
  </cellStyleXfs>
  <cellXfs count="234">
    <xf numFmtId="0" fontId="0" fillId="0" borderId="0" xfId="0"/>
    <xf numFmtId="0" fontId="4" fillId="0" borderId="0" xfId="6" applyFont="1" applyAlignment="1">
      <alignment vertical="center"/>
    </xf>
    <xf numFmtId="0" fontId="7" fillId="0" borderId="0" xfId="0" applyFont="1"/>
    <xf numFmtId="0" fontId="7" fillId="0" borderId="2" xfId="0" applyFont="1" applyBorder="1"/>
    <xf numFmtId="0" fontId="7" fillId="0" borderId="3" xfId="0" applyFont="1" applyBorder="1"/>
    <xf numFmtId="0" fontId="7" fillId="0" borderId="5" xfId="0" applyFont="1" applyBorder="1"/>
    <xf numFmtId="0" fontId="7" fillId="0" borderId="1" xfId="0" applyFont="1" applyBorder="1"/>
    <xf numFmtId="0" fontId="7" fillId="0" borderId="4" xfId="0" applyFont="1" applyBorder="1"/>
    <xf numFmtId="0" fontId="7" fillId="0" borderId="0" xfId="7" applyFont="1">
      <alignment vertical="center"/>
    </xf>
    <xf numFmtId="0" fontId="7" fillId="0" borderId="1" xfId="7" applyFont="1" applyBorder="1">
      <alignment vertical="center"/>
    </xf>
    <xf numFmtId="0" fontId="7" fillId="0" borderId="4" xfId="7" applyFont="1" applyBorder="1">
      <alignment vertical="center"/>
    </xf>
    <xf numFmtId="0" fontId="5" fillId="0" borderId="0" xfId="9"/>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2" xfId="0" applyBorder="1"/>
    <xf numFmtId="0" fontId="0" fillId="0" borderId="3" xfId="0" applyBorder="1"/>
    <xf numFmtId="0" fontId="0" fillId="0" borderId="5" xfId="0" applyBorder="1"/>
    <xf numFmtId="0" fontId="0" fillId="0" borderId="1" xfId="0" applyBorder="1"/>
    <xf numFmtId="0" fontId="0" fillId="0" borderId="4" xfId="0" applyBorder="1"/>
    <xf numFmtId="0" fontId="0" fillId="0" borderId="17" xfId="0" applyBorder="1"/>
    <xf numFmtId="0" fontId="0" fillId="0" borderId="18" xfId="0" applyBorder="1"/>
    <xf numFmtId="0" fontId="0" fillId="0" borderId="19" xfId="0" applyBorder="1"/>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7" xfId="0" applyBorder="1"/>
    <xf numFmtId="0" fontId="0" fillId="0" borderId="8" xfId="0" applyBorder="1"/>
    <xf numFmtId="0" fontId="0" fillId="0" borderId="11" xfId="0" applyBorder="1"/>
    <xf numFmtId="0" fontId="0" fillId="0" borderId="6" xfId="0" applyBorder="1"/>
    <xf numFmtId="0" fontId="0" fillId="0" borderId="12" xfId="0" applyBorder="1"/>
    <xf numFmtId="0" fontId="0" fillId="0" borderId="14" xfId="0" applyBorder="1"/>
    <xf numFmtId="0" fontId="0" fillId="0" borderId="15" xfId="0" applyBorder="1"/>
    <xf numFmtId="0" fontId="0" fillId="0" borderId="9" xfId="0" applyBorder="1"/>
    <xf numFmtId="0" fontId="0" fillId="0" borderId="10" xfId="0" applyBorder="1"/>
    <xf numFmtId="0" fontId="0" fillId="0" borderId="13" xfId="0" applyBorder="1"/>
    <xf numFmtId="0" fontId="0" fillId="0" borderId="1" xfId="9" applyFont="1" applyBorder="1" applyAlignment="1">
      <alignment vertical="center"/>
    </xf>
    <xf numFmtId="0" fontId="0" fillId="0" borderId="4" xfId="9" applyFont="1" applyBorder="1" applyAlignment="1">
      <alignment vertical="center"/>
    </xf>
    <xf numFmtId="0" fontId="0" fillId="0" borderId="2" xfId="9" applyFont="1" applyBorder="1" applyAlignment="1">
      <alignment vertical="center"/>
    </xf>
    <xf numFmtId="0" fontId="0" fillId="0" borderId="3" xfId="9" applyFont="1" applyBorder="1" applyAlignment="1">
      <alignment vertical="center"/>
    </xf>
    <xf numFmtId="0" fontId="0" fillId="0" borderId="5" xfId="9" applyFont="1" applyBorder="1" applyAlignment="1">
      <alignment vertical="center"/>
    </xf>
    <xf numFmtId="0" fontId="0" fillId="0" borderId="0" xfId="9" applyFont="1" applyAlignment="1">
      <alignment vertical="center"/>
    </xf>
    <xf numFmtId="0" fontId="0" fillId="0" borderId="1" xfId="7" applyFont="1" applyBorder="1">
      <alignment vertical="center"/>
    </xf>
    <xf numFmtId="0" fontId="0" fillId="0" borderId="4" xfId="7" applyFont="1" applyBorder="1">
      <alignment vertical="center"/>
    </xf>
    <xf numFmtId="0" fontId="0" fillId="0" borderId="2" xfId="7" applyFont="1" applyBorder="1">
      <alignment vertical="center"/>
    </xf>
    <xf numFmtId="0" fontId="0" fillId="0" borderId="3" xfId="7" applyFont="1" applyBorder="1">
      <alignment vertical="center"/>
    </xf>
    <xf numFmtId="0" fontId="0" fillId="0" borderId="5" xfId="7" applyFont="1" applyBorder="1">
      <alignment vertical="center"/>
    </xf>
    <xf numFmtId="0" fontId="0" fillId="0" borderId="0" xfId="7" applyFont="1">
      <alignment vertical="center"/>
    </xf>
    <xf numFmtId="0" fontId="12" fillId="0" borderId="1" xfId="10" applyBorder="1"/>
    <xf numFmtId="0" fontId="0" fillId="0" borderId="1" xfId="0" applyBorder="1" applyAlignment="1">
      <alignment vertical="top"/>
    </xf>
    <xf numFmtId="0" fontId="0" fillId="0" borderId="0" xfId="0" applyAlignment="1">
      <alignment vertical="top"/>
    </xf>
    <xf numFmtId="0" fontId="0" fillId="0" borderId="4" xfId="0" applyBorder="1" applyAlignment="1">
      <alignment vertical="top"/>
    </xf>
    <xf numFmtId="0" fontId="14" fillId="9" borderId="0" xfId="0" applyFont="1" applyFill="1" applyAlignment="1">
      <alignment vertical="center"/>
    </xf>
    <xf numFmtId="0" fontId="11" fillId="9" borderId="0" xfId="0" applyFont="1" applyFill="1" applyAlignment="1">
      <alignment vertical="center"/>
    </xf>
    <xf numFmtId="0" fontId="0" fillId="0" borderId="41" xfId="0" applyBorder="1" applyAlignment="1">
      <alignment horizontal="left" vertical="top"/>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9" fillId="2" borderId="20" xfId="0" applyFont="1" applyFill="1" applyBorder="1" applyAlignment="1">
      <alignment horizontal="center" vertical="center"/>
    </xf>
    <xf numFmtId="0" fontId="9" fillId="2" borderId="21" xfId="0" applyFont="1" applyFill="1" applyBorder="1" applyAlignment="1">
      <alignment horizontal="center" vertical="center"/>
    </xf>
    <xf numFmtId="0" fontId="9" fillId="2" borderId="22" xfId="0" applyFont="1" applyFill="1" applyBorder="1" applyAlignment="1">
      <alignment horizontal="center" vertical="center"/>
    </xf>
    <xf numFmtId="0" fontId="9" fillId="2" borderId="2" xfId="0" applyFont="1" applyFill="1" applyBorder="1" applyAlignment="1">
      <alignment horizontal="center" vertical="center"/>
    </xf>
    <xf numFmtId="0" fontId="9" fillId="2" borderId="3" xfId="0" applyFont="1" applyFill="1" applyBorder="1" applyAlignment="1">
      <alignment horizontal="center" vertical="center"/>
    </xf>
    <xf numFmtId="0" fontId="9" fillId="2" borderId="5" xfId="0" applyFont="1" applyFill="1" applyBorder="1" applyAlignment="1">
      <alignment horizontal="center" vertical="center"/>
    </xf>
    <xf numFmtId="0" fontId="9" fillId="2" borderId="17" xfId="0" applyFont="1" applyFill="1" applyBorder="1" applyAlignment="1">
      <alignment horizontal="center" vertical="center"/>
    </xf>
    <xf numFmtId="0" fontId="9" fillId="2" borderId="18" xfId="0" applyFont="1" applyFill="1" applyBorder="1" applyAlignment="1">
      <alignment horizontal="center" vertical="center"/>
    </xf>
    <xf numFmtId="0" fontId="9" fillId="2" borderId="19" xfId="0" applyFont="1" applyFill="1" applyBorder="1" applyAlignment="1">
      <alignment horizontal="center" vertical="center"/>
    </xf>
    <xf numFmtId="0" fontId="18" fillId="0" borderId="0" xfId="0" applyFont="1" applyAlignment="1">
      <alignment horizontal="center" vertical="center"/>
    </xf>
    <xf numFmtId="0" fontId="17" fillId="0" borderId="0" xfId="0" applyFont="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2" fontId="0" fillId="0" borderId="20" xfId="0" applyNumberFormat="1" applyBorder="1" applyAlignment="1">
      <alignment horizontal="center" vertical="center"/>
    </xf>
    <xf numFmtId="2" fontId="0" fillId="0" borderId="21" xfId="0" applyNumberFormat="1" applyBorder="1" applyAlignment="1">
      <alignment horizontal="center" vertical="center"/>
    </xf>
    <xf numFmtId="2" fontId="0" fillId="0" borderId="22" xfId="0" applyNumberFormat="1" applyBorder="1" applyAlignment="1">
      <alignment horizontal="center" vertical="center"/>
    </xf>
    <xf numFmtId="2" fontId="0" fillId="0" borderId="2" xfId="0" applyNumberFormat="1" applyBorder="1" applyAlignment="1">
      <alignment horizontal="center" vertical="center"/>
    </xf>
    <xf numFmtId="2" fontId="0" fillId="0" borderId="3" xfId="0" applyNumberFormat="1" applyBorder="1" applyAlignment="1">
      <alignment horizontal="center" vertical="center"/>
    </xf>
    <xf numFmtId="2" fontId="0" fillId="0" borderId="5" xfId="0" applyNumberFormat="1" applyBorder="1" applyAlignment="1">
      <alignment horizontal="center" vertical="center"/>
    </xf>
    <xf numFmtId="169" fontId="0" fillId="0" borderId="20" xfId="0" applyNumberFormat="1" applyBorder="1" applyAlignment="1">
      <alignment horizontal="center" vertical="center"/>
    </xf>
    <xf numFmtId="169" fontId="0" fillId="0" borderId="21" xfId="0" applyNumberFormat="1" applyBorder="1" applyAlignment="1">
      <alignment horizontal="center" vertical="center"/>
    </xf>
    <xf numFmtId="169" fontId="0" fillId="0" borderId="22" xfId="0" applyNumberFormat="1" applyBorder="1" applyAlignment="1">
      <alignment horizontal="center" vertical="center"/>
    </xf>
    <xf numFmtId="169" fontId="0" fillId="0" borderId="2" xfId="0" applyNumberFormat="1" applyBorder="1" applyAlignment="1">
      <alignment horizontal="center" vertical="center"/>
    </xf>
    <xf numFmtId="169" fontId="0" fillId="0" borderId="3" xfId="0" applyNumberFormat="1" applyBorder="1" applyAlignment="1">
      <alignment horizontal="center" vertical="center"/>
    </xf>
    <xf numFmtId="169" fontId="0" fillId="0" borderId="5" xfId="0" applyNumberFormat="1" applyBorder="1" applyAlignment="1">
      <alignment horizontal="center" vertical="center"/>
    </xf>
    <xf numFmtId="0" fontId="15" fillId="0" borderId="20" xfId="0" applyFont="1" applyBorder="1" applyAlignment="1">
      <alignment horizontal="center" vertical="center"/>
    </xf>
    <xf numFmtId="0" fontId="15" fillId="0" borderId="21" xfId="0" applyFont="1" applyBorder="1" applyAlignment="1">
      <alignment horizontal="center" vertical="center"/>
    </xf>
    <xf numFmtId="0" fontId="15" fillId="0" borderId="22" xfId="0" applyFont="1" applyBorder="1" applyAlignment="1">
      <alignment horizontal="center" vertical="center"/>
    </xf>
    <xf numFmtId="0" fontId="15" fillId="0" borderId="1" xfId="0" applyFont="1" applyBorder="1" applyAlignment="1">
      <alignment horizontal="center" vertical="center"/>
    </xf>
    <xf numFmtId="0" fontId="15" fillId="0" borderId="0" xfId="0" applyFont="1" applyAlignment="1">
      <alignment horizontal="center" vertical="center"/>
    </xf>
    <xf numFmtId="0" fontId="15" fillId="0" borderId="4" xfId="0" applyFont="1" applyBorder="1" applyAlignment="1">
      <alignment horizontal="center" vertical="center"/>
    </xf>
    <xf numFmtId="0" fontId="15" fillId="0" borderId="2" xfId="0" applyFont="1" applyBorder="1" applyAlignment="1">
      <alignment horizontal="center" vertical="center"/>
    </xf>
    <xf numFmtId="0" fontId="15" fillId="0" borderId="3" xfId="0" applyFont="1" applyBorder="1" applyAlignment="1">
      <alignment horizontal="center" vertical="center"/>
    </xf>
    <xf numFmtId="0" fontId="15" fillId="0" borderId="5" xfId="0" applyFont="1" applyBorder="1" applyAlignment="1">
      <alignment horizontal="center" vertical="center"/>
    </xf>
    <xf numFmtId="168" fontId="0" fillId="0" borderId="20" xfId="0" applyNumberFormat="1" applyBorder="1" applyAlignment="1">
      <alignment horizontal="center" vertical="center"/>
    </xf>
    <xf numFmtId="168" fontId="0" fillId="0" borderId="21" xfId="0" applyNumberFormat="1" applyBorder="1" applyAlignment="1">
      <alignment horizontal="center" vertical="center"/>
    </xf>
    <xf numFmtId="168" fontId="0" fillId="0" borderId="22" xfId="0" applyNumberFormat="1" applyBorder="1" applyAlignment="1">
      <alignment horizontal="center" vertical="center"/>
    </xf>
    <xf numFmtId="168" fontId="0" fillId="0" borderId="2" xfId="0" applyNumberFormat="1" applyBorder="1" applyAlignment="1">
      <alignment horizontal="center" vertical="center"/>
    </xf>
    <xf numFmtId="168" fontId="0" fillId="0" borderId="3" xfId="0" applyNumberFormat="1" applyBorder="1" applyAlignment="1">
      <alignment horizontal="center" vertical="center"/>
    </xf>
    <xf numFmtId="168" fontId="0" fillId="0" borderId="5" xfId="0" applyNumberFormat="1" applyBorder="1" applyAlignment="1">
      <alignment horizontal="center" vertical="center"/>
    </xf>
    <xf numFmtId="0" fontId="16" fillId="0" borderId="20" xfId="0" applyFont="1" applyBorder="1" applyAlignment="1">
      <alignment horizontal="center" vertical="center"/>
    </xf>
    <xf numFmtId="0" fontId="16" fillId="0" borderId="21" xfId="0" applyFont="1" applyBorder="1" applyAlignment="1">
      <alignment horizontal="center" vertical="center"/>
    </xf>
    <xf numFmtId="0" fontId="16" fillId="0" borderId="22" xfId="0" applyFont="1" applyBorder="1" applyAlignment="1">
      <alignment horizontal="center" vertical="center"/>
    </xf>
    <xf numFmtId="0" fontId="16" fillId="0" borderId="2" xfId="0" applyFont="1" applyBorder="1" applyAlignment="1">
      <alignment horizontal="center" vertical="center"/>
    </xf>
    <xf numFmtId="0" fontId="16" fillId="0" borderId="3" xfId="0" applyFont="1" applyBorder="1" applyAlignment="1">
      <alignment horizontal="center" vertical="center"/>
    </xf>
    <xf numFmtId="0" fontId="16" fillId="0" borderId="5" xfId="0" applyFont="1" applyBorder="1" applyAlignment="1">
      <alignment horizontal="center" vertical="center"/>
    </xf>
    <xf numFmtId="0" fontId="9" fillId="2" borderId="28" xfId="9" applyFont="1" applyFill="1" applyBorder="1" applyAlignment="1">
      <alignment horizontal="center" vertical="center"/>
    </xf>
    <xf numFmtId="0" fontId="9" fillId="2" borderId="30" xfId="9" applyFont="1" applyFill="1" applyBorder="1" applyAlignment="1">
      <alignment horizontal="center" vertical="center"/>
    </xf>
    <xf numFmtId="0" fontId="9" fillId="2" borderId="29" xfId="9" applyFont="1" applyFill="1" applyBorder="1" applyAlignment="1">
      <alignment horizontal="center" vertical="center"/>
    </xf>
    <xf numFmtId="0" fontId="0" fillId="0" borderId="31" xfId="9" applyFont="1" applyBorder="1" applyAlignment="1">
      <alignment vertical="center"/>
    </xf>
    <xf numFmtId="0" fontId="0" fillId="0" borderId="32" xfId="9" applyFont="1" applyBorder="1" applyAlignment="1">
      <alignment vertical="center"/>
    </xf>
    <xf numFmtId="0" fontId="0" fillId="0" borderId="33" xfId="9" applyFont="1" applyBorder="1" applyAlignment="1">
      <alignment vertical="center"/>
    </xf>
    <xf numFmtId="0" fontId="0" fillId="0" borderId="31" xfId="9" applyFont="1" applyBorder="1" applyAlignment="1">
      <alignment vertical="center" wrapText="1"/>
    </xf>
    <xf numFmtId="0" fontId="0" fillId="0" borderId="33" xfId="9" applyFont="1" applyBorder="1" applyAlignment="1">
      <alignment vertical="center" wrapText="1"/>
    </xf>
    <xf numFmtId="0" fontId="0" fillId="0" borderId="32" xfId="9" applyFont="1" applyBorder="1" applyAlignment="1">
      <alignment vertical="center" wrapText="1"/>
    </xf>
    <xf numFmtId="0" fontId="0" fillId="0" borderId="34" xfId="9" applyFont="1" applyBorder="1" applyAlignment="1">
      <alignment vertical="center"/>
    </xf>
    <xf numFmtId="0" fontId="0" fillId="0" borderId="35" xfId="9" applyFont="1" applyBorder="1" applyAlignment="1">
      <alignment vertical="center"/>
    </xf>
    <xf numFmtId="0" fontId="0" fillId="0" borderId="36" xfId="9" applyFont="1" applyBorder="1" applyAlignment="1">
      <alignment vertical="center"/>
    </xf>
    <xf numFmtId="0" fontId="0" fillId="0" borderId="34" xfId="9" applyFont="1" applyBorder="1" applyAlignment="1">
      <alignment vertical="center" wrapText="1"/>
    </xf>
    <xf numFmtId="0" fontId="0" fillId="0" borderId="34" xfId="9" quotePrefix="1" applyFont="1" applyBorder="1" applyAlignment="1">
      <alignment vertical="center"/>
    </xf>
    <xf numFmtId="14" fontId="0" fillId="0" borderId="34" xfId="9" applyNumberFormat="1" applyFont="1" applyBorder="1" applyAlignment="1">
      <alignment vertical="center" wrapText="1"/>
    </xf>
    <xf numFmtId="0" fontId="10" fillId="0" borderId="34" xfId="9" applyFont="1" applyBorder="1" applyAlignment="1">
      <alignment vertical="center" wrapText="1"/>
    </xf>
    <xf numFmtId="0" fontId="10" fillId="0" borderId="36" xfId="9" applyFont="1" applyBorder="1" applyAlignment="1">
      <alignment vertical="center"/>
    </xf>
    <xf numFmtId="0" fontId="10" fillId="0" borderId="35" xfId="9" applyFont="1" applyBorder="1" applyAlignment="1">
      <alignment vertical="center"/>
    </xf>
    <xf numFmtId="0" fontId="0" fillId="0" borderId="36" xfId="9" applyFont="1" applyBorder="1" applyAlignment="1">
      <alignment vertical="center" wrapText="1"/>
    </xf>
    <xf numFmtId="0" fontId="0" fillId="0" borderId="35" xfId="9" applyFont="1" applyBorder="1" applyAlignment="1">
      <alignment vertical="center" wrapText="1"/>
    </xf>
    <xf numFmtId="0" fontId="0" fillId="0" borderId="37" xfId="9" applyFont="1" applyBorder="1" applyAlignment="1">
      <alignment vertical="center"/>
    </xf>
    <xf numFmtId="0" fontId="0" fillId="0" borderId="38" xfId="9" applyFont="1" applyBorder="1" applyAlignment="1">
      <alignment vertical="center"/>
    </xf>
    <xf numFmtId="0" fontId="0" fillId="0" borderId="39" xfId="9" applyFont="1" applyBorder="1" applyAlignment="1">
      <alignment vertical="center"/>
    </xf>
    <xf numFmtId="0" fontId="0" fillId="8" borderId="40" xfId="0" applyFill="1" applyBorder="1" applyAlignment="1">
      <alignment horizontal="center" vertical="center"/>
    </xf>
    <xf numFmtId="0" fontId="0" fillId="7" borderId="40" xfId="0" applyFill="1" applyBorder="1" applyAlignment="1">
      <alignment horizontal="center" vertical="center"/>
    </xf>
    <xf numFmtId="0" fontId="0" fillId="4" borderId="40" xfId="0" applyFill="1" applyBorder="1" applyAlignment="1">
      <alignment horizontal="center"/>
    </xf>
    <xf numFmtId="0" fontId="0" fillId="5" borderId="40" xfId="0" applyFill="1" applyBorder="1" applyAlignment="1">
      <alignment horizontal="center" vertical="center"/>
    </xf>
    <xf numFmtId="0" fontId="0" fillId="3" borderId="40" xfId="0" applyFill="1" applyBorder="1" applyAlignment="1">
      <alignment horizontal="center" vertical="center"/>
    </xf>
    <xf numFmtId="0" fontId="0" fillId="7" borderId="17" xfId="0" applyFill="1" applyBorder="1" applyAlignment="1">
      <alignment horizontal="center"/>
    </xf>
    <xf numFmtId="0" fontId="0" fillId="7" borderId="18" xfId="0" applyFill="1" applyBorder="1" applyAlignment="1">
      <alignment horizontal="center"/>
    </xf>
    <xf numFmtId="0" fontId="0" fillId="7" borderId="19" xfId="0" applyFill="1" applyBorder="1" applyAlignment="1">
      <alignment horizontal="center"/>
    </xf>
    <xf numFmtId="0" fontId="0" fillId="10" borderId="40" xfId="0" applyFill="1" applyBorder="1" applyAlignment="1">
      <alignment horizontal="center" vertical="center"/>
    </xf>
    <xf numFmtId="0" fontId="0" fillId="0" borderId="41" xfId="0" applyBorder="1" applyAlignment="1">
      <alignment horizontal="center" vertical="center"/>
    </xf>
    <xf numFmtId="0" fontId="0" fillId="0" borderId="41" xfId="0" applyBorder="1" applyAlignment="1">
      <alignment horizontal="left" vertical="center"/>
    </xf>
    <xf numFmtId="0" fontId="0" fillId="0" borderId="41" xfId="0" applyBorder="1" applyAlignment="1">
      <alignment vertical="center"/>
    </xf>
    <xf numFmtId="0" fontId="0" fillId="0" borderId="42" xfId="0" applyBorder="1" applyAlignment="1">
      <alignment horizontal="left" vertical="center"/>
    </xf>
    <xf numFmtId="0" fontId="0" fillId="6" borderId="41" xfId="0" applyFill="1" applyBorder="1" applyAlignment="1">
      <alignment horizontal="center" vertical="center"/>
    </xf>
    <xf numFmtId="0" fontId="0" fillId="0" borderId="41" xfId="0" applyBorder="1" applyAlignment="1">
      <alignment vertical="center" wrapText="1"/>
    </xf>
    <xf numFmtId="0" fontId="0" fillId="6" borderId="40" xfId="0" applyFill="1" applyBorder="1" applyAlignment="1">
      <alignment horizontal="center"/>
    </xf>
    <xf numFmtId="0" fontId="0" fillId="0" borderId="40" xfId="0" applyBorder="1" applyAlignment="1">
      <alignment horizontal="left" vertical="top"/>
    </xf>
    <xf numFmtId="0" fontId="0" fillId="0" borderId="20" xfId="0" applyBorder="1" applyAlignment="1">
      <alignment horizontal="left" vertical="top"/>
    </xf>
    <xf numFmtId="0" fontId="0" fillId="0" borderId="21" xfId="0" applyBorder="1" applyAlignment="1">
      <alignment horizontal="left" vertical="top"/>
    </xf>
    <xf numFmtId="0" fontId="0" fillId="0" borderId="22" xfId="0" applyBorder="1" applyAlignment="1">
      <alignment horizontal="left" vertical="top"/>
    </xf>
    <xf numFmtId="0" fontId="0" fillId="0" borderId="1" xfId="0" applyBorder="1" applyAlignment="1">
      <alignment horizontal="left" vertical="top"/>
    </xf>
    <xf numFmtId="0" fontId="0" fillId="0" borderId="0" xfId="0" applyAlignment="1">
      <alignment horizontal="left" vertical="top"/>
    </xf>
    <xf numFmtId="0" fontId="0" fillId="0" borderId="4" xfId="0" applyBorder="1" applyAlignment="1">
      <alignment horizontal="left" vertical="top"/>
    </xf>
    <xf numFmtId="0" fontId="0" fillId="0" borderId="2" xfId="0" applyBorder="1" applyAlignment="1">
      <alignment horizontal="left" vertical="top"/>
    </xf>
    <xf numFmtId="0" fontId="0" fillId="0" borderId="3" xfId="0" applyBorder="1" applyAlignment="1">
      <alignment horizontal="left" vertical="top"/>
    </xf>
    <xf numFmtId="0" fontId="0" fillId="0" borderId="5" xfId="0" applyBorder="1" applyAlignment="1">
      <alignment horizontal="left" vertical="top"/>
    </xf>
    <xf numFmtId="0" fontId="0" fillId="0" borderId="17" xfId="0" applyBorder="1" applyAlignment="1">
      <alignment horizontal="left" vertical="top"/>
    </xf>
    <xf numFmtId="0" fontId="0" fillId="0" borderId="18" xfId="0" applyBorder="1" applyAlignment="1">
      <alignment horizontal="left" vertical="top"/>
    </xf>
    <xf numFmtId="0" fontId="0" fillId="0" borderId="19" xfId="0" applyBorder="1" applyAlignment="1">
      <alignment horizontal="left" vertical="top"/>
    </xf>
    <xf numFmtId="0" fontId="0" fillId="0" borderId="40" xfId="0" applyBorder="1" applyAlignment="1">
      <alignment horizontal="left" vertical="top" wrapText="1"/>
    </xf>
    <xf numFmtId="0" fontId="0" fillId="0" borderId="17" xfId="0" applyBorder="1" applyAlignment="1">
      <alignment horizontal="left" vertical="top" wrapText="1"/>
    </xf>
    <xf numFmtId="0" fontId="0" fillId="6" borderId="17" xfId="0" applyFill="1" applyBorder="1" applyAlignment="1">
      <alignment horizontal="center"/>
    </xf>
    <xf numFmtId="0" fontId="0" fillId="6" borderId="18" xfId="0" applyFill="1" applyBorder="1" applyAlignment="1">
      <alignment horizontal="center"/>
    </xf>
    <xf numFmtId="0" fontId="0" fillId="6" borderId="19" xfId="0" applyFill="1" applyBorder="1" applyAlignment="1">
      <alignment horizontal="center"/>
    </xf>
    <xf numFmtId="0" fontId="0" fillId="0" borderId="20" xfId="0" applyBorder="1" applyAlignment="1">
      <alignment horizontal="left" vertical="top" wrapText="1"/>
    </xf>
    <xf numFmtId="0" fontId="0" fillId="6" borderId="40" xfId="0" applyFill="1" applyBorder="1" applyAlignment="1">
      <alignment horizontal="center" vertical="top"/>
    </xf>
    <xf numFmtId="0" fontId="0" fillId="0" borderId="17" xfId="0" applyBorder="1" applyAlignment="1">
      <alignment vertical="top"/>
    </xf>
    <xf numFmtId="0" fontId="0" fillId="0" borderId="18" xfId="0" applyBorder="1" applyAlignment="1">
      <alignment vertical="top"/>
    </xf>
    <xf numFmtId="0" fontId="0" fillId="0" borderId="19" xfId="0" applyBorder="1" applyAlignment="1">
      <alignment vertical="top"/>
    </xf>
    <xf numFmtId="0" fontId="0" fillId="0" borderId="17" xfId="0" applyBorder="1" applyAlignment="1">
      <alignment vertical="top" wrapText="1"/>
    </xf>
    <xf numFmtId="0" fontId="0" fillId="0" borderId="18" xfId="0" applyBorder="1" applyAlignment="1">
      <alignment vertical="top" wrapText="1"/>
    </xf>
    <xf numFmtId="0" fontId="0" fillId="0" borderId="19" xfId="0" applyBorder="1" applyAlignment="1">
      <alignment vertical="top" wrapText="1"/>
    </xf>
    <xf numFmtId="0" fontId="0" fillId="0" borderId="40" xfId="0" applyBorder="1" applyAlignment="1">
      <alignment horizontal="center" vertical="top"/>
    </xf>
    <xf numFmtId="0" fontId="0" fillId="0" borderId="21" xfId="0" applyBorder="1" applyAlignment="1">
      <alignment horizontal="left" vertical="top" wrapText="1"/>
    </xf>
    <xf numFmtId="0" fontId="0" fillId="0" borderId="22" xfId="0" applyBorder="1" applyAlignment="1">
      <alignment horizontal="left" vertical="top" wrapText="1"/>
    </xf>
    <xf numFmtId="0" fontId="0" fillId="0" borderId="1" xfId="0" applyBorder="1" applyAlignment="1">
      <alignment horizontal="left" vertical="top" wrapText="1"/>
    </xf>
    <xf numFmtId="0" fontId="0" fillId="0" borderId="0" xfId="0" applyAlignment="1">
      <alignment horizontal="left" vertical="top" wrapText="1"/>
    </xf>
    <xf numFmtId="0" fontId="0" fillId="0" borderId="4"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5" xfId="0" applyBorder="1" applyAlignment="1">
      <alignment horizontal="left" vertical="top" wrapText="1"/>
    </xf>
    <xf numFmtId="0" fontId="0" fillId="0" borderId="41" xfId="0" applyBorder="1" applyAlignment="1">
      <alignment horizontal="center" vertical="top"/>
    </xf>
    <xf numFmtId="0" fontId="0" fillId="6" borderId="44" xfId="0" applyFill="1" applyBorder="1" applyAlignment="1">
      <alignment horizontal="center"/>
    </xf>
    <xf numFmtId="0" fontId="0" fillId="6" borderId="20" xfId="0" applyFill="1" applyBorder="1" applyAlignment="1">
      <alignment horizontal="center"/>
    </xf>
    <xf numFmtId="0" fontId="0" fillId="6" borderId="21" xfId="0" applyFill="1" applyBorder="1" applyAlignment="1">
      <alignment horizontal="center"/>
    </xf>
    <xf numFmtId="0" fontId="0" fillId="6" borderId="22" xfId="0" applyFill="1" applyBorder="1" applyAlignment="1">
      <alignment horizontal="center"/>
    </xf>
    <xf numFmtId="0" fontId="0" fillId="0" borderId="46" xfId="0" applyBorder="1" applyAlignment="1">
      <alignment horizontal="left" vertical="top" wrapText="1"/>
    </xf>
    <xf numFmtId="0" fontId="0" fillId="0" borderId="47" xfId="0" applyBorder="1" applyAlignment="1">
      <alignment horizontal="left" vertical="top" wrapText="1"/>
    </xf>
    <xf numFmtId="0" fontId="0" fillId="0" borderId="48" xfId="0" applyBorder="1" applyAlignment="1">
      <alignment horizontal="left" vertical="top" wrapText="1"/>
    </xf>
    <xf numFmtId="0" fontId="0" fillId="0" borderId="49" xfId="0" applyBorder="1" applyAlignment="1">
      <alignment horizontal="left" vertical="top" wrapText="1"/>
    </xf>
    <xf numFmtId="0" fontId="0" fillId="0" borderId="50" xfId="0" applyBorder="1" applyAlignment="1">
      <alignment horizontal="left" vertical="top" wrapText="1"/>
    </xf>
    <xf numFmtId="0" fontId="0" fillId="0" borderId="51" xfId="0" applyBorder="1" applyAlignment="1">
      <alignment horizontal="left" vertical="top" wrapText="1"/>
    </xf>
    <xf numFmtId="0" fontId="0" fillId="0" borderId="43" xfId="0" applyBorder="1" applyAlignment="1">
      <alignment horizontal="left" vertical="top" wrapText="1"/>
    </xf>
    <xf numFmtId="0" fontId="0" fillId="0" borderId="52" xfId="0" applyBorder="1" applyAlignment="1">
      <alignment horizontal="left" vertical="top" wrapText="1"/>
    </xf>
    <xf numFmtId="0" fontId="0" fillId="0" borderId="46" xfId="0" applyBorder="1" applyAlignment="1">
      <alignment horizontal="left" vertical="top"/>
    </xf>
    <xf numFmtId="0" fontId="0" fillId="0" borderId="47" xfId="0" applyBorder="1" applyAlignment="1">
      <alignment horizontal="left" vertical="top"/>
    </xf>
    <xf numFmtId="0" fontId="0" fillId="0" borderId="48" xfId="0" applyBorder="1" applyAlignment="1">
      <alignment horizontal="left" vertical="top"/>
    </xf>
    <xf numFmtId="0" fontId="0" fillId="0" borderId="51" xfId="0" applyBorder="1" applyAlignment="1">
      <alignment horizontal="left" vertical="top"/>
    </xf>
    <xf numFmtId="0" fontId="0" fillId="0" borderId="43" xfId="0" applyBorder="1" applyAlignment="1">
      <alignment horizontal="left" vertical="top"/>
    </xf>
    <xf numFmtId="0" fontId="0" fillId="0" borderId="52" xfId="0" applyBorder="1" applyAlignment="1">
      <alignment horizontal="left" vertical="top"/>
    </xf>
    <xf numFmtId="0" fontId="0" fillId="0" borderId="41" xfId="0" applyBorder="1" applyAlignment="1">
      <alignment horizontal="left" vertical="top"/>
    </xf>
    <xf numFmtId="0" fontId="0" fillId="0" borderId="41" xfId="0" applyBorder="1" applyAlignment="1">
      <alignment horizontal="left" vertical="top" wrapText="1"/>
    </xf>
    <xf numFmtId="0" fontId="0" fillId="0" borderId="45" xfId="0" applyBorder="1" applyAlignment="1">
      <alignment horizontal="left" vertical="top" wrapText="1"/>
    </xf>
    <xf numFmtId="0" fontId="0" fillId="0" borderId="41" xfId="0" applyBorder="1" applyAlignment="1">
      <alignment vertical="top"/>
    </xf>
    <xf numFmtId="0" fontId="0" fillId="0" borderId="41" xfId="0" applyBorder="1" applyAlignment="1">
      <alignment vertical="top" wrapText="1"/>
    </xf>
    <xf numFmtId="0" fontId="0" fillId="0" borderId="21" xfId="0" applyBorder="1" applyAlignment="1">
      <alignment vertical="top"/>
    </xf>
    <xf numFmtId="0" fontId="0" fillId="0" borderId="22" xfId="0" applyBorder="1" applyAlignment="1">
      <alignment vertical="top"/>
    </xf>
    <xf numFmtId="0" fontId="0" fillId="0" borderId="20" xfId="0" applyBorder="1" applyAlignment="1">
      <alignment vertical="top" wrapText="1"/>
    </xf>
    <xf numFmtId="0" fontId="0" fillId="0" borderId="21" xfId="0" applyBorder="1" applyAlignment="1">
      <alignment vertical="top" wrapText="1"/>
    </xf>
    <xf numFmtId="0" fontId="0" fillId="0" borderId="22" xfId="0" applyBorder="1" applyAlignment="1">
      <alignment vertical="top" wrapText="1"/>
    </xf>
    <xf numFmtId="0" fontId="21" fillId="0" borderId="41" xfId="0" applyFont="1" applyBorder="1" applyAlignment="1">
      <alignment vertical="top" wrapText="1"/>
    </xf>
    <xf numFmtId="0" fontId="16" fillId="0" borderId="41" xfId="0" applyFont="1" applyBorder="1" applyAlignment="1">
      <alignment vertical="top"/>
    </xf>
    <xf numFmtId="0" fontId="0" fillId="0" borderId="49" xfId="0" applyBorder="1" applyAlignment="1">
      <alignment horizontal="left" vertical="top"/>
    </xf>
    <xf numFmtId="0" fontId="0" fillId="0" borderId="50" xfId="0" applyBorder="1" applyAlignment="1">
      <alignment horizontal="left" vertical="top"/>
    </xf>
    <xf numFmtId="0" fontId="8" fillId="0" borderId="41" xfId="0" applyFont="1" applyBorder="1" applyAlignment="1">
      <alignment horizontal="left" vertical="top" wrapText="1"/>
    </xf>
    <xf numFmtId="0" fontId="12" fillId="0" borderId="41" xfId="10" applyBorder="1" applyAlignment="1">
      <alignment horizontal="left" vertical="top"/>
    </xf>
    <xf numFmtId="0" fontId="9" fillId="2" borderId="0" xfId="0" applyFont="1" applyFill="1" applyAlignment="1"/>
    <xf numFmtId="0" fontId="0" fillId="0" borderId="23" xfId="0" applyBorder="1" applyAlignment="1"/>
    <xf numFmtId="0" fontId="0" fillId="0" borderId="24" xfId="0" applyBorder="1" applyAlignment="1"/>
    <xf numFmtId="0" fontId="0" fillId="0" borderId="16" xfId="0" applyBorder="1" applyAlignment="1"/>
    <xf numFmtId="0" fontId="0" fillId="0" borderId="21" xfId="0" applyBorder="1" applyAlignment="1"/>
    <xf numFmtId="0" fontId="0" fillId="0" borderId="22" xfId="0" applyBorder="1" applyAlignment="1"/>
    <xf numFmtId="0" fontId="0" fillId="0" borderId="20" xfId="0" applyBorder="1" applyAlignment="1"/>
    <xf numFmtId="0" fontId="0" fillId="0" borderId="25" xfId="0" applyBorder="1" applyAlignment="1"/>
    <xf numFmtId="0" fontId="0" fillId="0" borderId="26" xfId="0" applyBorder="1" applyAlignment="1"/>
    <xf numFmtId="0" fontId="0" fillId="0" borderId="27" xfId="0" applyBorder="1" applyAlignment="1"/>
    <xf numFmtId="0" fontId="0" fillId="0" borderId="3" xfId="0" applyBorder="1" applyAlignment="1"/>
    <xf numFmtId="0" fontId="0" fillId="0" borderId="5" xfId="0" applyBorder="1" applyAlignment="1"/>
    <xf numFmtId="0" fontId="0" fillId="0" borderId="2" xfId="0" applyBorder="1" applyAlignment="1"/>
    <xf numFmtId="0" fontId="16" fillId="0" borderId="23" xfId="0" applyFont="1" applyBorder="1" applyAlignment="1"/>
  </cellXfs>
  <cellStyles count="12">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10" builtinId="8"/>
    <cellStyle name="Normal" xfId="0" builtinId="0" customBuiltin="1"/>
    <cellStyle name="Normal 2" xfId="7" xr:uid="{00000000-0005-0000-0000-000007000000}"/>
    <cellStyle name="Normal 3" xfId="8" xr:uid="{2A89A648-275A-4043-8D3F-E44EEBD6EDEC}"/>
    <cellStyle name="Percent" xfId="1" xr:uid="{00000000-0005-0000-0000-000001000000}"/>
    <cellStyle name="標準 2" xfId="6" xr:uid="{00000000-0005-0000-0000-000006000000}"/>
    <cellStyle name="標準 2 2" xfId="9" xr:uid="{4E51BE5E-A7FF-C944-9373-9CA5EFFE1EE1}"/>
    <cellStyle name="標準 2 3" xfId="11" xr:uid="{4230BD16-18DF-4C35-8507-01A3D01356D3}"/>
  </cellStyles>
  <dxfs count="0"/>
  <tableStyles count="0" defaultTableStyle="TableStyleMedium2" defaultPivotStyle="PivotStyleLight16"/>
  <colors>
    <mruColors>
      <color rgb="FFDF51B0"/>
      <color rgb="FFFFF2CC"/>
      <color rgb="FFBDD8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styles" Target="styles.xml"/><Relationship Id="rId27"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1</xdr:col>
      <xdr:colOff>10716</xdr:colOff>
      <xdr:row>10</xdr:row>
      <xdr:rowOff>188566</xdr:rowOff>
    </xdr:from>
    <xdr:to>
      <xdr:col>6</xdr:col>
      <xdr:colOff>11379</xdr:colOff>
      <xdr:row>14</xdr:row>
      <xdr:rowOff>7937</xdr:rowOff>
    </xdr:to>
    <xdr:sp macro="" textlink="">
      <xdr:nvSpPr>
        <xdr:cNvPr id="42" name="Rectangle 41">
          <a:extLst>
            <a:ext uri="{FF2B5EF4-FFF2-40B4-BE49-F238E27FC236}">
              <a16:creationId xmlns:a16="http://schemas.microsoft.com/office/drawing/2014/main" id="{997797A9-D8F6-0A40-B0F1-D4002FEE790D}"/>
            </a:ext>
          </a:extLst>
        </xdr:cNvPr>
        <xdr:cNvSpPr/>
      </xdr:nvSpPr>
      <xdr:spPr>
        <a:xfrm>
          <a:off x="248841" y="2220566"/>
          <a:ext cx="1191288" cy="581371"/>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700">
              <a:solidFill>
                <a:sysClr val="windowText" lastClr="000000"/>
              </a:solidFill>
              <a:latin typeface="Meiryo UI" panose="020B0604030504040204" pitchFamily="50" charset="-128"/>
              <a:ea typeface="Meiryo UI" panose="020B0604030504040204" pitchFamily="50" charset="-128"/>
            </a:rPr>
            <a:t>マスタ送信</a:t>
          </a:r>
        </a:p>
      </xdr:txBody>
    </xdr:sp>
    <xdr:clientData/>
  </xdr:twoCellAnchor>
  <xdr:twoCellAnchor>
    <xdr:from>
      <xdr:col>10</xdr:col>
      <xdr:colOff>18989</xdr:colOff>
      <xdr:row>11</xdr:row>
      <xdr:rowOff>2035</xdr:rowOff>
    </xdr:from>
    <xdr:to>
      <xdr:col>15</xdr:col>
      <xdr:colOff>6951</xdr:colOff>
      <xdr:row>14</xdr:row>
      <xdr:rowOff>3968</xdr:rowOff>
    </xdr:to>
    <xdr:sp macro="" textlink="">
      <xdr:nvSpPr>
        <xdr:cNvPr id="48" name="Rectangle 47">
          <a:extLst>
            <a:ext uri="{FF2B5EF4-FFF2-40B4-BE49-F238E27FC236}">
              <a16:creationId xmlns:a16="http://schemas.microsoft.com/office/drawing/2014/main" id="{157F5564-CBF8-B447-A6D3-582307D45C5A}"/>
            </a:ext>
          </a:extLst>
        </xdr:cNvPr>
        <xdr:cNvSpPr/>
      </xdr:nvSpPr>
      <xdr:spPr>
        <a:xfrm>
          <a:off x="2400239" y="2224535"/>
          <a:ext cx="1178587" cy="573433"/>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700">
              <a:solidFill>
                <a:sysClr val="windowText" lastClr="000000"/>
              </a:solidFill>
              <a:latin typeface="Meiryo UI" panose="020B0604030504040204" pitchFamily="50" charset="-128"/>
              <a:ea typeface="Meiryo UI" panose="020B0604030504040204" pitchFamily="50" charset="-128"/>
            </a:rPr>
            <a:t>マスタ受信</a:t>
          </a:r>
        </a:p>
      </xdr:txBody>
    </xdr:sp>
    <xdr:clientData/>
  </xdr:twoCellAnchor>
  <xdr:twoCellAnchor>
    <xdr:from>
      <xdr:col>6</xdr:col>
      <xdr:colOff>11379</xdr:colOff>
      <xdr:row>12</xdr:row>
      <xdr:rowOff>98252</xdr:rowOff>
    </xdr:from>
    <xdr:to>
      <xdr:col>10</xdr:col>
      <xdr:colOff>18989</xdr:colOff>
      <xdr:row>12</xdr:row>
      <xdr:rowOff>98252</xdr:rowOff>
    </xdr:to>
    <xdr:cxnSp macro="">
      <xdr:nvCxnSpPr>
        <xdr:cNvPr id="50" name="Straight Arrow Connector 49">
          <a:extLst>
            <a:ext uri="{FF2B5EF4-FFF2-40B4-BE49-F238E27FC236}">
              <a16:creationId xmlns:a16="http://schemas.microsoft.com/office/drawing/2014/main" id="{92887005-4080-C74E-BEB4-07B87B6272D0}"/>
            </a:ext>
          </a:extLst>
        </xdr:cNvPr>
        <xdr:cNvCxnSpPr>
          <a:stCxn id="42" idx="3"/>
          <a:endCxn id="48" idx="1"/>
        </xdr:cNvCxnSpPr>
      </xdr:nvCxnSpPr>
      <xdr:spPr>
        <a:xfrm>
          <a:off x="1440129" y="2511252"/>
          <a:ext cx="96011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6951</xdr:colOff>
      <xdr:row>12</xdr:row>
      <xdr:rowOff>98251</xdr:rowOff>
    </xdr:from>
    <xdr:to>
      <xdr:col>34</xdr:col>
      <xdr:colOff>7909</xdr:colOff>
      <xdr:row>12</xdr:row>
      <xdr:rowOff>98252</xdr:rowOff>
    </xdr:to>
    <xdr:cxnSp macro="">
      <xdr:nvCxnSpPr>
        <xdr:cNvPr id="57" name="Straight Arrow Connector 56">
          <a:extLst>
            <a:ext uri="{FF2B5EF4-FFF2-40B4-BE49-F238E27FC236}">
              <a16:creationId xmlns:a16="http://schemas.microsoft.com/office/drawing/2014/main" id="{79E53825-E475-F44E-9144-542916D16AFE}"/>
            </a:ext>
          </a:extLst>
        </xdr:cNvPr>
        <xdr:cNvCxnSpPr>
          <a:cxnSpLocks/>
          <a:stCxn id="48" idx="3"/>
          <a:endCxn id="5155" idx="1"/>
        </xdr:cNvCxnSpPr>
      </xdr:nvCxnSpPr>
      <xdr:spPr>
        <a:xfrm flipV="1">
          <a:off x="3578826" y="2511251"/>
          <a:ext cx="4525333" cy="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15060</xdr:colOff>
      <xdr:row>76</xdr:row>
      <xdr:rowOff>21195</xdr:rowOff>
    </xdr:from>
    <xdr:to>
      <xdr:col>43</xdr:col>
      <xdr:colOff>15722</xdr:colOff>
      <xdr:row>78</xdr:row>
      <xdr:rowOff>172241</xdr:rowOff>
    </xdr:to>
    <xdr:sp macro="" textlink="">
      <xdr:nvSpPr>
        <xdr:cNvPr id="59" name="Cylinder 16">
          <a:extLst>
            <a:ext uri="{FF2B5EF4-FFF2-40B4-BE49-F238E27FC236}">
              <a16:creationId xmlns:a16="http://schemas.microsoft.com/office/drawing/2014/main" id="{DD9F083A-D61E-ED4F-90B8-B8BA18288600}"/>
            </a:ext>
          </a:extLst>
        </xdr:cNvPr>
        <xdr:cNvSpPr/>
      </xdr:nvSpPr>
      <xdr:spPr>
        <a:xfrm>
          <a:off x="9063810" y="14626195"/>
          <a:ext cx="1191287" cy="532046"/>
        </a:xfrm>
        <a:prstGeom prst="can">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600">
              <a:solidFill>
                <a:sysClr val="windowText" lastClr="000000"/>
              </a:solidFill>
              <a:latin typeface="Meiryo UI" panose="020B0604030504040204" pitchFamily="50" charset="-128"/>
              <a:ea typeface="Meiryo UI" panose="020B0604030504040204" pitchFamily="50" charset="-128"/>
            </a:rPr>
            <a:t>Replica</a:t>
          </a:r>
        </a:p>
        <a:p>
          <a:pPr algn="ctr"/>
          <a:r>
            <a:rPr lang="ja-JP" altLang="en-US" sz="600">
              <a:solidFill>
                <a:sysClr val="windowText" lastClr="000000"/>
              </a:solidFill>
              <a:latin typeface="Meiryo UI" panose="020B0604030504040204" pitchFamily="50" charset="-128"/>
              <a:ea typeface="Meiryo UI" panose="020B0604030504040204" pitchFamily="50" charset="-128"/>
            </a:rPr>
            <a:t>データベース</a:t>
          </a:r>
          <a:endParaRPr lang="en-GB" sz="6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30</xdr:col>
      <xdr:colOff>232007</xdr:colOff>
      <xdr:row>76</xdr:row>
      <xdr:rowOff>11582</xdr:rowOff>
    </xdr:from>
    <xdr:to>
      <xdr:col>35</xdr:col>
      <xdr:colOff>232669</xdr:colOff>
      <xdr:row>78</xdr:row>
      <xdr:rowOff>181854</xdr:rowOff>
    </xdr:to>
    <xdr:sp macro="" textlink="">
      <xdr:nvSpPr>
        <xdr:cNvPr id="60" name="Rectangle 59">
          <a:extLst>
            <a:ext uri="{FF2B5EF4-FFF2-40B4-BE49-F238E27FC236}">
              <a16:creationId xmlns:a16="http://schemas.microsoft.com/office/drawing/2014/main" id="{75E2D75B-3084-C14C-9C5E-3668E5B5127B}"/>
            </a:ext>
          </a:extLst>
        </xdr:cNvPr>
        <xdr:cNvSpPr/>
      </xdr:nvSpPr>
      <xdr:spPr>
        <a:xfrm>
          <a:off x="7375757" y="14616582"/>
          <a:ext cx="1191287" cy="551272"/>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700">
              <a:solidFill>
                <a:sysClr val="windowText" lastClr="000000"/>
              </a:solidFill>
              <a:latin typeface="Meiryo UI" panose="020B0604030504040204" pitchFamily="50" charset="-128"/>
              <a:ea typeface="Meiryo UI" panose="020B0604030504040204" pitchFamily="50" charset="-128"/>
            </a:rPr>
            <a:t>マスタを取り込む</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editAs="oneCell">
    <xdr:from>
      <xdr:col>50</xdr:col>
      <xdr:colOff>272803</xdr:colOff>
      <xdr:row>86</xdr:row>
      <xdr:rowOff>120864</xdr:rowOff>
    </xdr:from>
    <xdr:to>
      <xdr:col>52</xdr:col>
      <xdr:colOff>58534</xdr:colOff>
      <xdr:row>88</xdr:row>
      <xdr:rowOff>43177</xdr:rowOff>
    </xdr:to>
    <xdr:sp macro="" textlink="">
      <xdr:nvSpPr>
        <xdr:cNvPr id="5121" name="AutoShape 5">
          <a:extLst>
            <a:ext uri="{FF2B5EF4-FFF2-40B4-BE49-F238E27FC236}">
              <a16:creationId xmlns:a16="http://schemas.microsoft.com/office/drawing/2014/main" id="{6C09DF01-943A-1745-B3BF-DF5348D4EFD7}"/>
            </a:ext>
          </a:extLst>
        </xdr:cNvPr>
        <xdr:cNvSpPr>
          <a:spLocks noChangeAspect="1" noChangeArrowheads="1"/>
        </xdr:cNvSpPr>
      </xdr:nvSpPr>
      <xdr:spPr bwMode="auto">
        <a:xfrm>
          <a:off x="14002533" y="3267260"/>
          <a:ext cx="312695" cy="30880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34</xdr:col>
      <xdr:colOff>7909</xdr:colOff>
      <xdr:row>11</xdr:row>
      <xdr:rowOff>10943</xdr:rowOff>
    </xdr:from>
    <xdr:to>
      <xdr:col>39</xdr:col>
      <xdr:colOff>8571</xdr:colOff>
      <xdr:row>13</xdr:row>
      <xdr:rowOff>185559</xdr:rowOff>
    </xdr:to>
    <xdr:sp macro="" textlink="">
      <xdr:nvSpPr>
        <xdr:cNvPr id="5155" name="Rectangle 5154">
          <a:extLst>
            <a:ext uri="{FF2B5EF4-FFF2-40B4-BE49-F238E27FC236}">
              <a16:creationId xmlns:a16="http://schemas.microsoft.com/office/drawing/2014/main" id="{E7B4889C-CA74-F94D-94AE-2B7E294474D7}"/>
            </a:ext>
          </a:extLst>
        </xdr:cNvPr>
        <xdr:cNvSpPr/>
      </xdr:nvSpPr>
      <xdr:spPr>
        <a:xfrm>
          <a:off x="8104159" y="2233443"/>
          <a:ext cx="1191287" cy="555616"/>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700">
              <a:solidFill>
                <a:sysClr val="windowText" lastClr="000000"/>
              </a:solidFill>
              <a:latin typeface="Meiryo UI" panose="020B0604030504040204" pitchFamily="50" charset="-128"/>
              <a:ea typeface="Meiryo UI" panose="020B0604030504040204" pitchFamily="50" charset="-128"/>
            </a:rPr>
            <a:t>END</a:t>
          </a:r>
          <a:r>
            <a:rPr lang="ja-JP" altLang="en-US" sz="700">
              <a:solidFill>
                <a:sysClr val="windowText" lastClr="000000"/>
              </a:solidFill>
              <a:latin typeface="Meiryo UI" panose="020B0604030504040204" pitchFamily="50" charset="-128"/>
              <a:ea typeface="Meiryo UI" panose="020B0604030504040204" pitchFamily="50" charset="-128"/>
            </a:rPr>
            <a:t>ファイルトリガー</a:t>
          </a:r>
          <a:endParaRPr lang="en-US" altLang="ja-JP" sz="700">
            <a:solidFill>
              <a:sysClr val="windowText" lastClr="000000"/>
            </a:solidFill>
            <a:latin typeface="Meiryo UI" panose="020B0604030504040204" pitchFamily="50" charset="-128"/>
            <a:ea typeface="Meiryo UI" panose="020B0604030504040204" pitchFamily="50" charset="-128"/>
          </a:endParaRPr>
        </a:p>
        <a:p>
          <a:pPr algn="l"/>
          <a:r>
            <a:rPr lang="en-US" altLang="ja-JP" sz="700">
              <a:solidFill>
                <a:sysClr val="windowText" lastClr="000000"/>
              </a:solidFill>
              <a:latin typeface="Meiryo UI" panose="020B0604030504040204" pitchFamily="50" charset="-128"/>
              <a:ea typeface="Meiryo UI" panose="020B0604030504040204" pitchFamily="50" charset="-128"/>
            </a:rPr>
            <a:t>(</a:t>
          </a:r>
          <a:r>
            <a:rPr lang="en-VN" altLang="ja-JP" sz="700">
              <a:solidFill>
                <a:sysClr val="windowText" lastClr="000000"/>
              </a:solidFill>
              <a:latin typeface="Meiryo UI" panose="020B0604030504040204" pitchFamily="50" charset="-128"/>
              <a:ea typeface="Meiryo UI" panose="020B0604030504040204" pitchFamily="50" charset="-128"/>
            </a:rPr>
            <a:t>S</a:t>
          </a:r>
          <a:r>
            <a:rPr lang="ja-JP" altLang="en-VN" sz="700">
              <a:solidFill>
                <a:sysClr val="windowText" lastClr="000000"/>
              </a:solidFill>
              <a:latin typeface="Meiryo UI" panose="020B0604030504040204" pitchFamily="50" charset="-128"/>
              <a:ea typeface="Meiryo UI" panose="020B0604030504040204" pitchFamily="50" charset="-128"/>
            </a:rPr>
            <a:t>＆</a:t>
          </a:r>
          <a:r>
            <a:rPr lang="en-VN" altLang="ja-JP" sz="700">
              <a:solidFill>
                <a:sysClr val="windowText" lastClr="000000"/>
              </a:solidFill>
              <a:latin typeface="Meiryo UI" panose="020B0604030504040204" pitchFamily="50" charset="-128"/>
              <a:ea typeface="Meiryo UI" panose="020B0604030504040204" pitchFamily="50" charset="-128"/>
            </a:rPr>
            <a:t>G</a:t>
          </a:r>
          <a:r>
            <a:rPr lang="ja-JP" altLang="en-US" sz="700">
              <a:solidFill>
                <a:sysClr val="windowText" lastClr="000000"/>
              </a:solidFill>
              <a:latin typeface="Meiryo UI" panose="020B0604030504040204" pitchFamily="50" charset="-128"/>
              <a:ea typeface="Meiryo UI" panose="020B0604030504040204" pitchFamily="50" charset="-128"/>
            </a:rPr>
            <a:t>の場合、</a:t>
          </a:r>
          <a:r>
            <a:rPr lang="en-US" altLang="ja-JP" sz="700">
              <a:solidFill>
                <a:sysClr val="windowText" lastClr="000000"/>
              </a:solidFill>
              <a:latin typeface="Meiryo UI" panose="020B0604030504040204" pitchFamily="50" charset="-128"/>
              <a:ea typeface="Meiryo UI" panose="020B0604030504040204" pitchFamily="50" charset="-128"/>
            </a:rPr>
            <a:t>ZIP</a:t>
          </a:r>
          <a:r>
            <a:rPr lang="ja-JP" altLang="en-US" sz="700">
              <a:solidFill>
                <a:sysClr val="windowText" lastClr="000000"/>
              </a:solidFill>
              <a:latin typeface="Meiryo UI" panose="020B0604030504040204" pitchFamily="50" charset="-128"/>
              <a:ea typeface="Meiryo UI" panose="020B0604030504040204" pitchFamily="50" charset="-128"/>
            </a:rPr>
            <a:t>トリガー</a:t>
          </a:r>
          <a:r>
            <a:rPr lang="en-US" altLang="ja-JP" sz="700">
              <a:solidFill>
                <a:sysClr val="windowText" lastClr="000000"/>
              </a:solidFill>
              <a:latin typeface="Meiryo UI" panose="020B0604030504040204" pitchFamily="50" charset="-128"/>
              <a:ea typeface="Meiryo UI" panose="020B0604030504040204" pitchFamily="50" charset="-128"/>
            </a:rPr>
            <a:t>)</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9756</xdr:colOff>
      <xdr:row>21</xdr:row>
      <xdr:rowOff>19703</xdr:rowOff>
    </xdr:from>
    <xdr:to>
      <xdr:col>45</xdr:col>
      <xdr:colOff>10418</xdr:colOff>
      <xdr:row>24</xdr:row>
      <xdr:rowOff>3819</xdr:rowOff>
    </xdr:to>
    <xdr:sp macro="" textlink="">
      <xdr:nvSpPr>
        <xdr:cNvPr id="5158" name="Rectangle 5157">
          <a:extLst>
            <a:ext uri="{FF2B5EF4-FFF2-40B4-BE49-F238E27FC236}">
              <a16:creationId xmlns:a16="http://schemas.microsoft.com/office/drawing/2014/main" id="{87931CDD-2280-814E-BFD3-C667F085809D}"/>
            </a:ext>
          </a:extLst>
        </xdr:cNvPr>
        <xdr:cNvSpPr/>
      </xdr:nvSpPr>
      <xdr:spPr>
        <a:xfrm>
          <a:off x="9534756" y="4147203"/>
          <a:ext cx="1191287" cy="555616"/>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700">
              <a:solidFill>
                <a:sysClr val="windowText" lastClr="000000"/>
              </a:solidFill>
              <a:latin typeface="Meiryo UI" panose="020B0604030504040204" pitchFamily="50" charset="-128"/>
              <a:ea typeface="Meiryo UI" panose="020B0604030504040204" pitchFamily="50" charset="-128"/>
            </a:rPr>
            <a:t>店舗ごとのファイルに分ける</a:t>
          </a:r>
        </a:p>
        <a:p>
          <a:pPr algn="l"/>
          <a:r>
            <a:rPr lang="en-GB" sz="700">
              <a:solidFill>
                <a:sysClr val="windowText" lastClr="000000"/>
              </a:solidFill>
              <a:latin typeface="Meiryo UI" panose="020B0604030504040204" pitchFamily="50" charset="-128"/>
              <a:ea typeface="Meiryo UI" panose="020B0604030504040204" pitchFamily="50" charset="-128"/>
            </a:rPr>
            <a:t>(S＆Gの場合、ZIP解凍)</a:t>
          </a:r>
        </a:p>
      </xdr:txBody>
    </xdr:sp>
    <xdr:clientData/>
  </xdr:twoCellAnchor>
  <xdr:twoCellAnchor>
    <xdr:from>
      <xdr:col>36</xdr:col>
      <xdr:colOff>127303</xdr:colOff>
      <xdr:row>13</xdr:row>
      <xdr:rowOff>185559</xdr:rowOff>
    </xdr:from>
    <xdr:to>
      <xdr:col>42</xdr:col>
      <xdr:colOff>129149</xdr:colOff>
      <xdr:row>16</xdr:row>
      <xdr:rowOff>11911</xdr:rowOff>
    </xdr:to>
    <xdr:cxnSp macro="">
      <xdr:nvCxnSpPr>
        <xdr:cNvPr id="5163" name="Elbow Connector 5162">
          <a:extLst>
            <a:ext uri="{FF2B5EF4-FFF2-40B4-BE49-F238E27FC236}">
              <a16:creationId xmlns:a16="http://schemas.microsoft.com/office/drawing/2014/main" id="{BC30D060-99DF-FBDE-5558-C4E5BD9727D3}"/>
            </a:ext>
          </a:extLst>
        </xdr:cNvPr>
        <xdr:cNvCxnSpPr>
          <a:stCxn id="5155" idx="2"/>
          <a:endCxn id="5190" idx="0"/>
        </xdr:cNvCxnSpPr>
      </xdr:nvCxnSpPr>
      <xdr:spPr>
        <a:xfrm rot="16200000" flipH="1">
          <a:off x="9216175" y="2272687"/>
          <a:ext cx="397852" cy="1430596"/>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230188</xdr:colOff>
      <xdr:row>22</xdr:row>
      <xdr:rowOff>99073</xdr:rowOff>
    </xdr:from>
    <xdr:to>
      <xdr:col>40</xdr:col>
      <xdr:colOff>9756</xdr:colOff>
      <xdr:row>22</xdr:row>
      <xdr:rowOff>107011</xdr:rowOff>
    </xdr:to>
    <xdr:cxnSp macro="">
      <xdr:nvCxnSpPr>
        <xdr:cNvPr id="5167" name="Straight Arrow Connector 5166">
          <a:extLst>
            <a:ext uri="{FF2B5EF4-FFF2-40B4-BE49-F238E27FC236}">
              <a16:creationId xmlns:a16="http://schemas.microsoft.com/office/drawing/2014/main" id="{A902C303-E2B1-76FE-2E2B-235586E7666E}"/>
            </a:ext>
          </a:extLst>
        </xdr:cNvPr>
        <xdr:cNvCxnSpPr>
          <a:stCxn id="5158" idx="1"/>
          <a:endCxn id="5181" idx="3"/>
        </xdr:cNvCxnSpPr>
      </xdr:nvCxnSpPr>
      <xdr:spPr>
        <a:xfrm flipH="1" flipV="1">
          <a:off x="4992688" y="4417073"/>
          <a:ext cx="4542068" cy="793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9609</xdr:colOff>
      <xdr:row>21</xdr:row>
      <xdr:rowOff>19612</xdr:rowOff>
    </xdr:from>
    <xdr:to>
      <xdr:col>20</xdr:col>
      <xdr:colOff>230188</xdr:colOff>
      <xdr:row>23</xdr:row>
      <xdr:rowOff>178534</xdr:rowOff>
    </xdr:to>
    <xdr:sp macro="" textlink="">
      <xdr:nvSpPr>
        <xdr:cNvPr id="5181" name="Flowchart: Card 34">
          <a:extLst>
            <a:ext uri="{FF2B5EF4-FFF2-40B4-BE49-F238E27FC236}">
              <a16:creationId xmlns:a16="http://schemas.microsoft.com/office/drawing/2014/main" id="{5168E2EF-89BD-F144-BD06-B92BF7CBA541}"/>
            </a:ext>
          </a:extLst>
        </xdr:cNvPr>
        <xdr:cNvSpPr/>
      </xdr:nvSpPr>
      <xdr:spPr>
        <a:xfrm>
          <a:off x="3819609" y="4147112"/>
          <a:ext cx="1173079" cy="539922"/>
        </a:xfrm>
        <a:prstGeom prst="flowChartPunchedCard">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700">
              <a:solidFill>
                <a:sysClr val="windowText" lastClr="000000"/>
              </a:solidFill>
              <a:latin typeface="Meiryo UI" panose="020B0604030504040204" pitchFamily="50" charset="-128"/>
              <a:ea typeface="Meiryo UI" panose="020B0604030504040204" pitchFamily="50" charset="-128"/>
            </a:rPr>
            <a:t>マスタファイル</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18</xdr:col>
      <xdr:colOff>127000</xdr:colOff>
      <xdr:row>33</xdr:row>
      <xdr:rowOff>174796</xdr:rowOff>
    </xdr:from>
    <xdr:to>
      <xdr:col>27</xdr:col>
      <xdr:colOff>135269</xdr:colOff>
      <xdr:row>66</xdr:row>
      <xdr:rowOff>7938</xdr:rowOff>
    </xdr:to>
    <xdr:cxnSp macro="">
      <xdr:nvCxnSpPr>
        <xdr:cNvPr id="5188" name="Connector: Elbow 48">
          <a:extLst>
            <a:ext uri="{FF2B5EF4-FFF2-40B4-BE49-F238E27FC236}">
              <a16:creationId xmlns:a16="http://schemas.microsoft.com/office/drawing/2014/main" id="{8DDEF469-8169-8B45-9967-8F41AE2DB5AE}"/>
            </a:ext>
          </a:extLst>
        </xdr:cNvPr>
        <xdr:cNvCxnSpPr>
          <a:cxnSpLocks/>
          <a:stCxn id="5398" idx="2"/>
          <a:endCxn id="5338" idx="0"/>
        </xdr:cNvCxnSpPr>
      </xdr:nvCxnSpPr>
      <xdr:spPr>
        <a:xfrm rot="16200000" flipH="1">
          <a:off x="2429126" y="8572420"/>
          <a:ext cx="6119642" cy="2151394"/>
        </a:xfrm>
        <a:prstGeom prst="bentConnector3">
          <a:avLst>
            <a:gd name="adj1" fmla="val 50000"/>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2149</xdr:colOff>
      <xdr:row>26</xdr:row>
      <xdr:rowOff>15875</xdr:rowOff>
    </xdr:from>
    <xdr:to>
      <xdr:col>45</xdr:col>
      <xdr:colOff>18025</xdr:colOff>
      <xdr:row>29</xdr:row>
      <xdr:rowOff>1</xdr:rowOff>
    </xdr:to>
    <xdr:sp macro="" textlink="">
      <xdr:nvSpPr>
        <xdr:cNvPr id="5169" name="Decision 5168">
          <a:extLst>
            <a:ext uri="{FF2B5EF4-FFF2-40B4-BE49-F238E27FC236}">
              <a16:creationId xmlns:a16="http://schemas.microsoft.com/office/drawing/2014/main" id="{733EDA3E-F97C-5C72-98D5-0D8E30B5CE5E}"/>
            </a:ext>
          </a:extLst>
        </xdr:cNvPr>
        <xdr:cNvSpPr/>
      </xdr:nvSpPr>
      <xdr:spPr>
        <a:xfrm>
          <a:off x="9527149" y="5095875"/>
          <a:ext cx="1206501" cy="555626"/>
        </a:xfrm>
        <a:prstGeom prst="flowChartDecision">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エラー</a:t>
          </a:r>
        </a:p>
      </xdr:txBody>
    </xdr:sp>
    <xdr:clientData/>
  </xdr:twoCellAnchor>
  <xdr:twoCellAnchor>
    <xdr:from>
      <xdr:col>50</xdr:col>
      <xdr:colOff>15875</xdr:colOff>
      <xdr:row>26</xdr:row>
      <xdr:rowOff>11907</xdr:rowOff>
    </xdr:from>
    <xdr:to>
      <xdr:col>54</xdr:col>
      <xdr:colOff>252290</xdr:colOff>
      <xdr:row>29</xdr:row>
      <xdr:rowOff>3969</xdr:rowOff>
    </xdr:to>
    <xdr:sp macro="" textlink="">
      <xdr:nvSpPr>
        <xdr:cNvPr id="5170" name="Flowchart: Document 25">
          <a:extLst>
            <a:ext uri="{FF2B5EF4-FFF2-40B4-BE49-F238E27FC236}">
              <a16:creationId xmlns:a16="http://schemas.microsoft.com/office/drawing/2014/main" id="{04DBCB57-F349-BE4C-B17F-03B53AA0CD0F}"/>
            </a:ext>
          </a:extLst>
        </xdr:cNvPr>
        <xdr:cNvSpPr/>
      </xdr:nvSpPr>
      <xdr:spPr>
        <a:xfrm>
          <a:off x="11938000" y="5091907"/>
          <a:ext cx="1188915" cy="563562"/>
        </a:xfrm>
        <a:prstGeom prst="flowChartDocumen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700">
              <a:solidFill>
                <a:sysClr val="windowText" lastClr="000000"/>
              </a:solidFill>
              <a:latin typeface="Meiryo UI" panose="020B0604030504040204" pitchFamily="50" charset="-128"/>
              <a:ea typeface="Meiryo UI" panose="020B0604030504040204" pitchFamily="50" charset="-128"/>
            </a:rPr>
            <a:t>エラーログ</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56</xdr:col>
      <xdr:colOff>15877</xdr:colOff>
      <xdr:row>26</xdr:row>
      <xdr:rowOff>23813</xdr:rowOff>
    </xdr:from>
    <xdr:to>
      <xdr:col>60</xdr:col>
      <xdr:colOff>222250</xdr:colOff>
      <xdr:row>28</xdr:row>
      <xdr:rowOff>182563</xdr:rowOff>
    </xdr:to>
    <xdr:sp macro="" textlink="">
      <xdr:nvSpPr>
        <xdr:cNvPr id="5172" name="Data 5171">
          <a:extLst>
            <a:ext uri="{FF2B5EF4-FFF2-40B4-BE49-F238E27FC236}">
              <a16:creationId xmlns:a16="http://schemas.microsoft.com/office/drawing/2014/main" id="{25158326-34DB-ED66-FC68-89924584AF60}"/>
            </a:ext>
          </a:extLst>
        </xdr:cNvPr>
        <xdr:cNvSpPr/>
      </xdr:nvSpPr>
      <xdr:spPr>
        <a:xfrm>
          <a:off x="13382627" y="5103813"/>
          <a:ext cx="1135061" cy="539750"/>
        </a:xfrm>
        <a:prstGeom prst="flowChartInputOutpu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700">
              <a:solidFill>
                <a:sysClr val="windowText" lastClr="000000"/>
              </a:solidFill>
              <a:latin typeface="Meiryo UI" panose="020B0604030504040204" pitchFamily="34" charset="-128"/>
              <a:ea typeface="Meiryo UI" panose="020B0604030504040204" pitchFamily="34" charset="-128"/>
            </a:rPr>
            <a:t>メール送信</a:t>
          </a:r>
        </a:p>
      </xdr:txBody>
    </xdr:sp>
    <xdr:clientData/>
  </xdr:twoCellAnchor>
  <xdr:twoCellAnchor>
    <xdr:from>
      <xdr:col>42</xdr:col>
      <xdr:colOff>129150</xdr:colOff>
      <xdr:row>24</xdr:row>
      <xdr:rowOff>3819</xdr:rowOff>
    </xdr:from>
    <xdr:to>
      <xdr:col>42</xdr:col>
      <xdr:colOff>129150</xdr:colOff>
      <xdr:row>26</xdr:row>
      <xdr:rowOff>15875</xdr:rowOff>
    </xdr:to>
    <xdr:cxnSp macro="">
      <xdr:nvCxnSpPr>
        <xdr:cNvPr id="5174" name="Straight Arrow Connector 5173">
          <a:extLst>
            <a:ext uri="{FF2B5EF4-FFF2-40B4-BE49-F238E27FC236}">
              <a16:creationId xmlns:a16="http://schemas.microsoft.com/office/drawing/2014/main" id="{A8318808-3BDF-C54F-81EA-E59B17FE72C3}"/>
            </a:ext>
          </a:extLst>
        </xdr:cNvPr>
        <xdr:cNvCxnSpPr>
          <a:cxnSpLocks/>
          <a:stCxn id="5158" idx="2"/>
          <a:endCxn id="5169" idx="0"/>
        </xdr:cNvCxnSpPr>
      </xdr:nvCxnSpPr>
      <xdr:spPr>
        <a:xfrm>
          <a:off x="10130400" y="4702819"/>
          <a:ext cx="0" cy="39305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15875</xdr:colOff>
      <xdr:row>16</xdr:row>
      <xdr:rowOff>7938</xdr:rowOff>
    </xdr:from>
    <xdr:to>
      <xdr:col>54</xdr:col>
      <xdr:colOff>252290</xdr:colOff>
      <xdr:row>19</xdr:row>
      <xdr:rowOff>0</xdr:rowOff>
    </xdr:to>
    <xdr:sp macro="" textlink="">
      <xdr:nvSpPr>
        <xdr:cNvPr id="5179" name="Flowchart: Document 25">
          <a:extLst>
            <a:ext uri="{FF2B5EF4-FFF2-40B4-BE49-F238E27FC236}">
              <a16:creationId xmlns:a16="http://schemas.microsoft.com/office/drawing/2014/main" id="{8A20951F-0F6E-DC44-A4E9-604309B3C146}"/>
            </a:ext>
          </a:extLst>
        </xdr:cNvPr>
        <xdr:cNvSpPr/>
      </xdr:nvSpPr>
      <xdr:spPr>
        <a:xfrm>
          <a:off x="11938000" y="3182938"/>
          <a:ext cx="1188915" cy="563562"/>
        </a:xfrm>
        <a:prstGeom prst="flowChartDocumen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700">
              <a:solidFill>
                <a:sysClr val="windowText" lastClr="000000"/>
              </a:solidFill>
              <a:latin typeface="Meiryo UI" panose="020B0604030504040204" pitchFamily="50" charset="-128"/>
              <a:ea typeface="Meiryo UI" panose="020B0604030504040204" pitchFamily="50" charset="-128"/>
            </a:rPr>
            <a:t>アプリログ</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9755</xdr:colOff>
      <xdr:row>16</xdr:row>
      <xdr:rowOff>11911</xdr:rowOff>
    </xdr:from>
    <xdr:to>
      <xdr:col>45</xdr:col>
      <xdr:colOff>10418</xdr:colOff>
      <xdr:row>18</xdr:row>
      <xdr:rowOff>186527</xdr:rowOff>
    </xdr:to>
    <xdr:sp macro="" textlink="">
      <xdr:nvSpPr>
        <xdr:cNvPr id="5190" name="Rectangle 5189">
          <a:extLst>
            <a:ext uri="{FF2B5EF4-FFF2-40B4-BE49-F238E27FC236}">
              <a16:creationId xmlns:a16="http://schemas.microsoft.com/office/drawing/2014/main" id="{1C0C2077-4C22-0345-8FFA-DECE419F7CE5}"/>
            </a:ext>
          </a:extLst>
        </xdr:cNvPr>
        <xdr:cNvSpPr/>
      </xdr:nvSpPr>
      <xdr:spPr>
        <a:xfrm>
          <a:off x="9534755" y="3186911"/>
          <a:ext cx="1191288" cy="555616"/>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700">
              <a:solidFill>
                <a:sysClr val="windowText" lastClr="000000"/>
              </a:solidFill>
              <a:latin typeface="Meiryo UI" panose="020B0604030504040204" pitchFamily="50" charset="-128"/>
              <a:ea typeface="Meiryo UI" panose="020B0604030504040204" pitchFamily="50" charset="-128"/>
            </a:rPr>
            <a:t>処理開始</a:t>
          </a:r>
        </a:p>
      </xdr:txBody>
    </xdr:sp>
    <xdr:clientData/>
  </xdr:twoCellAnchor>
  <xdr:twoCellAnchor>
    <xdr:from>
      <xdr:col>42</xdr:col>
      <xdr:colOff>129149</xdr:colOff>
      <xdr:row>18</xdr:row>
      <xdr:rowOff>186527</xdr:rowOff>
    </xdr:from>
    <xdr:to>
      <xdr:col>42</xdr:col>
      <xdr:colOff>129150</xdr:colOff>
      <xdr:row>21</xdr:row>
      <xdr:rowOff>19703</xdr:rowOff>
    </xdr:to>
    <xdr:cxnSp macro="">
      <xdr:nvCxnSpPr>
        <xdr:cNvPr id="5192" name="Straight Arrow Connector 5191">
          <a:extLst>
            <a:ext uri="{FF2B5EF4-FFF2-40B4-BE49-F238E27FC236}">
              <a16:creationId xmlns:a16="http://schemas.microsoft.com/office/drawing/2014/main" id="{39A47535-49C1-C64C-83CF-EE0E2AA9594D}"/>
            </a:ext>
          </a:extLst>
        </xdr:cNvPr>
        <xdr:cNvCxnSpPr>
          <a:cxnSpLocks/>
          <a:stCxn id="5190" idx="2"/>
          <a:endCxn id="5158" idx="0"/>
        </xdr:cNvCxnSpPr>
      </xdr:nvCxnSpPr>
      <xdr:spPr>
        <a:xfrm>
          <a:off x="10130399" y="3742527"/>
          <a:ext cx="1" cy="40467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0</xdr:colOff>
      <xdr:row>31</xdr:row>
      <xdr:rowOff>15875</xdr:rowOff>
    </xdr:from>
    <xdr:to>
      <xdr:col>42</xdr:col>
      <xdr:colOff>663</xdr:colOff>
      <xdr:row>33</xdr:row>
      <xdr:rowOff>190491</xdr:rowOff>
    </xdr:to>
    <xdr:sp macro="" textlink="">
      <xdr:nvSpPr>
        <xdr:cNvPr id="5196" name="Rectangle 5195">
          <a:extLst>
            <a:ext uri="{FF2B5EF4-FFF2-40B4-BE49-F238E27FC236}">
              <a16:creationId xmlns:a16="http://schemas.microsoft.com/office/drawing/2014/main" id="{95F1F7EA-C4D6-794C-8C63-F1D3DEB02500}"/>
            </a:ext>
          </a:extLst>
        </xdr:cNvPr>
        <xdr:cNvSpPr/>
      </xdr:nvSpPr>
      <xdr:spPr>
        <a:xfrm>
          <a:off x="8810625" y="6048375"/>
          <a:ext cx="1191288" cy="555616"/>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700">
              <a:solidFill>
                <a:sysClr val="windowText" lastClr="000000"/>
              </a:solidFill>
              <a:latin typeface="Meiryo UI" panose="020B0604030504040204" pitchFamily="50" charset="-128"/>
              <a:ea typeface="Meiryo UI" panose="020B0604030504040204" pitchFamily="50" charset="-128"/>
            </a:rPr>
            <a:t>ENDファイル作成</a:t>
          </a:r>
        </a:p>
        <a:p>
          <a:pPr algn="l"/>
          <a:r>
            <a:rPr lang="en-GB" sz="700">
              <a:solidFill>
                <a:sysClr val="windowText" lastClr="000000"/>
              </a:solidFill>
              <a:latin typeface="Meiryo UI" panose="020B0604030504040204" pitchFamily="50" charset="-128"/>
              <a:ea typeface="Meiryo UI" panose="020B0604030504040204" pitchFamily="50" charset="-128"/>
            </a:rPr>
            <a:t>(S&amp;Gの場合、ENDファイル作成なし)</a:t>
          </a:r>
        </a:p>
      </xdr:txBody>
    </xdr:sp>
    <xdr:clientData/>
  </xdr:twoCellAnchor>
  <xdr:twoCellAnchor>
    <xdr:from>
      <xdr:col>45</xdr:col>
      <xdr:colOff>18025</xdr:colOff>
      <xdr:row>27</xdr:row>
      <xdr:rowOff>103188</xdr:rowOff>
    </xdr:from>
    <xdr:to>
      <xdr:col>50</xdr:col>
      <xdr:colOff>15875</xdr:colOff>
      <xdr:row>27</xdr:row>
      <xdr:rowOff>103188</xdr:rowOff>
    </xdr:to>
    <xdr:cxnSp macro="">
      <xdr:nvCxnSpPr>
        <xdr:cNvPr id="5204" name="Straight Arrow Connector 5203">
          <a:extLst>
            <a:ext uri="{FF2B5EF4-FFF2-40B4-BE49-F238E27FC236}">
              <a16:creationId xmlns:a16="http://schemas.microsoft.com/office/drawing/2014/main" id="{FE5D9F2E-4D53-CD43-B528-A8B2F1174800}"/>
            </a:ext>
          </a:extLst>
        </xdr:cNvPr>
        <xdr:cNvCxnSpPr>
          <a:cxnSpLocks/>
          <a:stCxn id="5169" idx="3"/>
          <a:endCxn id="5170" idx="1"/>
        </xdr:cNvCxnSpPr>
      </xdr:nvCxnSpPr>
      <xdr:spPr>
        <a:xfrm>
          <a:off x="10733650" y="5373688"/>
          <a:ext cx="12043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252290</xdr:colOff>
      <xdr:row>27</xdr:row>
      <xdr:rowOff>103188</xdr:rowOff>
    </xdr:from>
    <xdr:to>
      <xdr:col>56</xdr:col>
      <xdr:colOff>129383</xdr:colOff>
      <xdr:row>27</xdr:row>
      <xdr:rowOff>103188</xdr:rowOff>
    </xdr:to>
    <xdr:cxnSp macro="">
      <xdr:nvCxnSpPr>
        <xdr:cNvPr id="5208" name="Straight Arrow Connector 5207">
          <a:extLst>
            <a:ext uri="{FF2B5EF4-FFF2-40B4-BE49-F238E27FC236}">
              <a16:creationId xmlns:a16="http://schemas.microsoft.com/office/drawing/2014/main" id="{280F6BFC-E3F5-F449-B87E-5BD1B961238D}"/>
            </a:ext>
          </a:extLst>
        </xdr:cNvPr>
        <xdr:cNvCxnSpPr>
          <a:cxnSpLocks/>
          <a:stCxn id="5170" idx="3"/>
          <a:endCxn id="5172" idx="2"/>
        </xdr:cNvCxnSpPr>
      </xdr:nvCxnSpPr>
      <xdr:spPr>
        <a:xfrm>
          <a:off x="13126915" y="5373688"/>
          <a:ext cx="369218"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10418</xdr:colOff>
      <xdr:row>17</xdr:row>
      <xdr:rowOff>99219</xdr:rowOff>
    </xdr:from>
    <xdr:to>
      <xdr:col>50</xdr:col>
      <xdr:colOff>15875</xdr:colOff>
      <xdr:row>17</xdr:row>
      <xdr:rowOff>99219</xdr:rowOff>
    </xdr:to>
    <xdr:cxnSp macro="">
      <xdr:nvCxnSpPr>
        <xdr:cNvPr id="5211" name="Straight Arrow Connector 5210">
          <a:extLst>
            <a:ext uri="{FF2B5EF4-FFF2-40B4-BE49-F238E27FC236}">
              <a16:creationId xmlns:a16="http://schemas.microsoft.com/office/drawing/2014/main" id="{101C715A-3B12-8841-8885-7B4B0B5D239E}"/>
            </a:ext>
          </a:extLst>
        </xdr:cNvPr>
        <xdr:cNvCxnSpPr>
          <a:cxnSpLocks/>
          <a:stCxn id="5190" idx="3"/>
          <a:endCxn id="5179" idx="1"/>
        </xdr:cNvCxnSpPr>
      </xdr:nvCxnSpPr>
      <xdr:spPr>
        <a:xfrm>
          <a:off x="10726043" y="3464719"/>
          <a:ext cx="1211957"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332</xdr:colOff>
      <xdr:row>41</xdr:row>
      <xdr:rowOff>19844</xdr:rowOff>
    </xdr:from>
    <xdr:to>
      <xdr:col>42</xdr:col>
      <xdr:colOff>332</xdr:colOff>
      <xdr:row>43</xdr:row>
      <xdr:rowOff>178594</xdr:rowOff>
    </xdr:to>
    <xdr:sp macro="" textlink="">
      <xdr:nvSpPr>
        <xdr:cNvPr id="5214" name="Decision 5213">
          <a:extLst>
            <a:ext uri="{FF2B5EF4-FFF2-40B4-BE49-F238E27FC236}">
              <a16:creationId xmlns:a16="http://schemas.microsoft.com/office/drawing/2014/main" id="{35D2F177-5EE0-CB4E-9F3E-3ADFA66031DC}"/>
            </a:ext>
          </a:extLst>
        </xdr:cNvPr>
        <xdr:cNvSpPr/>
      </xdr:nvSpPr>
      <xdr:spPr>
        <a:xfrm>
          <a:off x="8810957" y="7957344"/>
          <a:ext cx="1190625" cy="539750"/>
        </a:xfrm>
        <a:prstGeom prst="flowChartDecision">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エラー</a:t>
          </a:r>
        </a:p>
      </xdr:txBody>
    </xdr:sp>
    <xdr:clientData/>
  </xdr:twoCellAnchor>
  <xdr:twoCellAnchor>
    <xdr:from>
      <xdr:col>50</xdr:col>
      <xdr:colOff>15875</xdr:colOff>
      <xdr:row>41</xdr:row>
      <xdr:rowOff>7938</xdr:rowOff>
    </xdr:from>
    <xdr:to>
      <xdr:col>54</xdr:col>
      <xdr:colOff>252290</xdr:colOff>
      <xdr:row>44</xdr:row>
      <xdr:rowOff>0</xdr:rowOff>
    </xdr:to>
    <xdr:sp macro="" textlink="">
      <xdr:nvSpPr>
        <xdr:cNvPr id="5215" name="Flowchart: Document 25">
          <a:extLst>
            <a:ext uri="{FF2B5EF4-FFF2-40B4-BE49-F238E27FC236}">
              <a16:creationId xmlns:a16="http://schemas.microsoft.com/office/drawing/2014/main" id="{F630D16E-92C5-414C-A686-D976BE8F9E76}"/>
            </a:ext>
          </a:extLst>
        </xdr:cNvPr>
        <xdr:cNvSpPr/>
      </xdr:nvSpPr>
      <xdr:spPr>
        <a:xfrm>
          <a:off x="11938000" y="7945438"/>
          <a:ext cx="1188915" cy="563562"/>
        </a:xfrm>
        <a:prstGeom prst="flowChartDocumen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700">
              <a:solidFill>
                <a:sysClr val="windowText" lastClr="000000"/>
              </a:solidFill>
              <a:latin typeface="Meiryo UI" panose="020B0604030504040204" pitchFamily="50" charset="-128"/>
              <a:ea typeface="Meiryo UI" panose="020B0604030504040204" pitchFamily="50" charset="-128"/>
            </a:rPr>
            <a:t>エラーログ</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56</xdr:col>
      <xdr:colOff>15877</xdr:colOff>
      <xdr:row>41</xdr:row>
      <xdr:rowOff>19844</xdr:rowOff>
    </xdr:from>
    <xdr:to>
      <xdr:col>60</xdr:col>
      <xdr:colOff>222250</xdr:colOff>
      <xdr:row>43</xdr:row>
      <xdr:rowOff>178594</xdr:rowOff>
    </xdr:to>
    <xdr:sp macro="" textlink="">
      <xdr:nvSpPr>
        <xdr:cNvPr id="5216" name="Data 5215">
          <a:extLst>
            <a:ext uri="{FF2B5EF4-FFF2-40B4-BE49-F238E27FC236}">
              <a16:creationId xmlns:a16="http://schemas.microsoft.com/office/drawing/2014/main" id="{5AC375EA-3AAE-944A-BD7A-F33033CC7CF7}"/>
            </a:ext>
          </a:extLst>
        </xdr:cNvPr>
        <xdr:cNvSpPr/>
      </xdr:nvSpPr>
      <xdr:spPr>
        <a:xfrm>
          <a:off x="13382627" y="7957344"/>
          <a:ext cx="1135061" cy="539750"/>
        </a:xfrm>
        <a:prstGeom prst="flowChartInputOutpu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700">
              <a:solidFill>
                <a:sysClr val="windowText" lastClr="000000"/>
              </a:solidFill>
              <a:latin typeface="Meiryo UI" panose="020B0604030504040204" pitchFamily="34" charset="-128"/>
              <a:ea typeface="Meiryo UI" panose="020B0604030504040204" pitchFamily="34" charset="-128"/>
            </a:rPr>
            <a:t>メール送信</a:t>
          </a:r>
        </a:p>
      </xdr:txBody>
    </xdr:sp>
    <xdr:clientData/>
  </xdr:twoCellAnchor>
  <xdr:twoCellAnchor>
    <xdr:from>
      <xdr:col>39</xdr:col>
      <xdr:colOff>119394</xdr:colOff>
      <xdr:row>33</xdr:row>
      <xdr:rowOff>190491</xdr:rowOff>
    </xdr:from>
    <xdr:to>
      <xdr:col>39</xdr:col>
      <xdr:colOff>119395</xdr:colOff>
      <xdr:row>41</xdr:row>
      <xdr:rowOff>19844</xdr:rowOff>
    </xdr:to>
    <xdr:cxnSp macro="">
      <xdr:nvCxnSpPr>
        <xdr:cNvPr id="5217" name="Straight Arrow Connector 5216">
          <a:extLst>
            <a:ext uri="{FF2B5EF4-FFF2-40B4-BE49-F238E27FC236}">
              <a16:creationId xmlns:a16="http://schemas.microsoft.com/office/drawing/2014/main" id="{35411DE4-0BAA-6847-BB0A-2E03FF5BBF05}"/>
            </a:ext>
          </a:extLst>
        </xdr:cNvPr>
        <xdr:cNvCxnSpPr>
          <a:cxnSpLocks/>
          <a:stCxn id="5196" idx="2"/>
          <a:endCxn id="5214" idx="0"/>
        </xdr:cNvCxnSpPr>
      </xdr:nvCxnSpPr>
      <xdr:spPr>
        <a:xfrm>
          <a:off x="9406269" y="6603991"/>
          <a:ext cx="1" cy="13533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332</xdr:colOff>
      <xdr:row>42</xdr:row>
      <xdr:rowOff>99219</xdr:rowOff>
    </xdr:from>
    <xdr:to>
      <xdr:col>50</xdr:col>
      <xdr:colOff>15875</xdr:colOff>
      <xdr:row>42</xdr:row>
      <xdr:rowOff>99219</xdr:rowOff>
    </xdr:to>
    <xdr:cxnSp macro="">
      <xdr:nvCxnSpPr>
        <xdr:cNvPr id="5222" name="Straight Arrow Connector 5221">
          <a:extLst>
            <a:ext uri="{FF2B5EF4-FFF2-40B4-BE49-F238E27FC236}">
              <a16:creationId xmlns:a16="http://schemas.microsoft.com/office/drawing/2014/main" id="{A3B639B3-FCFC-CE42-BFAA-A48427056B53}"/>
            </a:ext>
          </a:extLst>
        </xdr:cNvPr>
        <xdr:cNvCxnSpPr>
          <a:cxnSpLocks/>
          <a:stCxn id="5214" idx="3"/>
          <a:endCxn id="5215" idx="1"/>
        </xdr:cNvCxnSpPr>
      </xdr:nvCxnSpPr>
      <xdr:spPr>
        <a:xfrm>
          <a:off x="10001582" y="8227219"/>
          <a:ext cx="1936418"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7937</xdr:colOff>
      <xdr:row>52</xdr:row>
      <xdr:rowOff>0</xdr:rowOff>
    </xdr:from>
    <xdr:to>
      <xdr:col>54</xdr:col>
      <xdr:colOff>244352</xdr:colOff>
      <xdr:row>54</xdr:row>
      <xdr:rowOff>182562</xdr:rowOff>
    </xdr:to>
    <xdr:sp macro="" textlink="">
      <xdr:nvSpPr>
        <xdr:cNvPr id="5230" name="Flowchart: Document 25">
          <a:extLst>
            <a:ext uri="{FF2B5EF4-FFF2-40B4-BE49-F238E27FC236}">
              <a16:creationId xmlns:a16="http://schemas.microsoft.com/office/drawing/2014/main" id="{A6B4AC51-CF17-714A-A26A-DA1553247C35}"/>
            </a:ext>
          </a:extLst>
        </xdr:cNvPr>
        <xdr:cNvSpPr/>
      </xdr:nvSpPr>
      <xdr:spPr>
        <a:xfrm>
          <a:off x="11930062" y="10033000"/>
          <a:ext cx="1188915" cy="563562"/>
        </a:xfrm>
        <a:prstGeom prst="flowChartDocumen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700">
              <a:solidFill>
                <a:sysClr val="windowText" lastClr="000000"/>
              </a:solidFill>
              <a:latin typeface="Meiryo UI" panose="020B0604030504040204" pitchFamily="50" charset="-128"/>
              <a:ea typeface="Meiryo UI" panose="020B0604030504040204" pitchFamily="50" charset="-128"/>
            </a:rPr>
            <a:t>アプリログ</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9755</xdr:colOff>
      <xdr:row>52</xdr:row>
      <xdr:rowOff>3973</xdr:rowOff>
    </xdr:from>
    <xdr:to>
      <xdr:col>45</xdr:col>
      <xdr:colOff>10418</xdr:colOff>
      <xdr:row>54</xdr:row>
      <xdr:rowOff>178589</xdr:rowOff>
    </xdr:to>
    <xdr:sp macro="" textlink="">
      <xdr:nvSpPr>
        <xdr:cNvPr id="5232" name="Rectangle 5231">
          <a:extLst>
            <a:ext uri="{FF2B5EF4-FFF2-40B4-BE49-F238E27FC236}">
              <a16:creationId xmlns:a16="http://schemas.microsoft.com/office/drawing/2014/main" id="{24EA8F2A-F78C-5742-A98D-84046A60EDCC}"/>
            </a:ext>
          </a:extLst>
        </xdr:cNvPr>
        <xdr:cNvSpPr/>
      </xdr:nvSpPr>
      <xdr:spPr>
        <a:xfrm>
          <a:off x="9534755" y="10036973"/>
          <a:ext cx="1191288" cy="555616"/>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700">
              <a:solidFill>
                <a:sysClr val="windowText" lastClr="000000"/>
              </a:solidFill>
              <a:latin typeface="Meiryo UI" panose="020B0604030504040204" pitchFamily="50" charset="-128"/>
              <a:ea typeface="Meiryo UI" panose="020B0604030504040204" pitchFamily="50" charset="-128"/>
            </a:rPr>
            <a:t>処理終了</a:t>
          </a:r>
        </a:p>
      </xdr:txBody>
    </xdr:sp>
    <xdr:clientData/>
  </xdr:twoCellAnchor>
  <xdr:twoCellAnchor>
    <xdr:from>
      <xdr:col>43</xdr:col>
      <xdr:colOff>12368</xdr:colOff>
      <xdr:row>36</xdr:row>
      <xdr:rowOff>8822</xdr:rowOff>
    </xdr:from>
    <xdr:to>
      <xdr:col>47</xdr:col>
      <xdr:colOff>235281</xdr:colOff>
      <xdr:row>38</xdr:row>
      <xdr:rowOff>183438</xdr:rowOff>
    </xdr:to>
    <xdr:sp macro="" textlink="">
      <xdr:nvSpPr>
        <xdr:cNvPr id="5238" name="Rectangle 5237">
          <a:extLst>
            <a:ext uri="{FF2B5EF4-FFF2-40B4-BE49-F238E27FC236}">
              <a16:creationId xmlns:a16="http://schemas.microsoft.com/office/drawing/2014/main" id="{A783A1BB-FE1F-2C47-BB64-76182C9B590A}"/>
            </a:ext>
          </a:extLst>
        </xdr:cNvPr>
        <xdr:cNvSpPr/>
      </xdr:nvSpPr>
      <xdr:spPr>
        <a:xfrm>
          <a:off x="10251743" y="6993822"/>
          <a:ext cx="1191288" cy="555616"/>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700">
              <a:solidFill>
                <a:sysClr val="windowText" lastClr="000000"/>
              </a:solidFill>
              <a:latin typeface="Meiryo UI" panose="020B0604030504040204" pitchFamily="50" charset="-128"/>
              <a:ea typeface="Meiryo UI" panose="020B0604030504040204" pitchFamily="50" charset="-128"/>
            </a:rPr>
            <a:t>受信マスタをバックアップ</a:t>
          </a:r>
        </a:p>
      </xdr:txBody>
    </xdr:sp>
    <xdr:clientData/>
  </xdr:twoCellAnchor>
  <xdr:twoCellAnchor>
    <xdr:from>
      <xdr:col>39</xdr:col>
      <xdr:colOff>119394</xdr:colOff>
      <xdr:row>29</xdr:row>
      <xdr:rowOff>2</xdr:rowOff>
    </xdr:from>
    <xdr:to>
      <xdr:col>42</xdr:col>
      <xdr:colOff>129150</xdr:colOff>
      <xdr:row>31</xdr:row>
      <xdr:rowOff>15876</xdr:rowOff>
    </xdr:to>
    <xdr:cxnSp macro="">
      <xdr:nvCxnSpPr>
        <xdr:cNvPr id="5239" name="Elbow Connector 5238">
          <a:extLst>
            <a:ext uri="{FF2B5EF4-FFF2-40B4-BE49-F238E27FC236}">
              <a16:creationId xmlns:a16="http://schemas.microsoft.com/office/drawing/2014/main" id="{856CE109-B327-454C-AE57-276D9A51E642}"/>
            </a:ext>
          </a:extLst>
        </xdr:cNvPr>
        <xdr:cNvCxnSpPr>
          <a:stCxn id="5169" idx="2"/>
          <a:endCxn id="5196" idx="0"/>
        </xdr:cNvCxnSpPr>
      </xdr:nvCxnSpPr>
      <xdr:spPr>
        <a:xfrm rot="5400000">
          <a:off x="9569898" y="5487873"/>
          <a:ext cx="396874" cy="724131"/>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129150</xdr:colOff>
      <xdr:row>29</xdr:row>
      <xdr:rowOff>0</xdr:rowOff>
    </xdr:from>
    <xdr:to>
      <xdr:col>45</xdr:col>
      <xdr:colOff>131762</xdr:colOff>
      <xdr:row>36</xdr:row>
      <xdr:rowOff>8821</xdr:rowOff>
    </xdr:to>
    <xdr:cxnSp macro="">
      <xdr:nvCxnSpPr>
        <xdr:cNvPr id="5256" name="Elbow Connector 5255">
          <a:extLst>
            <a:ext uri="{FF2B5EF4-FFF2-40B4-BE49-F238E27FC236}">
              <a16:creationId xmlns:a16="http://schemas.microsoft.com/office/drawing/2014/main" id="{DFA76378-02AB-F641-A47A-05B5FEE531EF}"/>
            </a:ext>
          </a:extLst>
        </xdr:cNvPr>
        <xdr:cNvCxnSpPr>
          <a:stCxn id="5169" idx="2"/>
          <a:endCxn id="5238" idx="0"/>
        </xdr:cNvCxnSpPr>
      </xdr:nvCxnSpPr>
      <xdr:spPr>
        <a:xfrm rot="16200000" flipH="1">
          <a:off x="9817733" y="5964167"/>
          <a:ext cx="1342321" cy="716987"/>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12700</xdr:colOff>
      <xdr:row>46</xdr:row>
      <xdr:rowOff>7938</xdr:rowOff>
    </xdr:from>
    <xdr:to>
      <xdr:col>47</xdr:col>
      <xdr:colOff>234950</xdr:colOff>
      <xdr:row>49</xdr:row>
      <xdr:rowOff>0</xdr:rowOff>
    </xdr:to>
    <xdr:sp macro="" textlink="">
      <xdr:nvSpPr>
        <xdr:cNvPr id="5280" name="Decision 5279">
          <a:extLst>
            <a:ext uri="{FF2B5EF4-FFF2-40B4-BE49-F238E27FC236}">
              <a16:creationId xmlns:a16="http://schemas.microsoft.com/office/drawing/2014/main" id="{B8FF72CB-5FA2-C646-A376-9ECE8F38D191}"/>
            </a:ext>
          </a:extLst>
        </xdr:cNvPr>
        <xdr:cNvSpPr/>
      </xdr:nvSpPr>
      <xdr:spPr>
        <a:xfrm>
          <a:off x="10252075" y="8897938"/>
          <a:ext cx="1190625" cy="563562"/>
        </a:xfrm>
        <a:prstGeom prst="flowChartDecision">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エラー</a:t>
          </a:r>
        </a:p>
      </xdr:txBody>
    </xdr:sp>
    <xdr:clientData/>
  </xdr:twoCellAnchor>
  <xdr:twoCellAnchor>
    <xdr:from>
      <xdr:col>45</xdr:col>
      <xdr:colOff>131762</xdr:colOff>
      <xdr:row>38</xdr:row>
      <xdr:rowOff>183438</xdr:rowOff>
    </xdr:from>
    <xdr:to>
      <xdr:col>45</xdr:col>
      <xdr:colOff>131763</xdr:colOff>
      <xdr:row>46</xdr:row>
      <xdr:rowOff>7938</xdr:rowOff>
    </xdr:to>
    <xdr:cxnSp macro="">
      <xdr:nvCxnSpPr>
        <xdr:cNvPr id="5281" name="Straight Arrow Connector 5280">
          <a:extLst>
            <a:ext uri="{FF2B5EF4-FFF2-40B4-BE49-F238E27FC236}">
              <a16:creationId xmlns:a16="http://schemas.microsoft.com/office/drawing/2014/main" id="{566A6C9C-6AA0-3545-AAD4-1D43E3629671}"/>
            </a:ext>
          </a:extLst>
        </xdr:cNvPr>
        <xdr:cNvCxnSpPr>
          <a:cxnSpLocks/>
          <a:stCxn id="5238" idx="2"/>
          <a:endCxn id="5280" idx="0"/>
        </xdr:cNvCxnSpPr>
      </xdr:nvCxnSpPr>
      <xdr:spPr>
        <a:xfrm>
          <a:off x="10847387" y="7549438"/>
          <a:ext cx="1" cy="1348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119395</xdr:colOff>
      <xdr:row>43</xdr:row>
      <xdr:rowOff>178593</xdr:rowOff>
    </xdr:from>
    <xdr:to>
      <xdr:col>42</xdr:col>
      <xdr:colOff>129149</xdr:colOff>
      <xdr:row>52</xdr:row>
      <xdr:rowOff>3972</xdr:rowOff>
    </xdr:to>
    <xdr:cxnSp macro="">
      <xdr:nvCxnSpPr>
        <xdr:cNvPr id="5285" name="Elbow Connector 5284">
          <a:extLst>
            <a:ext uri="{FF2B5EF4-FFF2-40B4-BE49-F238E27FC236}">
              <a16:creationId xmlns:a16="http://schemas.microsoft.com/office/drawing/2014/main" id="{47A6A0C2-F994-B74C-87B3-F8F591A3AE63}"/>
            </a:ext>
          </a:extLst>
        </xdr:cNvPr>
        <xdr:cNvCxnSpPr>
          <a:stCxn id="5214" idx="2"/>
          <a:endCxn id="5232" idx="0"/>
        </xdr:cNvCxnSpPr>
      </xdr:nvCxnSpPr>
      <xdr:spPr>
        <a:xfrm rot="16200000" flipH="1">
          <a:off x="8998395" y="8904968"/>
          <a:ext cx="1539879" cy="724129"/>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129150</xdr:colOff>
      <xdr:row>49</xdr:row>
      <xdr:rowOff>0</xdr:rowOff>
    </xdr:from>
    <xdr:to>
      <xdr:col>45</xdr:col>
      <xdr:colOff>131764</xdr:colOff>
      <xdr:row>52</xdr:row>
      <xdr:rowOff>3973</xdr:rowOff>
    </xdr:to>
    <xdr:cxnSp macro="">
      <xdr:nvCxnSpPr>
        <xdr:cNvPr id="5289" name="Elbow Connector 5288">
          <a:extLst>
            <a:ext uri="{FF2B5EF4-FFF2-40B4-BE49-F238E27FC236}">
              <a16:creationId xmlns:a16="http://schemas.microsoft.com/office/drawing/2014/main" id="{C6605537-D2CB-4B49-8EC1-7EEF3486B5D9}"/>
            </a:ext>
          </a:extLst>
        </xdr:cNvPr>
        <xdr:cNvCxnSpPr>
          <a:stCxn id="5280" idx="2"/>
          <a:endCxn id="5232" idx="0"/>
        </xdr:cNvCxnSpPr>
      </xdr:nvCxnSpPr>
      <xdr:spPr>
        <a:xfrm rot="5400000">
          <a:off x="10201158" y="9390742"/>
          <a:ext cx="575473" cy="716989"/>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15875</xdr:colOff>
      <xdr:row>46</xdr:row>
      <xdr:rowOff>7938</xdr:rowOff>
    </xdr:from>
    <xdr:to>
      <xdr:col>54</xdr:col>
      <xdr:colOff>252290</xdr:colOff>
      <xdr:row>49</xdr:row>
      <xdr:rowOff>0</xdr:rowOff>
    </xdr:to>
    <xdr:sp macro="" textlink="">
      <xdr:nvSpPr>
        <xdr:cNvPr id="5293" name="Flowchart: Document 25">
          <a:extLst>
            <a:ext uri="{FF2B5EF4-FFF2-40B4-BE49-F238E27FC236}">
              <a16:creationId xmlns:a16="http://schemas.microsoft.com/office/drawing/2014/main" id="{513FF3C7-A34F-F54D-982E-90DA63551812}"/>
            </a:ext>
          </a:extLst>
        </xdr:cNvPr>
        <xdr:cNvSpPr/>
      </xdr:nvSpPr>
      <xdr:spPr>
        <a:xfrm>
          <a:off x="11938000" y="8897938"/>
          <a:ext cx="1188915" cy="563562"/>
        </a:xfrm>
        <a:prstGeom prst="flowChartDocumen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700">
              <a:solidFill>
                <a:sysClr val="windowText" lastClr="000000"/>
              </a:solidFill>
              <a:latin typeface="Meiryo UI" panose="020B0604030504040204" pitchFamily="50" charset="-128"/>
              <a:ea typeface="Meiryo UI" panose="020B0604030504040204" pitchFamily="50" charset="-128"/>
            </a:rPr>
            <a:t>エラーログ</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56</xdr:col>
      <xdr:colOff>15877</xdr:colOff>
      <xdr:row>46</xdr:row>
      <xdr:rowOff>19844</xdr:rowOff>
    </xdr:from>
    <xdr:to>
      <xdr:col>60</xdr:col>
      <xdr:colOff>222250</xdr:colOff>
      <xdr:row>48</xdr:row>
      <xdr:rowOff>178594</xdr:rowOff>
    </xdr:to>
    <xdr:sp macro="" textlink="">
      <xdr:nvSpPr>
        <xdr:cNvPr id="5295" name="Data 5294">
          <a:extLst>
            <a:ext uri="{FF2B5EF4-FFF2-40B4-BE49-F238E27FC236}">
              <a16:creationId xmlns:a16="http://schemas.microsoft.com/office/drawing/2014/main" id="{E26B8F02-F827-3940-8FE5-2E075C43DCC5}"/>
            </a:ext>
          </a:extLst>
        </xdr:cNvPr>
        <xdr:cNvSpPr/>
      </xdr:nvSpPr>
      <xdr:spPr>
        <a:xfrm>
          <a:off x="13382627" y="8909844"/>
          <a:ext cx="1135061" cy="539750"/>
        </a:xfrm>
        <a:prstGeom prst="flowChartInputOutpu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700">
              <a:solidFill>
                <a:sysClr val="windowText" lastClr="000000"/>
              </a:solidFill>
              <a:latin typeface="Meiryo UI" panose="020B0604030504040204" pitchFamily="34" charset="-128"/>
              <a:ea typeface="Meiryo UI" panose="020B0604030504040204" pitchFamily="34" charset="-128"/>
            </a:rPr>
            <a:t>メール送信</a:t>
          </a:r>
        </a:p>
      </xdr:txBody>
    </xdr:sp>
    <xdr:clientData/>
  </xdr:twoCellAnchor>
  <xdr:twoCellAnchor>
    <xdr:from>
      <xdr:col>47</xdr:col>
      <xdr:colOff>234950</xdr:colOff>
      <xdr:row>47</xdr:row>
      <xdr:rowOff>99219</xdr:rowOff>
    </xdr:from>
    <xdr:to>
      <xdr:col>50</xdr:col>
      <xdr:colOff>15875</xdr:colOff>
      <xdr:row>47</xdr:row>
      <xdr:rowOff>99219</xdr:rowOff>
    </xdr:to>
    <xdr:cxnSp macro="">
      <xdr:nvCxnSpPr>
        <xdr:cNvPr id="5296" name="Straight Arrow Connector 5295">
          <a:extLst>
            <a:ext uri="{FF2B5EF4-FFF2-40B4-BE49-F238E27FC236}">
              <a16:creationId xmlns:a16="http://schemas.microsoft.com/office/drawing/2014/main" id="{0518A9E2-BF16-EE4C-9EDE-65A1273F788B}"/>
            </a:ext>
          </a:extLst>
        </xdr:cNvPr>
        <xdr:cNvCxnSpPr>
          <a:cxnSpLocks/>
          <a:stCxn id="5280" idx="3"/>
          <a:endCxn id="5293" idx="1"/>
        </xdr:cNvCxnSpPr>
      </xdr:nvCxnSpPr>
      <xdr:spPr>
        <a:xfrm>
          <a:off x="11442700" y="9179719"/>
          <a:ext cx="4953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10418</xdr:colOff>
      <xdr:row>53</xdr:row>
      <xdr:rowOff>91281</xdr:rowOff>
    </xdr:from>
    <xdr:to>
      <xdr:col>50</xdr:col>
      <xdr:colOff>7937</xdr:colOff>
      <xdr:row>53</xdr:row>
      <xdr:rowOff>91281</xdr:rowOff>
    </xdr:to>
    <xdr:cxnSp macro="">
      <xdr:nvCxnSpPr>
        <xdr:cNvPr id="5299" name="Straight Arrow Connector 5298">
          <a:extLst>
            <a:ext uri="{FF2B5EF4-FFF2-40B4-BE49-F238E27FC236}">
              <a16:creationId xmlns:a16="http://schemas.microsoft.com/office/drawing/2014/main" id="{EE8CF771-78E9-CE4C-B61E-5EB7660BA4DA}"/>
            </a:ext>
          </a:extLst>
        </xdr:cNvPr>
        <xdr:cNvCxnSpPr>
          <a:cxnSpLocks/>
          <a:stCxn id="5232" idx="3"/>
          <a:endCxn id="5230" idx="1"/>
        </xdr:cNvCxnSpPr>
      </xdr:nvCxnSpPr>
      <xdr:spPr>
        <a:xfrm>
          <a:off x="10726043" y="10314781"/>
          <a:ext cx="1204019"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25962</xdr:colOff>
      <xdr:row>57</xdr:row>
      <xdr:rowOff>15875</xdr:rowOff>
    </xdr:from>
    <xdr:to>
      <xdr:col>44</xdr:col>
      <xdr:colOff>232337</xdr:colOff>
      <xdr:row>58</xdr:row>
      <xdr:rowOff>182563</xdr:rowOff>
    </xdr:to>
    <xdr:sp macro="" textlink="">
      <xdr:nvSpPr>
        <xdr:cNvPr id="5304" name="Flowchart: Terminator 109">
          <a:extLst>
            <a:ext uri="{FF2B5EF4-FFF2-40B4-BE49-F238E27FC236}">
              <a16:creationId xmlns:a16="http://schemas.microsoft.com/office/drawing/2014/main" id="{77A740B8-9C16-C14A-89CE-C3873BDFC906}"/>
            </a:ext>
          </a:extLst>
        </xdr:cNvPr>
        <xdr:cNvSpPr/>
      </xdr:nvSpPr>
      <xdr:spPr>
        <a:xfrm>
          <a:off x="9550962" y="11001375"/>
          <a:ext cx="1158875" cy="357188"/>
        </a:xfrm>
        <a:prstGeom prst="flowChartTerminator">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700">
              <a:solidFill>
                <a:sysClr val="windowText" lastClr="000000"/>
              </a:solidFill>
              <a:latin typeface="Meiryo UI" panose="020B0604030504040204" pitchFamily="50" charset="-128"/>
              <a:ea typeface="Meiryo UI" panose="020B0604030504040204" pitchFamily="50" charset="-128"/>
            </a:rPr>
            <a:t>終了</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7937</xdr:colOff>
      <xdr:row>36</xdr:row>
      <xdr:rowOff>16669</xdr:rowOff>
    </xdr:from>
    <xdr:to>
      <xdr:col>33</xdr:col>
      <xdr:colOff>7938</xdr:colOff>
      <xdr:row>38</xdr:row>
      <xdr:rowOff>175591</xdr:rowOff>
    </xdr:to>
    <xdr:sp macro="" textlink="">
      <xdr:nvSpPr>
        <xdr:cNvPr id="5307" name="Flowchart: Card 34">
          <a:extLst>
            <a:ext uri="{FF2B5EF4-FFF2-40B4-BE49-F238E27FC236}">
              <a16:creationId xmlns:a16="http://schemas.microsoft.com/office/drawing/2014/main" id="{1FBA5BD8-611D-0B43-988B-45ACFBFFC81D}"/>
            </a:ext>
          </a:extLst>
        </xdr:cNvPr>
        <xdr:cNvSpPr/>
      </xdr:nvSpPr>
      <xdr:spPr>
        <a:xfrm>
          <a:off x="6675437" y="7001669"/>
          <a:ext cx="1190626" cy="539922"/>
        </a:xfrm>
        <a:prstGeom prst="flowChartPunchedCard">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700">
              <a:solidFill>
                <a:sysClr val="windowText" lastClr="000000"/>
              </a:solidFill>
              <a:latin typeface="Meiryo UI" panose="020B0604030504040204" pitchFamily="50" charset="-128"/>
              <a:ea typeface="Meiryo UI" panose="020B0604030504040204" pitchFamily="50" charset="-128"/>
            </a:rPr>
            <a:t>マスタファイル</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33</xdr:col>
      <xdr:colOff>7938</xdr:colOff>
      <xdr:row>37</xdr:row>
      <xdr:rowOff>96130</xdr:rowOff>
    </xdr:from>
    <xdr:to>
      <xdr:col>43</xdr:col>
      <xdr:colOff>12368</xdr:colOff>
      <xdr:row>37</xdr:row>
      <xdr:rowOff>96130</xdr:rowOff>
    </xdr:to>
    <xdr:cxnSp macro="">
      <xdr:nvCxnSpPr>
        <xdr:cNvPr id="5308" name="Straight Arrow Connector 5307">
          <a:extLst>
            <a:ext uri="{FF2B5EF4-FFF2-40B4-BE49-F238E27FC236}">
              <a16:creationId xmlns:a16="http://schemas.microsoft.com/office/drawing/2014/main" id="{65F930E6-AF0A-4746-83DA-B551E717FBED}"/>
            </a:ext>
          </a:extLst>
        </xdr:cNvPr>
        <xdr:cNvCxnSpPr>
          <a:cxnSpLocks/>
          <a:stCxn id="5238" idx="1"/>
          <a:endCxn id="5307" idx="3"/>
        </xdr:cNvCxnSpPr>
      </xdr:nvCxnSpPr>
      <xdr:spPr>
        <a:xfrm flipH="1">
          <a:off x="7866063" y="7271630"/>
          <a:ext cx="238568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252290</xdr:colOff>
      <xdr:row>42</xdr:row>
      <xdr:rowOff>99219</xdr:rowOff>
    </xdr:from>
    <xdr:to>
      <xdr:col>56</xdr:col>
      <xdr:colOff>129383</xdr:colOff>
      <xdr:row>42</xdr:row>
      <xdr:rowOff>99219</xdr:rowOff>
    </xdr:to>
    <xdr:cxnSp macro="">
      <xdr:nvCxnSpPr>
        <xdr:cNvPr id="5313" name="Straight Arrow Connector 5312">
          <a:extLst>
            <a:ext uri="{FF2B5EF4-FFF2-40B4-BE49-F238E27FC236}">
              <a16:creationId xmlns:a16="http://schemas.microsoft.com/office/drawing/2014/main" id="{59FDCCB3-E643-2F48-AC22-3C681ED1E803}"/>
            </a:ext>
          </a:extLst>
        </xdr:cNvPr>
        <xdr:cNvCxnSpPr>
          <a:cxnSpLocks/>
          <a:stCxn id="5215" idx="3"/>
          <a:endCxn id="5216" idx="2"/>
        </xdr:cNvCxnSpPr>
      </xdr:nvCxnSpPr>
      <xdr:spPr>
        <a:xfrm>
          <a:off x="13126915" y="8227219"/>
          <a:ext cx="369218"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252290</xdr:colOff>
      <xdr:row>47</xdr:row>
      <xdr:rowOff>99219</xdr:rowOff>
    </xdr:from>
    <xdr:to>
      <xdr:col>56</xdr:col>
      <xdr:colOff>129383</xdr:colOff>
      <xdr:row>47</xdr:row>
      <xdr:rowOff>99219</xdr:rowOff>
    </xdr:to>
    <xdr:cxnSp macro="">
      <xdr:nvCxnSpPr>
        <xdr:cNvPr id="5316" name="Straight Arrow Connector 5315">
          <a:extLst>
            <a:ext uri="{FF2B5EF4-FFF2-40B4-BE49-F238E27FC236}">
              <a16:creationId xmlns:a16="http://schemas.microsoft.com/office/drawing/2014/main" id="{297E47EB-27F7-C649-90CD-E84C279A3932}"/>
            </a:ext>
          </a:extLst>
        </xdr:cNvPr>
        <xdr:cNvCxnSpPr>
          <a:cxnSpLocks/>
          <a:stCxn id="5293" idx="3"/>
          <a:endCxn id="5295" idx="2"/>
        </xdr:cNvCxnSpPr>
      </xdr:nvCxnSpPr>
      <xdr:spPr>
        <a:xfrm>
          <a:off x="13126915" y="9179719"/>
          <a:ext cx="369218"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129149</xdr:colOff>
      <xdr:row>54</xdr:row>
      <xdr:rowOff>178589</xdr:rowOff>
    </xdr:from>
    <xdr:to>
      <xdr:col>42</xdr:col>
      <xdr:colOff>129150</xdr:colOff>
      <xdr:row>57</xdr:row>
      <xdr:rowOff>15875</xdr:rowOff>
    </xdr:to>
    <xdr:cxnSp macro="">
      <xdr:nvCxnSpPr>
        <xdr:cNvPr id="5319" name="Straight Arrow Connector 5318">
          <a:extLst>
            <a:ext uri="{FF2B5EF4-FFF2-40B4-BE49-F238E27FC236}">
              <a16:creationId xmlns:a16="http://schemas.microsoft.com/office/drawing/2014/main" id="{AEB4D64C-3B8E-2D4A-9DBB-1285163DC8F0}"/>
            </a:ext>
          </a:extLst>
        </xdr:cNvPr>
        <xdr:cNvCxnSpPr>
          <a:cxnSpLocks/>
          <a:stCxn id="5232" idx="2"/>
          <a:endCxn id="5304" idx="0"/>
        </xdr:cNvCxnSpPr>
      </xdr:nvCxnSpPr>
      <xdr:spPr>
        <a:xfrm>
          <a:off x="10130399" y="10592589"/>
          <a:ext cx="1" cy="40878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15875</xdr:colOff>
      <xdr:row>66</xdr:row>
      <xdr:rowOff>7938</xdr:rowOff>
    </xdr:from>
    <xdr:to>
      <xdr:col>30</xdr:col>
      <xdr:colOff>16537</xdr:colOff>
      <xdr:row>68</xdr:row>
      <xdr:rowOff>182554</xdr:rowOff>
    </xdr:to>
    <xdr:sp macro="" textlink="">
      <xdr:nvSpPr>
        <xdr:cNvPr id="5338" name="Rectangle 5337">
          <a:extLst>
            <a:ext uri="{FF2B5EF4-FFF2-40B4-BE49-F238E27FC236}">
              <a16:creationId xmlns:a16="http://schemas.microsoft.com/office/drawing/2014/main" id="{26B6C3BB-BAF3-E94E-BCC9-AE7E6E3CD730}"/>
            </a:ext>
          </a:extLst>
        </xdr:cNvPr>
        <xdr:cNvSpPr/>
      </xdr:nvSpPr>
      <xdr:spPr>
        <a:xfrm>
          <a:off x="5969000" y="12707938"/>
          <a:ext cx="1191287" cy="555616"/>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700">
              <a:solidFill>
                <a:sysClr val="windowText" lastClr="000000"/>
              </a:solidFill>
              <a:latin typeface="Meiryo UI" panose="020B0604030504040204" pitchFamily="50" charset="-128"/>
              <a:ea typeface="Meiryo UI" panose="020B0604030504040204" pitchFamily="50" charset="-128"/>
            </a:rPr>
            <a:t>END</a:t>
          </a:r>
          <a:r>
            <a:rPr lang="ja-JP" altLang="en-US" sz="700">
              <a:solidFill>
                <a:sysClr val="windowText" lastClr="000000"/>
              </a:solidFill>
              <a:latin typeface="Meiryo UI" panose="020B0604030504040204" pitchFamily="50" charset="-128"/>
              <a:ea typeface="Meiryo UI" panose="020B0604030504040204" pitchFamily="50" charset="-128"/>
            </a:rPr>
            <a:t>ファイルトリガー</a:t>
          </a:r>
          <a:endParaRPr lang="en-US" altLang="ja-JP"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30</xdr:col>
      <xdr:colOff>232006</xdr:colOff>
      <xdr:row>71</xdr:row>
      <xdr:rowOff>11910</xdr:rowOff>
    </xdr:from>
    <xdr:to>
      <xdr:col>35</xdr:col>
      <xdr:colOff>232669</xdr:colOff>
      <xdr:row>73</xdr:row>
      <xdr:rowOff>186526</xdr:rowOff>
    </xdr:to>
    <xdr:sp macro="" textlink="">
      <xdr:nvSpPr>
        <xdr:cNvPr id="5340" name="Rectangle 5339">
          <a:extLst>
            <a:ext uri="{FF2B5EF4-FFF2-40B4-BE49-F238E27FC236}">
              <a16:creationId xmlns:a16="http://schemas.microsoft.com/office/drawing/2014/main" id="{050A0E66-3701-F340-A380-C9FD1454661D}"/>
            </a:ext>
          </a:extLst>
        </xdr:cNvPr>
        <xdr:cNvSpPr/>
      </xdr:nvSpPr>
      <xdr:spPr>
        <a:xfrm>
          <a:off x="7375756" y="13664410"/>
          <a:ext cx="1191288" cy="555616"/>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700">
              <a:solidFill>
                <a:sysClr val="windowText" lastClr="000000"/>
              </a:solidFill>
              <a:latin typeface="Meiryo UI" panose="020B0604030504040204" pitchFamily="50" charset="-128"/>
              <a:ea typeface="Meiryo UI" panose="020B0604030504040204" pitchFamily="50" charset="-128"/>
            </a:rPr>
            <a:t>処理開始</a:t>
          </a:r>
        </a:p>
      </xdr:txBody>
    </xdr:sp>
    <xdr:clientData/>
  </xdr:twoCellAnchor>
  <xdr:twoCellAnchor>
    <xdr:from>
      <xdr:col>50</xdr:col>
      <xdr:colOff>17462</xdr:colOff>
      <xdr:row>81</xdr:row>
      <xdr:rowOff>16668</xdr:rowOff>
    </xdr:from>
    <xdr:to>
      <xdr:col>54</xdr:col>
      <xdr:colOff>253877</xdr:colOff>
      <xdr:row>84</xdr:row>
      <xdr:rowOff>8730</xdr:rowOff>
    </xdr:to>
    <xdr:sp macro="" textlink="">
      <xdr:nvSpPr>
        <xdr:cNvPr id="5346" name="Flowchart: Document 25">
          <a:extLst>
            <a:ext uri="{FF2B5EF4-FFF2-40B4-BE49-F238E27FC236}">
              <a16:creationId xmlns:a16="http://schemas.microsoft.com/office/drawing/2014/main" id="{FD60C0CF-B74A-F042-9935-78EBA297F9D2}"/>
            </a:ext>
          </a:extLst>
        </xdr:cNvPr>
        <xdr:cNvSpPr/>
      </xdr:nvSpPr>
      <xdr:spPr>
        <a:xfrm>
          <a:off x="11939587" y="15574168"/>
          <a:ext cx="1188915" cy="563562"/>
        </a:xfrm>
        <a:prstGeom prst="flowChartDocumen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700">
              <a:solidFill>
                <a:sysClr val="windowText" lastClr="000000"/>
              </a:solidFill>
              <a:latin typeface="Meiryo UI" panose="020B0604030504040204" pitchFamily="50" charset="-128"/>
              <a:ea typeface="Meiryo UI" panose="020B0604030504040204" pitchFamily="50" charset="-128"/>
            </a:rPr>
            <a:t>エラーログ</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56</xdr:col>
      <xdr:colOff>31752</xdr:colOff>
      <xdr:row>81</xdr:row>
      <xdr:rowOff>28574</xdr:rowOff>
    </xdr:from>
    <xdr:to>
      <xdr:col>61</xdr:col>
      <xdr:colOff>0</xdr:colOff>
      <xdr:row>83</xdr:row>
      <xdr:rowOff>187324</xdr:rowOff>
    </xdr:to>
    <xdr:sp macro="" textlink="">
      <xdr:nvSpPr>
        <xdr:cNvPr id="5347" name="Data 5346">
          <a:extLst>
            <a:ext uri="{FF2B5EF4-FFF2-40B4-BE49-F238E27FC236}">
              <a16:creationId xmlns:a16="http://schemas.microsoft.com/office/drawing/2014/main" id="{6DCEAA56-851F-A641-AEE7-D5431C66D658}"/>
            </a:ext>
          </a:extLst>
        </xdr:cNvPr>
        <xdr:cNvSpPr/>
      </xdr:nvSpPr>
      <xdr:spPr>
        <a:xfrm>
          <a:off x="13398502" y="15586074"/>
          <a:ext cx="1135061" cy="539750"/>
        </a:xfrm>
        <a:prstGeom prst="flowChartInputOutpu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700">
              <a:solidFill>
                <a:sysClr val="windowText" lastClr="000000"/>
              </a:solidFill>
              <a:latin typeface="Meiryo UI" panose="020B0604030504040204" pitchFamily="34" charset="-128"/>
              <a:ea typeface="Meiryo UI" panose="020B0604030504040204" pitchFamily="34" charset="-128"/>
            </a:rPr>
            <a:t>メール送信</a:t>
          </a:r>
        </a:p>
      </xdr:txBody>
    </xdr:sp>
    <xdr:clientData/>
  </xdr:twoCellAnchor>
  <xdr:twoCellAnchor>
    <xdr:from>
      <xdr:col>50</xdr:col>
      <xdr:colOff>15875</xdr:colOff>
      <xdr:row>71</xdr:row>
      <xdr:rowOff>7937</xdr:rowOff>
    </xdr:from>
    <xdr:to>
      <xdr:col>54</xdr:col>
      <xdr:colOff>252290</xdr:colOff>
      <xdr:row>73</xdr:row>
      <xdr:rowOff>190499</xdr:rowOff>
    </xdr:to>
    <xdr:sp macro="" textlink="">
      <xdr:nvSpPr>
        <xdr:cNvPr id="5348" name="Flowchart: Document 25">
          <a:extLst>
            <a:ext uri="{FF2B5EF4-FFF2-40B4-BE49-F238E27FC236}">
              <a16:creationId xmlns:a16="http://schemas.microsoft.com/office/drawing/2014/main" id="{B22E6605-8D6D-5C4A-833B-1626B9F9C2E1}"/>
            </a:ext>
          </a:extLst>
        </xdr:cNvPr>
        <xdr:cNvSpPr/>
      </xdr:nvSpPr>
      <xdr:spPr>
        <a:xfrm>
          <a:off x="11938000" y="13660437"/>
          <a:ext cx="1188915" cy="563562"/>
        </a:xfrm>
        <a:prstGeom prst="flowChartDocumen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700">
              <a:solidFill>
                <a:sysClr val="windowText" lastClr="000000"/>
              </a:solidFill>
              <a:latin typeface="Meiryo UI" panose="020B0604030504040204" pitchFamily="50" charset="-128"/>
              <a:ea typeface="Meiryo UI" panose="020B0604030504040204" pitchFamily="50" charset="-128"/>
            </a:rPr>
            <a:t>アプリログ</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33</xdr:col>
      <xdr:colOff>113275</xdr:colOff>
      <xdr:row>73</xdr:row>
      <xdr:rowOff>186526</xdr:rowOff>
    </xdr:from>
    <xdr:to>
      <xdr:col>33</xdr:col>
      <xdr:colOff>113276</xdr:colOff>
      <xdr:row>76</xdr:row>
      <xdr:rowOff>11582</xdr:rowOff>
    </xdr:to>
    <xdr:cxnSp macro="">
      <xdr:nvCxnSpPr>
        <xdr:cNvPr id="5350" name="Straight Arrow Connector 5349">
          <a:extLst>
            <a:ext uri="{FF2B5EF4-FFF2-40B4-BE49-F238E27FC236}">
              <a16:creationId xmlns:a16="http://schemas.microsoft.com/office/drawing/2014/main" id="{07BA88C3-2666-3D4A-9D96-DC4698531D1E}"/>
            </a:ext>
          </a:extLst>
        </xdr:cNvPr>
        <xdr:cNvCxnSpPr>
          <a:cxnSpLocks/>
          <a:stCxn id="5340" idx="2"/>
          <a:endCxn id="60" idx="0"/>
        </xdr:cNvCxnSpPr>
      </xdr:nvCxnSpPr>
      <xdr:spPr>
        <a:xfrm>
          <a:off x="7971400" y="14220026"/>
          <a:ext cx="1" cy="39655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232669</xdr:colOff>
      <xdr:row>72</xdr:row>
      <xdr:rowOff>99218</xdr:rowOff>
    </xdr:from>
    <xdr:to>
      <xdr:col>50</xdr:col>
      <xdr:colOff>15875</xdr:colOff>
      <xdr:row>72</xdr:row>
      <xdr:rowOff>99218</xdr:rowOff>
    </xdr:to>
    <xdr:cxnSp macro="">
      <xdr:nvCxnSpPr>
        <xdr:cNvPr id="5353" name="Straight Arrow Connector 5352">
          <a:extLst>
            <a:ext uri="{FF2B5EF4-FFF2-40B4-BE49-F238E27FC236}">
              <a16:creationId xmlns:a16="http://schemas.microsoft.com/office/drawing/2014/main" id="{856AEFD1-B2CF-8048-B573-95B07E92C6AD}"/>
            </a:ext>
          </a:extLst>
        </xdr:cNvPr>
        <xdr:cNvCxnSpPr>
          <a:cxnSpLocks/>
          <a:stCxn id="5340" idx="3"/>
          <a:endCxn id="5348" idx="1"/>
        </xdr:cNvCxnSpPr>
      </xdr:nvCxnSpPr>
      <xdr:spPr>
        <a:xfrm>
          <a:off x="8567044" y="13942218"/>
          <a:ext cx="337095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135269</xdr:colOff>
      <xdr:row>68</xdr:row>
      <xdr:rowOff>182554</xdr:rowOff>
    </xdr:from>
    <xdr:to>
      <xdr:col>33</xdr:col>
      <xdr:colOff>113275</xdr:colOff>
      <xdr:row>71</xdr:row>
      <xdr:rowOff>11910</xdr:rowOff>
    </xdr:to>
    <xdr:cxnSp macro="">
      <xdr:nvCxnSpPr>
        <xdr:cNvPr id="5356" name="Elbow Connector 5355">
          <a:extLst>
            <a:ext uri="{FF2B5EF4-FFF2-40B4-BE49-F238E27FC236}">
              <a16:creationId xmlns:a16="http://schemas.microsoft.com/office/drawing/2014/main" id="{25688226-2CCE-A441-81A1-99542259D7C2}"/>
            </a:ext>
          </a:extLst>
        </xdr:cNvPr>
        <xdr:cNvCxnSpPr>
          <a:stCxn id="5338" idx="2"/>
          <a:endCxn id="5340" idx="0"/>
        </xdr:cNvCxnSpPr>
      </xdr:nvCxnSpPr>
      <xdr:spPr>
        <a:xfrm rot="16200000" flipH="1">
          <a:off x="7067594" y="12760604"/>
          <a:ext cx="400856" cy="1406756"/>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232669</xdr:colOff>
      <xdr:row>77</xdr:row>
      <xdr:rowOff>96718</xdr:rowOff>
    </xdr:from>
    <xdr:to>
      <xdr:col>38</xdr:col>
      <xdr:colOff>15060</xdr:colOff>
      <xdr:row>77</xdr:row>
      <xdr:rowOff>96718</xdr:rowOff>
    </xdr:to>
    <xdr:cxnSp macro="">
      <xdr:nvCxnSpPr>
        <xdr:cNvPr id="5359" name="Straight Arrow Connector 5358">
          <a:extLst>
            <a:ext uri="{FF2B5EF4-FFF2-40B4-BE49-F238E27FC236}">
              <a16:creationId xmlns:a16="http://schemas.microsoft.com/office/drawing/2014/main" id="{1C769E3E-6335-964B-8665-78A97D9E3B64}"/>
            </a:ext>
          </a:extLst>
        </xdr:cNvPr>
        <xdr:cNvCxnSpPr>
          <a:cxnSpLocks/>
          <a:stCxn id="60" idx="3"/>
          <a:endCxn id="59" idx="2"/>
        </xdr:cNvCxnSpPr>
      </xdr:nvCxnSpPr>
      <xdr:spPr>
        <a:xfrm>
          <a:off x="8567044" y="14892218"/>
          <a:ext cx="49676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224400</xdr:colOff>
      <xdr:row>81</xdr:row>
      <xdr:rowOff>20636</xdr:rowOff>
    </xdr:from>
    <xdr:to>
      <xdr:col>36</xdr:col>
      <xdr:colOff>2150</xdr:colOff>
      <xdr:row>84</xdr:row>
      <xdr:rowOff>4762</xdr:rowOff>
    </xdr:to>
    <xdr:sp macro="" textlink="">
      <xdr:nvSpPr>
        <xdr:cNvPr id="5362" name="Decision 5361">
          <a:extLst>
            <a:ext uri="{FF2B5EF4-FFF2-40B4-BE49-F238E27FC236}">
              <a16:creationId xmlns:a16="http://schemas.microsoft.com/office/drawing/2014/main" id="{8F2F10D3-FCAA-5842-B5D8-46AF23DFA9C3}"/>
            </a:ext>
          </a:extLst>
        </xdr:cNvPr>
        <xdr:cNvSpPr/>
      </xdr:nvSpPr>
      <xdr:spPr>
        <a:xfrm>
          <a:off x="7368150" y="15578136"/>
          <a:ext cx="1206500" cy="555626"/>
        </a:xfrm>
        <a:prstGeom prst="flowChartDecision">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エラー</a:t>
          </a:r>
        </a:p>
      </xdr:txBody>
    </xdr:sp>
    <xdr:clientData/>
  </xdr:twoCellAnchor>
  <xdr:twoCellAnchor>
    <xdr:from>
      <xdr:col>33</xdr:col>
      <xdr:colOff>113275</xdr:colOff>
      <xdr:row>78</xdr:row>
      <xdr:rowOff>181854</xdr:rowOff>
    </xdr:from>
    <xdr:to>
      <xdr:col>33</xdr:col>
      <xdr:colOff>113276</xdr:colOff>
      <xdr:row>81</xdr:row>
      <xdr:rowOff>20636</xdr:rowOff>
    </xdr:to>
    <xdr:cxnSp macro="">
      <xdr:nvCxnSpPr>
        <xdr:cNvPr id="5363" name="Straight Arrow Connector 5362">
          <a:extLst>
            <a:ext uri="{FF2B5EF4-FFF2-40B4-BE49-F238E27FC236}">
              <a16:creationId xmlns:a16="http://schemas.microsoft.com/office/drawing/2014/main" id="{1F4ABCD8-1AEC-A147-B989-2FDE6B577A59}"/>
            </a:ext>
          </a:extLst>
        </xdr:cNvPr>
        <xdr:cNvCxnSpPr>
          <a:cxnSpLocks/>
          <a:stCxn id="60" idx="2"/>
          <a:endCxn id="5362" idx="0"/>
        </xdr:cNvCxnSpPr>
      </xdr:nvCxnSpPr>
      <xdr:spPr>
        <a:xfrm flipH="1">
          <a:off x="7971400" y="15167854"/>
          <a:ext cx="1" cy="41028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232006</xdr:colOff>
      <xdr:row>86</xdr:row>
      <xdr:rowOff>15875</xdr:rowOff>
    </xdr:from>
    <xdr:to>
      <xdr:col>35</xdr:col>
      <xdr:colOff>232669</xdr:colOff>
      <xdr:row>88</xdr:row>
      <xdr:rowOff>190491</xdr:rowOff>
    </xdr:to>
    <xdr:sp macro="" textlink="">
      <xdr:nvSpPr>
        <xdr:cNvPr id="5366" name="Rectangle 5365">
          <a:extLst>
            <a:ext uri="{FF2B5EF4-FFF2-40B4-BE49-F238E27FC236}">
              <a16:creationId xmlns:a16="http://schemas.microsoft.com/office/drawing/2014/main" id="{DC7926D1-1E21-4949-B5DC-762A286235F8}"/>
            </a:ext>
          </a:extLst>
        </xdr:cNvPr>
        <xdr:cNvSpPr/>
      </xdr:nvSpPr>
      <xdr:spPr>
        <a:xfrm>
          <a:off x="7375756" y="16525875"/>
          <a:ext cx="1191288" cy="555616"/>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700">
              <a:solidFill>
                <a:sysClr val="windowText" lastClr="000000"/>
              </a:solidFill>
              <a:latin typeface="Meiryo UI" panose="020B0604030504040204" pitchFamily="50" charset="-128"/>
              <a:ea typeface="Meiryo UI" panose="020B0604030504040204" pitchFamily="50" charset="-128"/>
            </a:rPr>
            <a:t>ENDファイル作成</a:t>
          </a:r>
        </a:p>
      </xdr:txBody>
    </xdr:sp>
    <xdr:clientData/>
  </xdr:twoCellAnchor>
  <xdr:twoCellAnchor>
    <xdr:from>
      <xdr:col>30</xdr:col>
      <xdr:colOff>232338</xdr:colOff>
      <xdr:row>91</xdr:row>
      <xdr:rowOff>19844</xdr:rowOff>
    </xdr:from>
    <xdr:to>
      <xdr:col>35</xdr:col>
      <xdr:colOff>232338</xdr:colOff>
      <xdr:row>93</xdr:row>
      <xdr:rowOff>178594</xdr:rowOff>
    </xdr:to>
    <xdr:sp macro="" textlink="">
      <xdr:nvSpPr>
        <xdr:cNvPr id="5368" name="Decision 5367">
          <a:extLst>
            <a:ext uri="{FF2B5EF4-FFF2-40B4-BE49-F238E27FC236}">
              <a16:creationId xmlns:a16="http://schemas.microsoft.com/office/drawing/2014/main" id="{AB17CBF2-7975-7540-832F-21CBDCD3EE80}"/>
            </a:ext>
          </a:extLst>
        </xdr:cNvPr>
        <xdr:cNvSpPr/>
      </xdr:nvSpPr>
      <xdr:spPr>
        <a:xfrm>
          <a:off x="7376088" y="17482344"/>
          <a:ext cx="1190625" cy="539750"/>
        </a:xfrm>
        <a:prstGeom prst="flowChartDecision">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エラー</a:t>
          </a:r>
        </a:p>
      </xdr:txBody>
    </xdr:sp>
    <xdr:clientData/>
  </xdr:twoCellAnchor>
  <xdr:twoCellAnchor>
    <xdr:from>
      <xdr:col>30</xdr:col>
      <xdr:colOff>232006</xdr:colOff>
      <xdr:row>96</xdr:row>
      <xdr:rowOff>11910</xdr:rowOff>
    </xdr:from>
    <xdr:to>
      <xdr:col>35</xdr:col>
      <xdr:colOff>232669</xdr:colOff>
      <xdr:row>98</xdr:row>
      <xdr:rowOff>186526</xdr:rowOff>
    </xdr:to>
    <xdr:sp macro="" textlink="">
      <xdr:nvSpPr>
        <xdr:cNvPr id="5369" name="Rectangle 5368">
          <a:extLst>
            <a:ext uri="{FF2B5EF4-FFF2-40B4-BE49-F238E27FC236}">
              <a16:creationId xmlns:a16="http://schemas.microsoft.com/office/drawing/2014/main" id="{652C2EAD-E652-AB45-A1B4-3B8B787C18AB}"/>
            </a:ext>
          </a:extLst>
        </xdr:cNvPr>
        <xdr:cNvSpPr/>
      </xdr:nvSpPr>
      <xdr:spPr>
        <a:xfrm>
          <a:off x="7375756" y="18426910"/>
          <a:ext cx="1191288" cy="555616"/>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700">
              <a:solidFill>
                <a:sysClr val="windowText" lastClr="000000"/>
              </a:solidFill>
              <a:latin typeface="Meiryo UI" panose="020B0604030504040204" pitchFamily="50" charset="-128"/>
              <a:ea typeface="Meiryo UI" panose="020B0604030504040204" pitchFamily="50" charset="-128"/>
            </a:rPr>
            <a:t>処理終了</a:t>
          </a:r>
        </a:p>
      </xdr:txBody>
    </xdr:sp>
    <xdr:clientData/>
  </xdr:twoCellAnchor>
  <xdr:twoCellAnchor>
    <xdr:from>
      <xdr:col>31</xdr:col>
      <xdr:colOff>10088</xdr:colOff>
      <xdr:row>101</xdr:row>
      <xdr:rowOff>19839</xdr:rowOff>
    </xdr:from>
    <xdr:to>
      <xdr:col>35</xdr:col>
      <xdr:colOff>216463</xdr:colOff>
      <xdr:row>102</xdr:row>
      <xdr:rowOff>186527</xdr:rowOff>
    </xdr:to>
    <xdr:sp macro="" textlink="">
      <xdr:nvSpPr>
        <xdr:cNvPr id="5370" name="Flowchart: Terminator 109">
          <a:extLst>
            <a:ext uri="{FF2B5EF4-FFF2-40B4-BE49-F238E27FC236}">
              <a16:creationId xmlns:a16="http://schemas.microsoft.com/office/drawing/2014/main" id="{54FF3A3A-B52E-304A-A170-E30DF1895801}"/>
            </a:ext>
          </a:extLst>
        </xdr:cNvPr>
        <xdr:cNvSpPr/>
      </xdr:nvSpPr>
      <xdr:spPr>
        <a:xfrm>
          <a:off x="7391963" y="19387339"/>
          <a:ext cx="1158875" cy="357188"/>
        </a:xfrm>
        <a:prstGeom prst="flowChartTerminator">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700">
              <a:solidFill>
                <a:sysClr val="windowText" lastClr="000000"/>
              </a:solidFill>
              <a:latin typeface="Meiryo UI" panose="020B0604030504040204" pitchFamily="50" charset="-128"/>
              <a:ea typeface="Meiryo UI" panose="020B0604030504040204" pitchFamily="50" charset="-128"/>
            </a:rPr>
            <a:t>終了</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33</xdr:col>
      <xdr:colOff>113275</xdr:colOff>
      <xdr:row>84</xdr:row>
      <xdr:rowOff>4762</xdr:rowOff>
    </xdr:from>
    <xdr:to>
      <xdr:col>33</xdr:col>
      <xdr:colOff>113275</xdr:colOff>
      <xdr:row>86</xdr:row>
      <xdr:rowOff>15875</xdr:rowOff>
    </xdr:to>
    <xdr:cxnSp macro="">
      <xdr:nvCxnSpPr>
        <xdr:cNvPr id="5371" name="Straight Arrow Connector 5370">
          <a:extLst>
            <a:ext uri="{FF2B5EF4-FFF2-40B4-BE49-F238E27FC236}">
              <a16:creationId xmlns:a16="http://schemas.microsoft.com/office/drawing/2014/main" id="{525B9E13-A4B1-9C49-8FD3-B4C7C5CAC925}"/>
            </a:ext>
          </a:extLst>
        </xdr:cNvPr>
        <xdr:cNvCxnSpPr>
          <a:cxnSpLocks/>
          <a:stCxn id="5362" idx="2"/>
          <a:endCxn id="5366" idx="0"/>
        </xdr:cNvCxnSpPr>
      </xdr:nvCxnSpPr>
      <xdr:spPr>
        <a:xfrm>
          <a:off x="7971400" y="16133762"/>
          <a:ext cx="0" cy="39211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113275</xdr:colOff>
      <xdr:row>88</xdr:row>
      <xdr:rowOff>190491</xdr:rowOff>
    </xdr:from>
    <xdr:to>
      <xdr:col>33</xdr:col>
      <xdr:colOff>113276</xdr:colOff>
      <xdr:row>91</xdr:row>
      <xdr:rowOff>19844</xdr:rowOff>
    </xdr:to>
    <xdr:cxnSp macro="">
      <xdr:nvCxnSpPr>
        <xdr:cNvPr id="5374" name="Straight Arrow Connector 5373">
          <a:extLst>
            <a:ext uri="{FF2B5EF4-FFF2-40B4-BE49-F238E27FC236}">
              <a16:creationId xmlns:a16="http://schemas.microsoft.com/office/drawing/2014/main" id="{D3C296C3-2297-934C-9471-F4CDAFC1A20E}"/>
            </a:ext>
          </a:extLst>
        </xdr:cNvPr>
        <xdr:cNvCxnSpPr>
          <a:cxnSpLocks/>
          <a:stCxn id="5366" idx="2"/>
          <a:endCxn id="5368" idx="0"/>
        </xdr:cNvCxnSpPr>
      </xdr:nvCxnSpPr>
      <xdr:spPr>
        <a:xfrm>
          <a:off x="7971400" y="17081491"/>
          <a:ext cx="1" cy="4008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113275</xdr:colOff>
      <xdr:row>93</xdr:row>
      <xdr:rowOff>178594</xdr:rowOff>
    </xdr:from>
    <xdr:to>
      <xdr:col>33</xdr:col>
      <xdr:colOff>113276</xdr:colOff>
      <xdr:row>96</xdr:row>
      <xdr:rowOff>11910</xdr:rowOff>
    </xdr:to>
    <xdr:cxnSp macro="">
      <xdr:nvCxnSpPr>
        <xdr:cNvPr id="5377" name="Straight Arrow Connector 5376">
          <a:extLst>
            <a:ext uri="{FF2B5EF4-FFF2-40B4-BE49-F238E27FC236}">
              <a16:creationId xmlns:a16="http://schemas.microsoft.com/office/drawing/2014/main" id="{EB908897-ED56-7241-88B0-2633448E1EF2}"/>
            </a:ext>
          </a:extLst>
        </xdr:cNvPr>
        <xdr:cNvCxnSpPr>
          <a:cxnSpLocks/>
          <a:stCxn id="5368" idx="2"/>
          <a:endCxn id="5369" idx="0"/>
        </xdr:cNvCxnSpPr>
      </xdr:nvCxnSpPr>
      <xdr:spPr>
        <a:xfrm flipH="1">
          <a:off x="7971400" y="18022094"/>
          <a:ext cx="1" cy="4048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113275</xdr:colOff>
      <xdr:row>98</xdr:row>
      <xdr:rowOff>186526</xdr:rowOff>
    </xdr:from>
    <xdr:to>
      <xdr:col>33</xdr:col>
      <xdr:colOff>113276</xdr:colOff>
      <xdr:row>101</xdr:row>
      <xdr:rowOff>19839</xdr:rowOff>
    </xdr:to>
    <xdr:cxnSp macro="">
      <xdr:nvCxnSpPr>
        <xdr:cNvPr id="5380" name="Straight Arrow Connector 5379">
          <a:extLst>
            <a:ext uri="{FF2B5EF4-FFF2-40B4-BE49-F238E27FC236}">
              <a16:creationId xmlns:a16="http://schemas.microsoft.com/office/drawing/2014/main" id="{A318CAA4-7988-C644-A5CA-F0F6A971D90E}"/>
            </a:ext>
          </a:extLst>
        </xdr:cNvPr>
        <xdr:cNvCxnSpPr>
          <a:cxnSpLocks/>
          <a:stCxn id="5369" idx="2"/>
          <a:endCxn id="5370" idx="0"/>
        </xdr:cNvCxnSpPr>
      </xdr:nvCxnSpPr>
      <xdr:spPr>
        <a:xfrm>
          <a:off x="7971400" y="18982526"/>
          <a:ext cx="1" cy="40481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15875</xdr:colOff>
      <xdr:row>91</xdr:row>
      <xdr:rowOff>7938</xdr:rowOff>
    </xdr:from>
    <xdr:to>
      <xdr:col>54</xdr:col>
      <xdr:colOff>252290</xdr:colOff>
      <xdr:row>94</xdr:row>
      <xdr:rowOff>0</xdr:rowOff>
    </xdr:to>
    <xdr:sp macro="" textlink="">
      <xdr:nvSpPr>
        <xdr:cNvPr id="5383" name="Flowchart: Document 25">
          <a:extLst>
            <a:ext uri="{FF2B5EF4-FFF2-40B4-BE49-F238E27FC236}">
              <a16:creationId xmlns:a16="http://schemas.microsoft.com/office/drawing/2014/main" id="{1E63E154-9A0B-954A-ABA3-3703FA9D1D12}"/>
            </a:ext>
          </a:extLst>
        </xdr:cNvPr>
        <xdr:cNvSpPr/>
      </xdr:nvSpPr>
      <xdr:spPr>
        <a:xfrm>
          <a:off x="11938000" y="17470438"/>
          <a:ext cx="1188915" cy="563562"/>
        </a:xfrm>
        <a:prstGeom prst="flowChartDocumen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700">
              <a:solidFill>
                <a:sysClr val="windowText" lastClr="000000"/>
              </a:solidFill>
              <a:latin typeface="Meiryo UI" panose="020B0604030504040204" pitchFamily="50" charset="-128"/>
              <a:ea typeface="Meiryo UI" panose="020B0604030504040204" pitchFamily="50" charset="-128"/>
            </a:rPr>
            <a:t>エラーログ</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56</xdr:col>
      <xdr:colOff>30165</xdr:colOff>
      <xdr:row>91</xdr:row>
      <xdr:rowOff>19844</xdr:rowOff>
    </xdr:from>
    <xdr:to>
      <xdr:col>60</xdr:col>
      <xdr:colOff>236538</xdr:colOff>
      <xdr:row>93</xdr:row>
      <xdr:rowOff>178594</xdr:rowOff>
    </xdr:to>
    <xdr:sp macro="" textlink="">
      <xdr:nvSpPr>
        <xdr:cNvPr id="5384" name="Data 5383">
          <a:extLst>
            <a:ext uri="{FF2B5EF4-FFF2-40B4-BE49-F238E27FC236}">
              <a16:creationId xmlns:a16="http://schemas.microsoft.com/office/drawing/2014/main" id="{DFFECFF6-644A-6846-BD85-E36CD0833961}"/>
            </a:ext>
          </a:extLst>
        </xdr:cNvPr>
        <xdr:cNvSpPr/>
      </xdr:nvSpPr>
      <xdr:spPr>
        <a:xfrm>
          <a:off x="13396915" y="17482344"/>
          <a:ext cx="1135061" cy="539750"/>
        </a:xfrm>
        <a:prstGeom prst="flowChartInputOutpu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700">
              <a:solidFill>
                <a:sysClr val="windowText" lastClr="000000"/>
              </a:solidFill>
              <a:latin typeface="Meiryo UI" panose="020B0604030504040204" pitchFamily="34" charset="-128"/>
              <a:ea typeface="Meiryo UI" panose="020B0604030504040204" pitchFamily="34" charset="-128"/>
            </a:rPr>
            <a:t>メール送信</a:t>
          </a:r>
        </a:p>
      </xdr:txBody>
    </xdr:sp>
    <xdr:clientData/>
  </xdr:twoCellAnchor>
  <xdr:twoCellAnchor>
    <xdr:from>
      <xdr:col>50</xdr:col>
      <xdr:colOff>15875</xdr:colOff>
      <xdr:row>96</xdr:row>
      <xdr:rowOff>7937</xdr:rowOff>
    </xdr:from>
    <xdr:to>
      <xdr:col>54</xdr:col>
      <xdr:colOff>252290</xdr:colOff>
      <xdr:row>98</xdr:row>
      <xdr:rowOff>190499</xdr:rowOff>
    </xdr:to>
    <xdr:sp macro="" textlink="">
      <xdr:nvSpPr>
        <xdr:cNvPr id="5385" name="Flowchart: Document 25">
          <a:extLst>
            <a:ext uri="{FF2B5EF4-FFF2-40B4-BE49-F238E27FC236}">
              <a16:creationId xmlns:a16="http://schemas.microsoft.com/office/drawing/2014/main" id="{5DD8FAB5-08B2-B940-82B5-3A77C4EC128B}"/>
            </a:ext>
          </a:extLst>
        </xdr:cNvPr>
        <xdr:cNvSpPr/>
      </xdr:nvSpPr>
      <xdr:spPr>
        <a:xfrm>
          <a:off x="11938000" y="18422937"/>
          <a:ext cx="1188915" cy="563562"/>
        </a:xfrm>
        <a:prstGeom prst="flowChartDocumen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700">
              <a:solidFill>
                <a:sysClr val="windowText" lastClr="000000"/>
              </a:solidFill>
              <a:latin typeface="Meiryo UI" panose="020B0604030504040204" pitchFamily="50" charset="-128"/>
              <a:ea typeface="Meiryo UI" panose="020B0604030504040204" pitchFamily="50" charset="-128"/>
            </a:rPr>
            <a:t>アプリログ</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35</xdr:col>
      <xdr:colOff>232338</xdr:colOff>
      <xdr:row>92</xdr:row>
      <xdr:rowOff>99219</xdr:rowOff>
    </xdr:from>
    <xdr:to>
      <xdr:col>50</xdr:col>
      <xdr:colOff>15875</xdr:colOff>
      <xdr:row>92</xdr:row>
      <xdr:rowOff>99219</xdr:rowOff>
    </xdr:to>
    <xdr:cxnSp macro="">
      <xdr:nvCxnSpPr>
        <xdr:cNvPr id="5386" name="Straight Arrow Connector 5385">
          <a:extLst>
            <a:ext uri="{FF2B5EF4-FFF2-40B4-BE49-F238E27FC236}">
              <a16:creationId xmlns:a16="http://schemas.microsoft.com/office/drawing/2014/main" id="{DF0F8CF5-B4AC-BC4B-9C4D-FB20BE1A46F1}"/>
            </a:ext>
          </a:extLst>
        </xdr:cNvPr>
        <xdr:cNvCxnSpPr>
          <a:cxnSpLocks/>
          <a:stCxn id="5368" idx="3"/>
          <a:endCxn id="5383" idx="1"/>
        </xdr:cNvCxnSpPr>
      </xdr:nvCxnSpPr>
      <xdr:spPr>
        <a:xfrm>
          <a:off x="8566713" y="17752219"/>
          <a:ext cx="3371287"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2150</xdr:colOff>
      <xdr:row>82</xdr:row>
      <xdr:rowOff>107949</xdr:rowOff>
    </xdr:from>
    <xdr:to>
      <xdr:col>50</xdr:col>
      <xdr:colOff>17462</xdr:colOff>
      <xdr:row>82</xdr:row>
      <xdr:rowOff>107949</xdr:rowOff>
    </xdr:to>
    <xdr:cxnSp macro="">
      <xdr:nvCxnSpPr>
        <xdr:cNvPr id="5390" name="Straight Arrow Connector 5389">
          <a:extLst>
            <a:ext uri="{FF2B5EF4-FFF2-40B4-BE49-F238E27FC236}">
              <a16:creationId xmlns:a16="http://schemas.microsoft.com/office/drawing/2014/main" id="{FA2D4569-B2F8-BB4E-A11A-8EECC88D21D1}"/>
            </a:ext>
          </a:extLst>
        </xdr:cNvPr>
        <xdr:cNvCxnSpPr>
          <a:cxnSpLocks/>
          <a:stCxn id="5362" idx="3"/>
          <a:endCxn id="5346" idx="1"/>
        </xdr:cNvCxnSpPr>
      </xdr:nvCxnSpPr>
      <xdr:spPr>
        <a:xfrm>
          <a:off x="8574650" y="15855949"/>
          <a:ext cx="3364937"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86</xdr:row>
      <xdr:rowOff>15784</xdr:rowOff>
    </xdr:from>
    <xdr:to>
      <xdr:col>12</xdr:col>
      <xdr:colOff>0</xdr:colOff>
      <xdr:row>88</xdr:row>
      <xdr:rowOff>174706</xdr:rowOff>
    </xdr:to>
    <xdr:sp macro="" textlink="">
      <xdr:nvSpPr>
        <xdr:cNvPr id="5393" name="Flowchart: Card 34">
          <a:extLst>
            <a:ext uri="{FF2B5EF4-FFF2-40B4-BE49-F238E27FC236}">
              <a16:creationId xmlns:a16="http://schemas.microsoft.com/office/drawing/2014/main" id="{CC0D34DC-B908-AF43-BA2A-104289E0DD5F}"/>
            </a:ext>
          </a:extLst>
        </xdr:cNvPr>
        <xdr:cNvSpPr/>
      </xdr:nvSpPr>
      <xdr:spPr>
        <a:xfrm>
          <a:off x="1666875" y="16525784"/>
          <a:ext cx="1190625" cy="539922"/>
        </a:xfrm>
        <a:prstGeom prst="flowChartPunchedCard">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700">
              <a:solidFill>
                <a:sysClr val="windowText" lastClr="000000"/>
              </a:solidFill>
              <a:latin typeface="Meiryo UI" panose="020B0604030504040204" pitchFamily="50" charset="-128"/>
              <a:ea typeface="Meiryo UI" panose="020B0604030504040204" pitchFamily="50" charset="-128"/>
            </a:rPr>
            <a:t>END</a:t>
          </a:r>
          <a:r>
            <a:rPr lang="ja-JP" altLang="en-US" sz="700">
              <a:solidFill>
                <a:sysClr val="windowText" lastClr="000000"/>
              </a:solidFill>
              <a:latin typeface="Meiryo UI" panose="020B0604030504040204" pitchFamily="50" charset="-128"/>
              <a:ea typeface="Meiryo UI" panose="020B0604030504040204" pitchFamily="50" charset="-128"/>
            </a:rPr>
            <a:t>ファイル</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12</xdr:col>
      <xdr:colOff>0</xdr:colOff>
      <xdr:row>87</xdr:row>
      <xdr:rowOff>95245</xdr:rowOff>
    </xdr:from>
    <xdr:to>
      <xdr:col>30</xdr:col>
      <xdr:colOff>232006</xdr:colOff>
      <xdr:row>87</xdr:row>
      <xdr:rowOff>103183</xdr:rowOff>
    </xdr:to>
    <xdr:cxnSp macro="">
      <xdr:nvCxnSpPr>
        <xdr:cNvPr id="5394" name="Straight Arrow Connector 5393">
          <a:extLst>
            <a:ext uri="{FF2B5EF4-FFF2-40B4-BE49-F238E27FC236}">
              <a16:creationId xmlns:a16="http://schemas.microsoft.com/office/drawing/2014/main" id="{67916808-8934-3548-B3A4-936C7EEB642E}"/>
            </a:ext>
          </a:extLst>
        </xdr:cNvPr>
        <xdr:cNvCxnSpPr>
          <a:cxnSpLocks/>
          <a:stCxn id="5366" idx="1"/>
          <a:endCxn id="5393" idx="3"/>
        </xdr:cNvCxnSpPr>
      </xdr:nvCxnSpPr>
      <xdr:spPr>
        <a:xfrm flipH="1" flipV="1">
          <a:off x="2857500" y="16795745"/>
          <a:ext cx="4518256" cy="793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15875</xdr:colOff>
      <xdr:row>31</xdr:row>
      <xdr:rowOff>15874</xdr:rowOff>
    </xdr:from>
    <xdr:to>
      <xdr:col>21</xdr:col>
      <xdr:colOff>0</xdr:colOff>
      <xdr:row>33</xdr:row>
      <xdr:rowOff>174796</xdr:rowOff>
    </xdr:to>
    <xdr:sp macro="" textlink="">
      <xdr:nvSpPr>
        <xdr:cNvPr id="5398" name="Flowchart: Card 34">
          <a:extLst>
            <a:ext uri="{FF2B5EF4-FFF2-40B4-BE49-F238E27FC236}">
              <a16:creationId xmlns:a16="http://schemas.microsoft.com/office/drawing/2014/main" id="{566BD4A8-AC2E-134A-9198-093FA9D52EDD}"/>
            </a:ext>
          </a:extLst>
        </xdr:cNvPr>
        <xdr:cNvSpPr/>
      </xdr:nvSpPr>
      <xdr:spPr>
        <a:xfrm>
          <a:off x="3825875" y="6048374"/>
          <a:ext cx="1174750" cy="539922"/>
        </a:xfrm>
        <a:prstGeom prst="flowChartPunchedCard">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700">
              <a:solidFill>
                <a:sysClr val="windowText" lastClr="000000"/>
              </a:solidFill>
              <a:latin typeface="Meiryo UI" panose="020B0604030504040204" pitchFamily="50" charset="-128"/>
              <a:ea typeface="Meiryo UI" panose="020B0604030504040204" pitchFamily="50" charset="-128"/>
            </a:rPr>
            <a:t>END</a:t>
          </a:r>
          <a:r>
            <a:rPr lang="ja-JP" altLang="en-US" sz="700">
              <a:solidFill>
                <a:sysClr val="windowText" lastClr="000000"/>
              </a:solidFill>
              <a:latin typeface="Meiryo UI" panose="020B0604030504040204" pitchFamily="50" charset="-128"/>
              <a:ea typeface="Meiryo UI" panose="020B0604030504040204" pitchFamily="50" charset="-128"/>
            </a:rPr>
            <a:t>ファイル</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0</xdr:colOff>
      <xdr:row>32</xdr:row>
      <xdr:rowOff>95335</xdr:rowOff>
    </xdr:from>
    <xdr:to>
      <xdr:col>37</xdr:col>
      <xdr:colOff>0</xdr:colOff>
      <xdr:row>32</xdr:row>
      <xdr:rowOff>103183</xdr:rowOff>
    </xdr:to>
    <xdr:cxnSp macro="">
      <xdr:nvCxnSpPr>
        <xdr:cNvPr id="5399" name="Straight Arrow Connector 5398">
          <a:extLst>
            <a:ext uri="{FF2B5EF4-FFF2-40B4-BE49-F238E27FC236}">
              <a16:creationId xmlns:a16="http://schemas.microsoft.com/office/drawing/2014/main" id="{484DA1E8-393B-144A-B542-1BBD33D37BE9}"/>
            </a:ext>
          </a:extLst>
        </xdr:cNvPr>
        <xdr:cNvCxnSpPr>
          <a:cxnSpLocks/>
          <a:stCxn id="5196" idx="1"/>
          <a:endCxn id="5398" idx="3"/>
        </xdr:cNvCxnSpPr>
      </xdr:nvCxnSpPr>
      <xdr:spPr>
        <a:xfrm flipH="1" flipV="1">
          <a:off x="5000625" y="6318335"/>
          <a:ext cx="3810000" cy="784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232669</xdr:colOff>
      <xdr:row>97</xdr:row>
      <xdr:rowOff>99218</xdr:rowOff>
    </xdr:from>
    <xdr:to>
      <xdr:col>50</xdr:col>
      <xdr:colOff>15875</xdr:colOff>
      <xdr:row>97</xdr:row>
      <xdr:rowOff>99218</xdr:rowOff>
    </xdr:to>
    <xdr:cxnSp macro="">
      <xdr:nvCxnSpPr>
        <xdr:cNvPr id="5404" name="Straight Arrow Connector 5403">
          <a:extLst>
            <a:ext uri="{FF2B5EF4-FFF2-40B4-BE49-F238E27FC236}">
              <a16:creationId xmlns:a16="http://schemas.microsoft.com/office/drawing/2014/main" id="{7A2AA420-78DF-F444-B499-365E34CF372B}"/>
            </a:ext>
          </a:extLst>
        </xdr:cNvPr>
        <xdr:cNvCxnSpPr>
          <a:cxnSpLocks/>
          <a:stCxn id="5369" idx="3"/>
          <a:endCxn id="5385" idx="1"/>
        </xdr:cNvCxnSpPr>
      </xdr:nvCxnSpPr>
      <xdr:spPr>
        <a:xfrm>
          <a:off x="8567044" y="18704718"/>
          <a:ext cx="337095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253877</xdr:colOff>
      <xdr:row>82</xdr:row>
      <xdr:rowOff>107949</xdr:rowOff>
    </xdr:from>
    <xdr:to>
      <xdr:col>56</xdr:col>
      <xdr:colOff>145258</xdr:colOff>
      <xdr:row>82</xdr:row>
      <xdr:rowOff>107949</xdr:rowOff>
    </xdr:to>
    <xdr:cxnSp macro="">
      <xdr:nvCxnSpPr>
        <xdr:cNvPr id="5407" name="Straight Arrow Connector 5406">
          <a:extLst>
            <a:ext uri="{FF2B5EF4-FFF2-40B4-BE49-F238E27FC236}">
              <a16:creationId xmlns:a16="http://schemas.microsoft.com/office/drawing/2014/main" id="{B0E30F67-369D-9E4F-BEF6-604EFD33C1C2}"/>
            </a:ext>
          </a:extLst>
        </xdr:cNvPr>
        <xdr:cNvCxnSpPr>
          <a:cxnSpLocks/>
          <a:stCxn id="5346" idx="3"/>
          <a:endCxn id="5347" idx="2"/>
        </xdr:cNvCxnSpPr>
      </xdr:nvCxnSpPr>
      <xdr:spPr>
        <a:xfrm>
          <a:off x="13128502" y="15855949"/>
          <a:ext cx="38350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252290</xdr:colOff>
      <xdr:row>92</xdr:row>
      <xdr:rowOff>99219</xdr:rowOff>
    </xdr:from>
    <xdr:to>
      <xdr:col>56</xdr:col>
      <xdr:colOff>143671</xdr:colOff>
      <xdr:row>92</xdr:row>
      <xdr:rowOff>99219</xdr:rowOff>
    </xdr:to>
    <xdr:cxnSp macro="">
      <xdr:nvCxnSpPr>
        <xdr:cNvPr id="5410" name="Straight Arrow Connector 5409">
          <a:extLst>
            <a:ext uri="{FF2B5EF4-FFF2-40B4-BE49-F238E27FC236}">
              <a16:creationId xmlns:a16="http://schemas.microsoft.com/office/drawing/2014/main" id="{25C1CCCF-953A-2F48-AA26-B441A04A7BCB}"/>
            </a:ext>
          </a:extLst>
        </xdr:cNvPr>
        <xdr:cNvCxnSpPr>
          <a:cxnSpLocks/>
          <a:stCxn id="5383" idx="3"/>
          <a:endCxn id="5384" idx="2"/>
        </xdr:cNvCxnSpPr>
      </xdr:nvCxnSpPr>
      <xdr:spPr>
        <a:xfrm>
          <a:off x="13126915" y="17752219"/>
          <a:ext cx="38350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45</xdr:col>
      <xdr:colOff>119063</xdr:colOff>
      <xdr:row>26</xdr:row>
      <xdr:rowOff>23813</xdr:rowOff>
    </xdr:from>
    <xdr:ext cx="337785" cy="267317"/>
    <xdr:sp macro="" textlink="">
      <xdr:nvSpPr>
        <xdr:cNvPr id="5413" name="TextBox 5412">
          <a:extLst>
            <a:ext uri="{FF2B5EF4-FFF2-40B4-BE49-F238E27FC236}">
              <a16:creationId xmlns:a16="http://schemas.microsoft.com/office/drawing/2014/main" id="{EEB18B06-D590-ED1E-E262-AB2A02770563}"/>
            </a:ext>
          </a:extLst>
        </xdr:cNvPr>
        <xdr:cNvSpPr txBox="1"/>
      </xdr:nvSpPr>
      <xdr:spPr>
        <a:xfrm>
          <a:off x="10834688" y="5103813"/>
          <a:ext cx="337785"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Yes</a:t>
          </a:r>
        </a:p>
      </xdr:txBody>
    </xdr:sp>
    <xdr:clientData/>
  </xdr:oneCellAnchor>
  <xdr:oneCellAnchor>
    <xdr:from>
      <xdr:col>42</xdr:col>
      <xdr:colOff>168275</xdr:colOff>
      <xdr:row>28</xdr:row>
      <xdr:rowOff>144463</xdr:rowOff>
    </xdr:from>
    <xdr:ext cx="304507" cy="267317"/>
    <xdr:sp macro="" textlink="">
      <xdr:nvSpPr>
        <xdr:cNvPr id="5414" name="TextBox 5413">
          <a:extLst>
            <a:ext uri="{FF2B5EF4-FFF2-40B4-BE49-F238E27FC236}">
              <a16:creationId xmlns:a16="http://schemas.microsoft.com/office/drawing/2014/main" id="{278306A7-A6A3-C64D-901D-7E057D0D082B}"/>
            </a:ext>
          </a:extLst>
        </xdr:cNvPr>
        <xdr:cNvSpPr txBox="1"/>
      </xdr:nvSpPr>
      <xdr:spPr>
        <a:xfrm>
          <a:off x="10169525" y="5605463"/>
          <a:ext cx="304507"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No</a:t>
          </a:r>
        </a:p>
      </xdr:txBody>
    </xdr:sp>
    <xdr:clientData/>
  </xdr:oneCellAnchor>
  <xdr:oneCellAnchor>
    <xdr:from>
      <xdr:col>42</xdr:col>
      <xdr:colOff>38101</xdr:colOff>
      <xdr:row>41</xdr:row>
      <xdr:rowOff>47625</xdr:rowOff>
    </xdr:from>
    <xdr:ext cx="337785" cy="267317"/>
    <xdr:sp macro="" textlink="">
      <xdr:nvSpPr>
        <xdr:cNvPr id="5415" name="TextBox 5414">
          <a:extLst>
            <a:ext uri="{FF2B5EF4-FFF2-40B4-BE49-F238E27FC236}">
              <a16:creationId xmlns:a16="http://schemas.microsoft.com/office/drawing/2014/main" id="{73DF40AC-2537-A145-925E-FD66BC0E9C5E}"/>
            </a:ext>
          </a:extLst>
        </xdr:cNvPr>
        <xdr:cNvSpPr txBox="1"/>
      </xdr:nvSpPr>
      <xdr:spPr>
        <a:xfrm>
          <a:off x="10039351" y="7985125"/>
          <a:ext cx="337785"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Yes</a:t>
          </a:r>
        </a:p>
      </xdr:txBody>
    </xdr:sp>
    <xdr:clientData/>
  </xdr:oneCellAnchor>
  <xdr:oneCellAnchor>
    <xdr:from>
      <xdr:col>39</xdr:col>
      <xdr:colOff>87313</xdr:colOff>
      <xdr:row>43</xdr:row>
      <xdr:rowOff>168275</xdr:rowOff>
    </xdr:from>
    <xdr:ext cx="304507" cy="267317"/>
    <xdr:sp macro="" textlink="">
      <xdr:nvSpPr>
        <xdr:cNvPr id="5416" name="TextBox 5415">
          <a:extLst>
            <a:ext uri="{FF2B5EF4-FFF2-40B4-BE49-F238E27FC236}">
              <a16:creationId xmlns:a16="http://schemas.microsoft.com/office/drawing/2014/main" id="{FD139DB7-0954-0E48-BD9B-DA680B569D94}"/>
            </a:ext>
          </a:extLst>
        </xdr:cNvPr>
        <xdr:cNvSpPr txBox="1"/>
      </xdr:nvSpPr>
      <xdr:spPr>
        <a:xfrm>
          <a:off x="9374188" y="8486775"/>
          <a:ext cx="304507"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No</a:t>
          </a:r>
        </a:p>
      </xdr:txBody>
    </xdr:sp>
    <xdr:clientData/>
  </xdr:oneCellAnchor>
  <xdr:oneCellAnchor>
    <xdr:from>
      <xdr:col>48</xdr:col>
      <xdr:colOff>38100</xdr:colOff>
      <xdr:row>46</xdr:row>
      <xdr:rowOff>55562</xdr:rowOff>
    </xdr:from>
    <xdr:ext cx="337785" cy="267317"/>
    <xdr:sp macro="" textlink="">
      <xdr:nvSpPr>
        <xdr:cNvPr id="5417" name="TextBox 5416">
          <a:extLst>
            <a:ext uri="{FF2B5EF4-FFF2-40B4-BE49-F238E27FC236}">
              <a16:creationId xmlns:a16="http://schemas.microsoft.com/office/drawing/2014/main" id="{5A072305-B50F-554F-BB64-55AC360B7A02}"/>
            </a:ext>
          </a:extLst>
        </xdr:cNvPr>
        <xdr:cNvSpPr txBox="1"/>
      </xdr:nvSpPr>
      <xdr:spPr>
        <a:xfrm>
          <a:off x="11483975" y="8945562"/>
          <a:ext cx="337785"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Yes</a:t>
          </a:r>
        </a:p>
      </xdr:txBody>
    </xdr:sp>
    <xdr:clientData/>
  </xdr:oneCellAnchor>
  <xdr:oneCellAnchor>
    <xdr:from>
      <xdr:col>45</xdr:col>
      <xdr:colOff>103187</xdr:colOff>
      <xdr:row>48</xdr:row>
      <xdr:rowOff>176212</xdr:rowOff>
    </xdr:from>
    <xdr:ext cx="304507" cy="267317"/>
    <xdr:sp macro="" textlink="">
      <xdr:nvSpPr>
        <xdr:cNvPr id="5418" name="TextBox 5417">
          <a:extLst>
            <a:ext uri="{FF2B5EF4-FFF2-40B4-BE49-F238E27FC236}">
              <a16:creationId xmlns:a16="http://schemas.microsoft.com/office/drawing/2014/main" id="{E569D10A-800D-3949-AB40-2B318B061C3C}"/>
            </a:ext>
          </a:extLst>
        </xdr:cNvPr>
        <xdr:cNvSpPr txBox="1"/>
      </xdr:nvSpPr>
      <xdr:spPr>
        <a:xfrm>
          <a:off x="10818812" y="9447212"/>
          <a:ext cx="304507"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No</a:t>
          </a:r>
        </a:p>
      </xdr:txBody>
    </xdr:sp>
    <xdr:clientData/>
  </xdr:oneCellAnchor>
  <xdr:oneCellAnchor>
    <xdr:from>
      <xdr:col>36</xdr:col>
      <xdr:colOff>117476</xdr:colOff>
      <xdr:row>81</xdr:row>
      <xdr:rowOff>47625</xdr:rowOff>
    </xdr:from>
    <xdr:ext cx="337785" cy="267317"/>
    <xdr:sp macro="" textlink="">
      <xdr:nvSpPr>
        <xdr:cNvPr id="5419" name="TextBox 5418">
          <a:extLst>
            <a:ext uri="{FF2B5EF4-FFF2-40B4-BE49-F238E27FC236}">
              <a16:creationId xmlns:a16="http://schemas.microsoft.com/office/drawing/2014/main" id="{5093F476-737E-3443-B8D0-5A5DF1FA0AE5}"/>
            </a:ext>
          </a:extLst>
        </xdr:cNvPr>
        <xdr:cNvSpPr txBox="1"/>
      </xdr:nvSpPr>
      <xdr:spPr>
        <a:xfrm>
          <a:off x="8689976" y="15605125"/>
          <a:ext cx="337785"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Yes</a:t>
          </a:r>
        </a:p>
      </xdr:txBody>
    </xdr:sp>
    <xdr:clientData/>
  </xdr:oneCellAnchor>
  <xdr:oneCellAnchor>
    <xdr:from>
      <xdr:col>33</xdr:col>
      <xdr:colOff>166688</xdr:colOff>
      <xdr:row>83</xdr:row>
      <xdr:rowOff>168275</xdr:rowOff>
    </xdr:from>
    <xdr:ext cx="304507" cy="267317"/>
    <xdr:sp macro="" textlink="">
      <xdr:nvSpPr>
        <xdr:cNvPr id="5420" name="TextBox 5419">
          <a:extLst>
            <a:ext uri="{FF2B5EF4-FFF2-40B4-BE49-F238E27FC236}">
              <a16:creationId xmlns:a16="http://schemas.microsoft.com/office/drawing/2014/main" id="{220FC981-C8C1-C24D-9F0C-0D9AECDB0E97}"/>
            </a:ext>
          </a:extLst>
        </xdr:cNvPr>
        <xdr:cNvSpPr txBox="1"/>
      </xdr:nvSpPr>
      <xdr:spPr>
        <a:xfrm>
          <a:off x="8024813" y="16106775"/>
          <a:ext cx="304507"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No</a:t>
          </a:r>
        </a:p>
      </xdr:txBody>
    </xdr:sp>
    <xdr:clientData/>
  </xdr:oneCellAnchor>
  <xdr:oneCellAnchor>
    <xdr:from>
      <xdr:col>36</xdr:col>
      <xdr:colOff>93663</xdr:colOff>
      <xdr:row>91</xdr:row>
      <xdr:rowOff>39688</xdr:rowOff>
    </xdr:from>
    <xdr:ext cx="337785" cy="267317"/>
    <xdr:sp macro="" textlink="">
      <xdr:nvSpPr>
        <xdr:cNvPr id="5421" name="TextBox 5420">
          <a:extLst>
            <a:ext uri="{FF2B5EF4-FFF2-40B4-BE49-F238E27FC236}">
              <a16:creationId xmlns:a16="http://schemas.microsoft.com/office/drawing/2014/main" id="{E2D341D5-83CE-394C-A717-351B0F5A81D4}"/>
            </a:ext>
          </a:extLst>
        </xdr:cNvPr>
        <xdr:cNvSpPr txBox="1"/>
      </xdr:nvSpPr>
      <xdr:spPr>
        <a:xfrm>
          <a:off x="8666163" y="17502188"/>
          <a:ext cx="337785"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Yes</a:t>
          </a:r>
        </a:p>
      </xdr:txBody>
    </xdr:sp>
    <xdr:clientData/>
  </xdr:oneCellAnchor>
  <xdr:oneCellAnchor>
    <xdr:from>
      <xdr:col>33</xdr:col>
      <xdr:colOff>142875</xdr:colOff>
      <xdr:row>93</xdr:row>
      <xdr:rowOff>160338</xdr:rowOff>
    </xdr:from>
    <xdr:ext cx="304507" cy="267317"/>
    <xdr:sp macro="" textlink="">
      <xdr:nvSpPr>
        <xdr:cNvPr id="5422" name="TextBox 5421">
          <a:extLst>
            <a:ext uri="{FF2B5EF4-FFF2-40B4-BE49-F238E27FC236}">
              <a16:creationId xmlns:a16="http://schemas.microsoft.com/office/drawing/2014/main" id="{194DA4F2-9A57-A642-95B0-AC096A801588}"/>
            </a:ext>
          </a:extLst>
        </xdr:cNvPr>
        <xdr:cNvSpPr txBox="1"/>
      </xdr:nvSpPr>
      <xdr:spPr>
        <a:xfrm>
          <a:off x="8001000" y="18003838"/>
          <a:ext cx="304507"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No</a:t>
          </a:r>
        </a:p>
      </xdr:txBody>
    </xdr:sp>
    <xdr:clientData/>
  </xdr:oneCellAnchor>
  <xdr:twoCellAnchor>
    <xdr:from>
      <xdr:col>1</xdr:col>
      <xdr:colOff>7938</xdr:colOff>
      <xdr:row>110</xdr:row>
      <xdr:rowOff>7937</xdr:rowOff>
    </xdr:from>
    <xdr:to>
      <xdr:col>6</xdr:col>
      <xdr:colOff>8600</xdr:colOff>
      <xdr:row>112</xdr:row>
      <xdr:rowOff>182553</xdr:rowOff>
    </xdr:to>
    <xdr:sp macro="" textlink="">
      <xdr:nvSpPr>
        <xdr:cNvPr id="5429" name="Rectangle 5428">
          <a:extLst>
            <a:ext uri="{FF2B5EF4-FFF2-40B4-BE49-F238E27FC236}">
              <a16:creationId xmlns:a16="http://schemas.microsoft.com/office/drawing/2014/main" id="{6D307917-5DD8-924B-BD0C-842D2C5CA948}"/>
            </a:ext>
          </a:extLst>
        </xdr:cNvPr>
        <xdr:cNvSpPr/>
      </xdr:nvSpPr>
      <xdr:spPr>
        <a:xfrm>
          <a:off x="246063" y="21089937"/>
          <a:ext cx="1191287" cy="555616"/>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700">
              <a:solidFill>
                <a:sysClr val="windowText" lastClr="000000"/>
              </a:solidFill>
              <a:latin typeface="Meiryo UI" panose="020B0604030504040204" pitchFamily="50" charset="-128"/>
              <a:ea typeface="Meiryo UI" panose="020B0604030504040204" pitchFamily="50" charset="-128"/>
            </a:rPr>
            <a:t>END</a:t>
          </a:r>
          <a:r>
            <a:rPr lang="ja-JP" altLang="en-US" sz="700">
              <a:solidFill>
                <a:sysClr val="windowText" lastClr="000000"/>
              </a:solidFill>
              <a:latin typeface="Meiryo UI" panose="020B0604030504040204" pitchFamily="50" charset="-128"/>
              <a:ea typeface="Meiryo UI" panose="020B0604030504040204" pitchFamily="50" charset="-128"/>
            </a:rPr>
            <a:t>ファイルトリガー</a:t>
          </a:r>
          <a:endParaRPr lang="en-US" altLang="ja-JP"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xdr:col>
      <xdr:colOff>233825</xdr:colOff>
      <xdr:row>115</xdr:row>
      <xdr:rowOff>11909</xdr:rowOff>
    </xdr:from>
    <xdr:to>
      <xdr:col>11</xdr:col>
      <xdr:colOff>234488</xdr:colOff>
      <xdr:row>117</xdr:row>
      <xdr:rowOff>186525</xdr:rowOff>
    </xdr:to>
    <xdr:sp macro="" textlink="">
      <xdr:nvSpPr>
        <xdr:cNvPr id="5430" name="Rectangle 5429">
          <a:extLst>
            <a:ext uri="{FF2B5EF4-FFF2-40B4-BE49-F238E27FC236}">
              <a16:creationId xmlns:a16="http://schemas.microsoft.com/office/drawing/2014/main" id="{1895BF02-4CC0-3445-96D9-2916A4583BD8}"/>
            </a:ext>
          </a:extLst>
        </xdr:cNvPr>
        <xdr:cNvSpPr/>
      </xdr:nvSpPr>
      <xdr:spPr>
        <a:xfrm>
          <a:off x="1662575" y="22046409"/>
          <a:ext cx="1191288" cy="555616"/>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700">
              <a:solidFill>
                <a:sysClr val="windowText" lastClr="000000"/>
              </a:solidFill>
              <a:latin typeface="Meiryo UI" panose="020B0604030504040204" pitchFamily="50" charset="-128"/>
              <a:ea typeface="Meiryo UI" panose="020B0604030504040204" pitchFamily="50" charset="-128"/>
            </a:rPr>
            <a:t>処理開始</a:t>
          </a:r>
        </a:p>
      </xdr:txBody>
    </xdr:sp>
    <xdr:clientData/>
  </xdr:twoCellAnchor>
  <xdr:twoCellAnchor>
    <xdr:from>
      <xdr:col>50</xdr:col>
      <xdr:colOff>7938</xdr:colOff>
      <xdr:row>115</xdr:row>
      <xdr:rowOff>7936</xdr:rowOff>
    </xdr:from>
    <xdr:to>
      <xdr:col>54</xdr:col>
      <xdr:colOff>244353</xdr:colOff>
      <xdr:row>117</xdr:row>
      <xdr:rowOff>190498</xdr:rowOff>
    </xdr:to>
    <xdr:sp macro="" textlink="">
      <xdr:nvSpPr>
        <xdr:cNvPr id="5431" name="Flowchart: Document 25">
          <a:extLst>
            <a:ext uri="{FF2B5EF4-FFF2-40B4-BE49-F238E27FC236}">
              <a16:creationId xmlns:a16="http://schemas.microsoft.com/office/drawing/2014/main" id="{49169F12-6448-CC4F-A9D8-A62F77965029}"/>
            </a:ext>
          </a:extLst>
        </xdr:cNvPr>
        <xdr:cNvSpPr/>
      </xdr:nvSpPr>
      <xdr:spPr>
        <a:xfrm>
          <a:off x="11930063" y="22042436"/>
          <a:ext cx="1188915" cy="563562"/>
        </a:xfrm>
        <a:prstGeom prst="flowChartDocumen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700">
              <a:solidFill>
                <a:sysClr val="windowText" lastClr="000000"/>
              </a:solidFill>
              <a:latin typeface="Meiryo UI" panose="020B0604030504040204" pitchFamily="50" charset="-128"/>
              <a:ea typeface="Meiryo UI" panose="020B0604030504040204" pitchFamily="50" charset="-128"/>
            </a:rPr>
            <a:t>アプリログ</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xdr:col>
      <xdr:colOff>127333</xdr:colOff>
      <xdr:row>88</xdr:row>
      <xdr:rowOff>174706</xdr:rowOff>
    </xdr:from>
    <xdr:to>
      <xdr:col>9</xdr:col>
      <xdr:colOff>119064</xdr:colOff>
      <xdr:row>110</xdr:row>
      <xdr:rowOff>7937</xdr:rowOff>
    </xdr:to>
    <xdr:cxnSp macro="">
      <xdr:nvCxnSpPr>
        <xdr:cNvPr id="5432" name="Connector: Elbow 48">
          <a:extLst>
            <a:ext uri="{FF2B5EF4-FFF2-40B4-BE49-F238E27FC236}">
              <a16:creationId xmlns:a16="http://schemas.microsoft.com/office/drawing/2014/main" id="{0F7FB698-5D21-6246-9FAA-AF7C655C3FF6}"/>
            </a:ext>
          </a:extLst>
        </xdr:cNvPr>
        <xdr:cNvCxnSpPr>
          <a:cxnSpLocks/>
          <a:stCxn id="5393" idx="2"/>
          <a:endCxn id="5429" idx="0"/>
        </xdr:cNvCxnSpPr>
      </xdr:nvCxnSpPr>
      <xdr:spPr>
        <a:xfrm rot="5400000">
          <a:off x="-460167" y="18367581"/>
          <a:ext cx="4024231" cy="1420481"/>
        </a:xfrm>
        <a:prstGeom prst="bentConnector3">
          <a:avLst>
            <a:gd name="adj1" fmla="val 50000"/>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127332</xdr:colOff>
      <xdr:row>112</xdr:row>
      <xdr:rowOff>182553</xdr:rowOff>
    </xdr:from>
    <xdr:to>
      <xdr:col>9</xdr:col>
      <xdr:colOff>115094</xdr:colOff>
      <xdr:row>115</xdr:row>
      <xdr:rowOff>11909</xdr:rowOff>
    </xdr:to>
    <xdr:cxnSp macro="">
      <xdr:nvCxnSpPr>
        <xdr:cNvPr id="5435" name="Elbow Connector 5434">
          <a:extLst>
            <a:ext uri="{FF2B5EF4-FFF2-40B4-BE49-F238E27FC236}">
              <a16:creationId xmlns:a16="http://schemas.microsoft.com/office/drawing/2014/main" id="{A881F7E2-F053-C941-AD66-51EAD2B7F8FD}"/>
            </a:ext>
          </a:extLst>
        </xdr:cNvPr>
        <xdr:cNvCxnSpPr>
          <a:stCxn id="5429" idx="2"/>
          <a:endCxn id="5430" idx="0"/>
        </xdr:cNvCxnSpPr>
      </xdr:nvCxnSpPr>
      <xdr:spPr>
        <a:xfrm rot="16200000" flipH="1">
          <a:off x="1349535" y="21137725"/>
          <a:ext cx="400856" cy="1416512"/>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233826</xdr:colOff>
      <xdr:row>120</xdr:row>
      <xdr:rowOff>7937</xdr:rowOff>
    </xdr:from>
    <xdr:to>
      <xdr:col>11</xdr:col>
      <xdr:colOff>234488</xdr:colOff>
      <xdr:row>122</xdr:row>
      <xdr:rowOff>184131</xdr:rowOff>
    </xdr:to>
    <xdr:sp macro="" textlink="">
      <xdr:nvSpPr>
        <xdr:cNvPr id="5438" name="Rectangle 5437">
          <a:extLst>
            <a:ext uri="{FF2B5EF4-FFF2-40B4-BE49-F238E27FC236}">
              <a16:creationId xmlns:a16="http://schemas.microsoft.com/office/drawing/2014/main" id="{36AE60C2-707F-2345-B02B-8AD7DE9543BB}"/>
            </a:ext>
          </a:extLst>
        </xdr:cNvPr>
        <xdr:cNvSpPr/>
      </xdr:nvSpPr>
      <xdr:spPr>
        <a:xfrm>
          <a:off x="1662576" y="22994937"/>
          <a:ext cx="1191287" cy="55719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700">
              <a:solidFill>
                <a:sysClr val="windowText" lastClr="000000"/>
              </a:solidFill>
              <a:latin typeface="Meiryo UI" panose="020B0604030504040204" pitchFamily="50" charset="-128"/>
              <a:ea typeface="Meiryo UI" panose="020B0604030504040204" pitchFamily="50" charset="-128"/>
            </a:rPr>
            <a:t>処理店舗を確認する</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13</xdr:col>
      <xdr:colOff>11906</xdr:colOff>
      <xdr:row>120</xdr:row>
      <xdr:rowOff>20511</xdr:rowOff>
    </xdr:from>
    <xdr:to>
      <xdr:col>18</xdr:col>
      <xdr:colOff>12568</xdr:colOff>
      <xdr:row>122</xdr:row>
      <xdr:rowOff>171557</xdr:rowOff>
    </xdr:to>
    <xdr:sp macro="" textlink="">
      <xdr:nvSpPr>
        <xdr:cNvPr id="5439" name="Cylinder 16">
          <a:extLst>
            <a:ext uri="{FF2B5EF4-FFF2-40B4-BE49-F238E27FC236}">
              <a16:creationId xmlns:a16="http://schemas.microsoft.com/office/drawing/2014/main" id="{19BD7BCC-C179-C94D-A93E-2F0E3520CA74}"/>
            </a:ext>
          </a:extLst>
        </xdr:cNvPr>
        <xdr:cNvSpPr/>
      </xdr:nvSpPr>
      <xdr:spPr>
        <a:xfrm>
          <a:off x="3107531" y="23007511"/>
          <a:ext cx="1191287" cy="532046"/>
        </a:xfrm>
        <a:prstGeom prst="can">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600">
              <a:solidFill>
                <a:sysClr val="windowText" lastClr="000000"/>
              </a:solidFill>
              <a:latin typeface="Meiryo UI" panose="020B0604030504040204" pitchFamily="50" charset="-128"/>
              <a:ea typeface="Meiryo UI" panose="020B0604030504040204" pitchFamily="50" charset="-128"/>
            </a:rPr>
            <a:t>Replica</a:t>
          </a:r>
        </a:p>
        <a:p>
          <a:pPr algn="ctr"/>
          <a:r>
            <a:rPr lang="ja-JP" altLang="en-US" sz="600">
              <a:solidFill>
                <a:sysClr val="windowText" lastClr="000000"/>
              </a:solidFill>
              <a:latin typeface="Meiryo UI" panose="020B0604030504040204" pitchFamily="50" charset="-128"/>
              <a:ea typeface="Meiryo UI" panose="020B0604030504040204" pitchFamily="50" charset="-128"/>
            </a:rPr>
            <a:t>データベース</a:t>
          </a:r>
          <a:endParaRPr lang="en-GB" sz="6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7</xdr:col>
      <xdr:colOff>1</xdr:colOff>
      <xdr:row>130</xdr:row>
      <xdr:rowOff>15875</xdr:rowOff>
    </xdr:from>
    <xdr:to>
      <xdr:col>11</xdr:col>
      <xdr:colOff>230189</xdr:colOff>
      <xdr:row>133</xdr:row>
      <xdr:rowOff>1</xdr:rowOff>
    </xdr:to>
    <xdr:sp macro="" textlink="">
      <xdr:nvSpPr>
        <xdr:cNvPr id="5440" name="Decision 5439">
          <a:extLst>
            <a:ext uri="{FF2B5EF4-FFF2-40B4-BE49-F238E27FC236}">
              <a16:creationId xmlns:a16="http://schemas.microsoft.com/office/drawing/2014/main" id="{EFEF5765-3516-2241-8673-F1FC8B425B30}"/>
            </a:ext>
          </a:extLst>
        </xdr:cNvPr>
        <xdr:cNvSpPr/>
      </xdr:nvSpPr>
      <xdr:spPr>
        <a:xfrm>
          <a:off x="1666876" y="24907875"/>
          <a:ext cx="1182688" cy="555626"/>
        </a:xfrm>
        <a:prstGeom prst="flowChartDecision">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処理する？</a:t>
          </a:r>
        </a:p>
      </xdr:txBody>
    </xdr:sp>
    <xdr:clientData/>
  </xdr:twoCellAnchor>
  <xdr:twoCellAnchor>
    <xdr:from>
      <xdr:col>50</xdr:col>
      <xdr:colOff>15875</xdr:colOff>
      <xdr:row>125</xdr:row>
      <xdr:rowOff>7937</xdr:rowOff>
    </xdr:from>
    <xdr:to>
      <xdr:col>54</xdr:col>
      <xdr:colOff>252290</xdr:colOff>
      <xdr:row>127</xdr:row>
      <xdr:rowOff>190499</xdr:rowOff>
    </xdr:to>
    <xdr:sp macro="" textlink="">
      <xdr:nvSpPr>
        <xdr:cNvPr id="5441" name="Flowchart: Document 25">
          <a:extLst>
            <a:ext uri="{FF2B5EF4-FFF2-40B4-BE49-F238E27FC236}">
              <a16:creationId xmlns:a16="http://schemas.microsoft.com/office/drawing/2014/main" id="{87AE48C3-5754-F140-A77B-11F27C66D456}"/>
            </a:ext>
          </a:extLst>
        </xdr:cNvPr>
        <xdr:cNvSpPr/>
      </xdr:nvSpPr>
      <xdr:spPr>
        <a:xfrm>
          <a:off x="11938000" y="23947437"/>
          <a:ext cx="1188915" cy="563562"/>
        </a:xfrm>
        <a:prstGeom prst="flowChartDocumen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700">
              <a:solidFill>
                <a:sysClr val="windowText" lastClr="000000"/>
              </a:solidFill>
              <a:latin typeface="Meiryo UI" panose="020B0604030504040204" pitchFamily="50" charset="-128"/>
              <a:ea typeface="Meiryo UI" panose="020B0604030504040204" pitchFamily="50" charset="-128"/>
            </a:rPr>
            <a:t>エラーログ</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56</xdr:col>
      <xdr:colOff>30165</xdr:colOff>
      <xdr:row>125</xdr:row>
      <xdr:rowOff>19843</xdr:rowOff>
    </xdr:from>
    <xdr:to>
      <xdr:col>60</xdr:col>
      <xdr:colOff>236538</xdr:colOff>
      <xdr:row>127</xdr:row>
      <xdr:rowOff>178593</xdr:rowOff>
    </xdr:to>
    <xdr:sp macro="" textlink="">
      <xdr:nvSpPr>
        <xdr:cNvPr id="5442" name="Data 5441">
          <a:extLst>
            <a:ext uri="{FF2B5EF4-FFF2-40B4-BE49-F238E27FC236}">
              <a16:creationId xmlns:a16="http://schemas.microsoft.com/office/drawing/2014/main" id="{5A998002-26A0-614A-A88A-734EA38F084E}"/>
            </a:ext>
          </a:extLst>
        </xdr:cNvPr>
        <xdr:cNvSpPr/>
      </xdr:nvSpPr>
      <xdr:spPr>
        <a:xfrm>
          <a:off x="13396915" y="23959343"/>
          <a:ext cx="1135061" cy="539750"/>
        </a:xfrm>
        <a:prstGeom prst="flowChartInputOutpu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700">
              <a:solidFill>
                <a:sysClr val="windowText" lastClr="000000"/>
              </a:solidFill>
              <a:latin typeface="Meiryo UI" panose="020B0604030504040204" pitchFamily="34" charset="-128"/>
              <a:ea typeface="Meiryo UI" panose="020B0604030504040204" pitchFamily="34" charset="-128"/>
            </a:rPr>
            <a:t>メール送信</a:t>
          </a:r>
        </a:p>
      </xdr:txBody>
    </xdr:sp>
    <xdr:clientData/>
  </xdr:twoCellAnchor>
  <xdr:twoCellAnchor>
    <xdr:from>
      <xdr:col>54</xdr:col>
      <xdr:colOff>252290</xdr:colOff>
      <xdr:row>126</xdr:row>
      <xdr:rowOff>99218</xdr:rowOff>
    </xdr:from>
    <xdr:to>
      <xdr:col>56</xdr:col>
      <xdr:colOff>143671</xdr:colOff>
      <xdr:row>126</xdr:row>
      <xdr:rowOff>99218</xdr:rowOff>
    </xdr:to>
    <xdr:cxnSp macro="">
      <xdr:nvCxnSpPr>
        <xdr:cNvPr id="5443" name="Straight Arrow Connector 5442">
          <a:extLst>
            <a:ext uri="{FF2B5EF4-FFF2-40B4-BE49-F238E27FC236}">
              <a16:creationId xmlns:a16="http://schemas.microsoft.com/office/drawing/2014/main" id="{A04B7181-290C-1B4F-9D4D-BBE8559FE073}"/>
            </a:ext>
          </a:extLst>
        </xdr:cNvPr>
        <xdr:cNvCxnSpPr>
          <a:cxnSpLocks/>
          <a:stCxn id="5441" idx="3"/>
          <a:endCxn id="5442" idx="2"/>
        </xdr:cNvCxnSpPr>
      </xdr:nvCxnSpPr>
      <xdr:spPr>
        <a:xfrm>
          <a:off x="13126915" y="24229218"/>
          <a:ext cx="38350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233826</xdr:colOff>
      <xdr:row>139</xdr:row>
      <xdr:rowOff>9525</xdr:rowOff>
    </xdr:from>
    <xdr:to>
      <xdr:col>11</xdr:col>
      <xdr:colOff>234488</xdr:colOff>
      <xdr:row>141</xdr:row>
      <xdr:rowOff>185719</xdr:rowOff>
    </xdr:to>
    <xdr:sp macro="" textlink="">
      <xdr:nvSpPr>
        <xdr:cNvPr id="5444" name="Rectangle 5443">
          <a:extLst>
            <a:ext uri="{FF2B5EF4-FFF2-40B4-BE49-F238E27FC236}">
              <a16:creationId xmlns:a16="http://schemas.microsoft.com/office/drawing/2014/main" id="{35AFEF01-ABB2-7948-B685-35E7CE859DBD}"/>
            </a:ext>
          </a:extLst>
        </xdr:cNvPr>
        <xdr:cNvSpPr/>
      </xdr:nvSpPr>
      <xdr:spPr>
        <a:xfrm>
          <a:off x="1662576" y="26616025"/>
          <a:ext cx="1191287" cy="55719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700">
              <a:solidFill>
                <a:sysClr val="windowText" lastClr="000000"/>
              </a:solidFill>
              <a:latin typeface="Meiryo UI" panose="020B0604030504040204" pitchFamily="50" charset="-128"/>
              <a:ea typeface="Meiryo UI" panose="020B0604030504040204" pitchFamily="50" charset="-128"/>
            </a:rPr>
            <a:t>S3にTXTを出力する</a:t>
          </a:r>
        </a:p>
      </xdr:txBody>
    </xdr:sp>
    <xdr:clientData/>
  </xdr:twoCellAnchor>
  <xdr:twoCellAnchor>
    <xdr:from>
      <xdr:col>13</xdr:col>
      <xdr:colOff>11906</xdr:colOff>
      <xdr:row>139</xdr:row>
      <xdr:rowOff>23812</xdr:rowOff>
    </xdr:from>
    <xdr:to>
      <xdr:col>18</xdr:col>
      <xdr:colOff>12568</xdr:colOff>
      <xdr:row>141</xdr:row>
      <xdr:rowOff>174858</xdr:rowOff>
    </xdr:to>
    <xdr:sp macro="" textlink="">
      <xdr:nvSpPr>
        <xdr:cNvPr id="5445" name="Cylinder 16">
          <a:extLst>
            <a:ext uri="{FF2B5EF4-FFF2-40B4-BE49-F238E27FC236}">
              <a16:creationId xmlns:a16="http://schemas.microsoft.com/office/drawing/2014/main" id="{29613134-88FF-4E49-90E2-EF245344FA08}"/>
            </a:ext>
          </a:extLst>
        </xdr:cNvPr>
        <xdr:cNvSpPr/>
      </xdr:nvSpPr>
      <xdr:spPr>
        <a:xfrm>
          <a:off x="3107531" y="26630312"/>
          <a:ext cx="1191287" cy="532046"/>
        </a:xfrm>
        <a:prstGeom prst="can">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600">
              <a:solidFill>
                <a:sysClr val="windowText" lastClr="000000"/>
              </a:solidFill>
              <a:latin typeface="Meiryo UI" panose="020B0604030504040204" pitchFamily="50" charset="-128"/>
              <a:ea typeface="Meiryo UI" panose="020B0604030504040204" pitchFamily="50" charset="-128"/>
            </a:rPr>
            <a:t>Replica</a:t>
          </a:r>
        </a:p>
        <a:p>
          <a:pPr algn="ctr"/>
          <a:r>
            <a:rPr lang="ja-JP" altLang="en-US" sz="600">
              <a:solidFill>
                <a:sysClr val="windowText" lastClr="000000"/>
              </a:solidFill>
              <a:latin typeface="Meiryo UI" panose="020B0604030504040204" pitchFamily="50" charset="-128"/>
              <a:ea typeface="Meiryo UI" panose="020B0604030504040204" pitchFamily="50" charset="-128"/>
            </a:rPr>
            <a:t>データベース</a:t>
          </a:r>
          <a:endParaRPr lang="en-GB" sz="6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xdr:col>
      <xdr:colOff>230188</xdr:colOff>
      <xdr:row>148</xdr:row>
      <xdr:rowOff>24606</xdr:rowOff>
    </xdr:from>
    <xdr:to>
      <xdr:col>11</xdr:col>
      <xdr:colOff>230188</xdr:colOff>
      <xdr:row>151</xdr:row>
      <xdr:rowOff>8732</xdr:rowOff>
    </xdr:to>
    <xdr:sp macro="" textlink="">
      <xdr:nvSpPr>
        <xdr:cNvPr id="5446" name="Decision 5445">
          <a:extLst>
            <a:ext uri="{FF2B5EF4-FFF2-40B4-BE49-F238E27FC236}">
              <a16:creationId xmlns:a16="http://schemas.microsoft.com/office/drawing/2014/main" id="{82187C07-42C7-F346-A454-67C222E3A595}"/>
            </a:ext>
          </a:extLst>
        </xdr:cNvPr>
        <xdr:cNvSpPr/>
      </xdr:nvSpPr>
      <xdr:spPr>
        <a:xfrm>
          <a:off x="1658938" y="28345606"/>
          <a:ext cx="1190625" cy="555626"/>
        </a:xfrm>
        <a:prstGeom prst="flowChartDecision">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エラー</a:t>
          </a:r>
        </a:p>
      </xdr:txBody>
    </xdr:sp>
    <xdr:clientData/>
  </xdr:twoCellAnchor>
  <xdr:twoCellAnchor>
    <xdr:from>
      <xdr:col>50</xdr:col>
      <xdr:colOff>9525</xdr:colOff>
      <xdr:row>148</xdr:row>
      <xdr:rowOff>20638</xdr:rowOff>
    </xdr:from>
    <xdr:to>
      <xdr:col>54</xdr:col>
      <xdr:colOff>245940</xdr:colOff>
      <xdr:row>151</xdr:row>
      <xdr:rowOff>12700</xdr:rowOff>
    </xdr:to>
    <xdr:sp macro="" textlink="">
      <xdr:nvSpPr>
        <xdr:cNvPr id="5447" name="Flowchart: Document 25">
          <a:extLst>
            <a:ext uri="{FF2B5EF4-FFF2-40B4-BE49-F238E27FC236}">
              <a16:creationId xmlns:a16="http://schemas.microsoft.com/office/drawing/2014/main" id="{F29A28C0-C9AD-3749-8328-CA4ABD3010BE}"/>
            </a:ext>
          </a:extLst>
        </xdr:cNvPr>
        <xdr:cNvSpPr/>
      </xdr:nvSpPr>
      <xdr:spPr>
        <a:xfrm>
          <a:off x="11931650" y="28341638"/>
          <a:ext cx="1188915" cy="563562"/>
        </a:xfrm>
        <a:prstGeom prst="flowChartDocumen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700">
              <a:solidFill>
                <a:sysClr val="windowText" lastClr="000000"/>
              </a:solidFill>
              <a:latin typeface="Meiryo UI" panose="020B0604030504040204" pitchFamily="50" charset="-128"/>
              <a:ea typeface="Meiryo UI" panose="020B0604030504040204" pitchFamily="50" charset="-128"/>
            </a:rPr>
            <a:t>エラーログ</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56</xdr:col>
      <xdr:colOff>23815</xdr:colOff>
      <xdr:row>148</xdr:row>
      <xdr:rowOff>24606</xdr:rowOff>
    </xdr:from>
    <xdr:to>
      <xdr:col>60</xdr:col>
      <xdr:colOff>230188</xdr:colOff>
      <xdr:row>150</xdr:row>
      <xdr:rowOff>183356</xdr:rowOff>
    </xdr:to>
    <xdr:sp macro="" textlink="">
      <xdr:nvSpPr>
        <xdr:cNvPr id="5448" name="Data 5447">
          <a:extLst>
            <a:ext uri="{FF2B5EF4-FFF2-40B4-BE49-F238E27FC236}">
              <a16:creationId xmlns:a16="http://schemas.microsoft.com/office/drawing/2014/main" id="{25DDAAF5-0FD2-A841-B74F-94179E017C7A}"/>
            </a:ext>
          </a:extLst>
        </xdr:cNvPr>
        <xdr:cNvSpPr/>
      </xdr:nvSpPr>
      <xdr:spPr>
        <a:xfrm>
          <a:off x="13390565" y="28345606"/>
          <a:ext cx="1135061" cy="539750"/>
        </a:xfrm>
        <a:prstGeom prst="flowChartInputOutpu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700">
              <a:solidFill>
                <a:sysClr val="windowText" lastClr="000000"/>
              </a:solidFill>
              <a:latin typeface="Meiryo UI" panose="020B0604030504040204" pitchFamily="34" charset="-128"/>
              <a:ea typeface="Meiryo UI" panose="020B0604030504040204" pitchFamily="34" charset="-128"/>
            </a:rPr>
            <a:t>メール送信</a:t>
          </a:r>
        </a:p>
      </xdr:txBody>
    </xdr:sp>
    <xdr:clientData/>
  </xdr:twoCellAnchor>
  <xdr:twoCellAnchor>
    <xdr:from>
      <xdr:col>54</xdr:col>
      <xdr:colOff>245940</xdr:colOff>
      <xdr:row>149</xdr:row>
      <xdr:rowOff>103981</xdr:rowOff>
    </xdr:from>
    <xdr:to>
      <xdr:col>56</xdr:col>
      <xdr:colOff>137321</xdr:colOff>
      <xdr:row>149</xdr:row>
      <xdr:rowOff>111919</xdr:rowOff>
    </xdr:to>
    <xdr:cxnSp macro="">
      <xdr:nvCxnSpPr>
        <xdr:cNvPr id="5449" name="Straight Arrow Connector 5448">
          <a:extLst>
            <a:ext uri="{FF2B5EF4-FFF2-40B4-BE49-F238E27FC236}">
              <a16:creationId xmlns:a16="http://schemas.microsoft.com/office/drawing/2014/main" id="{02530391-B028-7846-BDCD-857F99137139}"/>
            </a:ext>
          </a:extLst>
        </xdr:cNvPr>
        <xdr:cNvCxnSpPr>
          <a:cxnSpLocks/>
          <a:stCxn id="5447" idx="3"/>
          <a:endCxn id="5448" idx="2"/>
        </xdr:cNvCxnSpPr>
      </xdr:nvCxnSpPr>
      <xdr:spPr>
        <a:xfrm flipV="1">
          <a:off x="13120565" y="28615481"/>
          <a:ext cx="383506" cy="793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234488</xdr:colOff>
      <xdr:row>116</xdr:row>
      <xdr:rowOff>99217</xdr:rowOff>
    </xdr:from>
    <xdr:to>
      <xdr:col>50</xdr:col>
      <xdr:colOff>7938</xdr:colOff>
      <xdr:row>116</xdr:row>
      <xdr:rowOff>99217</xdr:rowOff>
    </xdr:to>
    <xdr:cxnSp macro="">
      <xdr:nvCxnSpPr>
        <xdr:cNvPr id="5450" name="Straight Arrow Connector 5449">
          <a:extLst>
            <a:ext uri="{FF2B5EF4-FFF2-40B4-BE49-F238E27FC236}">
              <a16:creationId xmlns:a16="http://schemas.microsoft.com/office/drawing/2014/main" id="{B9F9324E-FA01-5449-89BC-CFC398E5A90A}"/>
            </a:ext>
          </a:extLst>
        </xdr:cNvPr>
        <xdr:cNvCxnSpPr>
          <a:cxnSpLocks/>
          <a:stCxn id="5430" idx="3"/>
          <a:endCxn id="5431" idx="1"/>
        </xdr:cNvCxnSpPr>
      </xdr:nvCxnSpPr>
      <xdr:spPr>
        <a:xfrm>
          <a:off x="2853863" y="22324217"/>
          <a:ext cx="90762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230189</xdr:colOff>
      <xdr:row>126</xdr:row>
      <xdr:rowOff>99218</xdr:rowOff>
    </xdr:from>
    <xdr:to>
      <xdr:col>50</xdr:col>
      <xdr:colOff>15875</xdr:colOff>
      <xdr:row>126</xdr:row>
      <xdr:rowOff>99218</xdr:rowOff>
    </xdr:to>
    <xdr:cxnSp macro="">
      <xdr:nvCxnSpPr>
        <xdr:cNvPr id="5453" name="Straight Arrow Connector 5452">
          <a:extLst>
            <a:ext uri="{FF2B5EF4-FFF2-40B4-BE49-F238E27FC236}">
              <a16:creationId xmlns:a16="http://schemas.microsoft.com/office/drawing/2014/main" id="{953BADFA-F561-C24F-B89C-7E56697D8BA2}"/>
            </a:ext>
          </a:extLst>
        </xdr:cNvPr>
        <xdr:cNvCxnSpPr>
          <a:cxnSpLocks/>
          <a:stCxn id="5474" idx="3"/>
          <a:endCxn id="5441" idx="1"/>
        </xdr:cNvCxnSpPr>
      </xdr:nvCxnSpPr>
      <xdr:spPr>
        <a:xfrm>
          <a:off x="2849564" y="24229218"/>
          <a:ext cx="90884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230188</xdr:colOff>
      <xdr:row>149</xdr:row>
      <xdr:rowOff>111919</xdr:rowOff>
    </xdr:from>
    <xdr:to>
      <xdr:col>50</xdr:col>
      <xdr:colOff>9525</xdr:colOff>
      <xdr:row>149</xdr:row>
      <xdr:rowOff>111919</xdr:rowOff>
    </xdr:to>
    <xdr:cxnSp macro="">
      <xdr:nvCxnSpPr>
        <xdr:cNvPr id="5456" name="Straight Arrow Connector 5455">
          <a:extLst>
            <a:ext uri="{FF2B5EF4-FFF2-40B4-BE49-F238E27FC236}">
              <a16:creationId xmlns:a16="http://schemas.microsoft.com/office/drawing/2014/main" id="{5A80A592-B057-AE43-9A90-E5057A174421}"/>
            </a:ext>
          </a:extLst>
        </xdr:cNvPr>
        <xdr:cNvCxnSpPr>
          <a:cxnSpLocks/>
          <a:stCxn id="5446" idx="3"/>
          <a:endCxn id="5447" idx="1"/>
        </xdr:cNvCxnSpPr>
      </xdr:nvCxnSpPr>
      <xdr:spPr>
        <a:xfrm>
          <a:off x="2849563" y="28623419"/>
          <a:ext cx="9082087"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115094</xdr:colOff>
      <xdr:row>117</xdr:row>
      <xdr:rowOff>186525</xdr:rowOff>
    </xdr:from>
    <xdr:to>
      <xdr:col>9</xdr:col>
      <xdr:colOff>115095</xdr:colOff>
      <xdr:row>120</xdr:row>
      <xdr:rowOff>7937</xdr:rowOff>
    </xdr:to>
    <xdr:cxnSp macro="">
      <xdr:nvCxnSpPr>
        <xdr:cNvPr id="5459" name="Straight Arrow Connector 5458">
          <a:extLst>
            <a:ext uri="{FF2B5EF4-FFF2-40B4-BE49-F238E27FC236}">
              <a16:creationId xmlns:a16="http://schemas.microsoft.com/office/drawing/2014/main" id="{4F56FE61-6016-DF4E-A151-57C96AAC5113}"/>
            </a:ext>
          </a:extLst>
        </xdr:cNvPr>
        <xdr:cNvCxnSpPr>
          <a:cxnSpLocks/>
          <a:stCxn id="5430" idx="2"/>
          <a:endCxn id="5438" idx="0"/>
        </xdr:cNvCxnSpPr>
      </xdr:nvCxnSpPr>
      <xdr:spPr>
        <a:xfrm>
          <a:off x="2258219" y="22602025"/>
          <a:ext cx="1" cy="39291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115095</xdr:colOff>
      <xdr:row>122</xdr:row>
      <xdr:rowOff>184131</xdr:rowOff>
    </xdr:from>
    <xdr:to>
      <xdr:col>9</xdr:col>
      <xdr:colOff>115095</xdr:colOff>
      <xdr:row>125</xdr:row>
      <xdr:rowOff>11905</xdr:rowOff>
    </xdr:to>
    <xdr:cxnSp macro="">
      <xdr:nvCxnSpPr>
        <xdr:cNvPr id="5462" name="Straight Arrow Connector 5461">
          <a:extLst>
            <a:ext uri="{FF2B5EF4-FFF2-40B4-BE49-F238E27FC236}">
              <a16:creationId xmlns:a16="http://schemas.microsoft.com/office/drawing/2014/main" id="{3F99C7CB-B9CE-AB4D-9E24-70A62A46BA05}"/>
            </a:ext>
          </a:extLst>
        </xdr:cNvPr>
        <xdr:cNvCxnSpPr>
          <a:cxnSpLocks/>
          <a:stCxn id="5438" idx="2"/>
          <a:endCxn id="5474" idx="0"/>
        </xdr:cNvCxnSpPr>
      </xdr:nvCxnSpPr>
      <xdr:spPr>
        <a:xfrm>
          <a:off x="2258220" y="23552131"/>
          <a:ext cx="0" cy="39927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115095</xdr:colOff>
      <xdr:row>133</xdr:row>
      <xdr:rowOff>1</xdr:rowOff>
    </xdr:from>
    <xdr:to>
      <xdr:col>9</xdr:col>
      <xdr:colOff>115095</xdr:colOff>
      <xdr:row>139</xdr:row>
      <xdr:rowOff>9525</xdr:rowOff>
    </xdr:to>
    <xdr:cxnSp macro="">
      <xdr:nvCxnSpPr>
        <xdr:cNvPr id="5465" name="Straight Arrow Connector 5464">
          <a:extLst>
            <a:ext uri="{FF2B5EF4-FFF2-40B4-BE49-F238E27FC236}">
              <a16:creationId xmlns:a16="http://schemas.microsoft.com/office/drawing/2014/main" id="{DA120E5F-4055-8142-9F20-EF8BE0C21559}"/>
            </a:ext>
          </a:extLst>
        </xdr:cNvPr>
        <xdr:cNvCxnSpPr>
          <a:cxnSpLocks/>
          <a:stCxn id="5440" idx="2"/>
          <a:endCxn id="5444" idx="0"/>
        </xdr:cNvCxnSpPr>
      </xdr:nvCxnSpPr>
      <xdr:spPr>
        <a:xfrm>
          <a:off x="2258220" y="25463501"/>
          <a:ext cx="0" cy="115252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111126</xdr:colOff>
      <xdr:row>141</xdr:row>
      <xdr:rowOff>185719</xdr:rowOff>
    </xdr:from>
    <xdr:to>
      <xdr:col>9</xdr:col>
      <xdr:colOff>115095</xdr:colOff>
      <xdr:row>148</xdr:row>
      <xdr:rowOff>24606</xdr:rowOff>
    </xdr:to>
    <xdr:cxnSp macro="">
      <xdr:nvCxnSpPr>
        <xdr:cNvPr id="5468" name="Straight Arrow Connector 5467">
          <a:extLst>
            <a:ext uri="{FF2B5EF4-FFF2-40B4-BE49-F238E27FC236}">
              <a16:creationId xmlns:a16="http://schemas.microsoft.com/office/drawing/2014/main" id="{856AA2A6-D03C-9D43-8CF0-6092CC7E3AD6}"/>
            </a:ext>
          </a:extLst>
        </xdr:cNvPr>
        <xdr:cNvCxnSpPr>
          <a:cxnSpLocks/>
          <a:stCxn id="5444" idx="2"/>
          <a:endCxn id="5446" idx="0"/>
        </xdr:cNvCxnSpPr>
      </xdr:nvCxnSpPr>
      <xdr:spPr>
        <a:xfrm flipH="1">
          <a:off x="2254251" y="27173219"/>
          <a:ext cx="3969" cy="117238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234488</xdr:colOff>
      <xdr:row>121</xdr:row>
      <xdr:rowOff>96034</xdr:rowOff>
    </xdr:from>
    <xdr:to>
      <xdr:col>13</xdr:col>
      <xdr:colOff>11906</xdr:colOff>
      <xdr:row>121</xdr:row>
      <xdr:rowOff>96034</xdr:rowOff>
    </xdr:to>
    <xdr:cxnSp macro="">
      <xdr:nvCxnSpPr>
        <xdr:cNvPr id="5471" name="Straight Arrow Connector 5470">
          <a:extLst>
            <a:ext uri="{FF2B5EF4-FFF2-40B4-BE49-F238E27FC236}">
              <a16:creationId xmlns:a16="http://schemas.microsoft.com/office/drawing/2014/main" id="{62D4737D-EF4E-C748-AA0C-A5AF59534512}"/>
            </a:ext>
          </a:extLst>
        </xdr:cNvPr>
        <xdr:cNvCxnSpPr>
          <a:cxnSpLocks/>
          <a:stCxn id="5438" idx="3"/>
          <a:endCxn id="5439" idx="2"/>
        </xdr:cNvCxnSpPr>
      </xdr:nvCxnSpPr>
      <xdr:spPr>
        <a:xfrm>
          <a:off x="2853863" y="23273534"/>
          <a:ext cx="253668"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xdr:colOff>
      <xdr:row>125</xdr:row>
      <xdr:rowOff>11905</xdr:rowOff>
    </xdr:from>
    <xdr:to>
      <xdr:col>11</xdr:col>
      <xdr:colOff>230189</xdr:colOff>
      <xdr:row>127</xdr:row>
      <xdr:rowOff>186531</xdr:rowOff>
    </xdr:to>
    <xdr:sp macro="" textlink="">
      <xdr:nvSpPr>
        <xdr:cNvPr id="5474" name="Decision 5473">
          <a:extLst>
            <a:ext uri="{FF2B5EF4-FFF2-40B4-BE49-F238E27FC236}">
              <a16:creationId xmlns:a16="http://schemas.microsoft.com/office/drawing/2014/main" id="{5B43FFA1-8A1E-6641-A4AB-0B580FC5071F}"/>
            </a:ext>
          </a:extLst>
        </xdr:cNvPr>
        <xdr:cNvSpPr/>
      </xdr:nvSpPr>
      <xdr:spPr>
        <a:xfrm>
          <a:off x="1666876" y="23951405"/>
          <a:ext cx="1182688" cy="555626"/>
        </a:xfrm>
        <a:prstGeom prst="flowChartDecision">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エラー</a:t>
          </a:r>
        </a:p>
      </xdr:txBody>
    </xdr:sp>
    <xdr:clientData/>
  </xdr:twoCellAnchor>
  <xdr:twoCellAnchor>
    <xdr:from>
      <xdr:col>9</xdr:col>
      <xdr:colOff>115095</xdr:colOff>
      <xdr:row>127</xdr:row>
      <xdr:rowOff>186531</xdr:rowOff>
    </xdr:from>
    <xdr:to>
      <xdr:col>9</xdr:col>
      <xdr:colOff>115095</xdr:colOff>
      <xdr:row>130</xdr:row>
      <xdr:rowOff>15875</xdr:rowOff>
    </xdr:to>
    <xdr:cxnSp macro="">
      <xdr:nvCxnSpPr>
        <xdr:cNvPr id="5476" name="Straight Arrow Connector 5475">
          <a:extLst>
            <a:ext uri="{FF2B5EF4-FFF2-40B4-BE49-F238E27FC236}">
              <a16:creationId xmlns:a16="http://schemas.microsoft.com/office/drawing/2014/main" id="{F3F784C3-D8C3-B541-B371-CD884568F66F}"/>
            </a:ext>
          </a:extLst>
        </xdr:cNvPr>
        <xdr:cNvCxnSpPr>
          <a:cxnSpLocks/>
          <a:stCxn id="5474" idx="2"/>
          <a:endCxn id="5440" idx="0"/>
        </xdr:cNvCxnSpPr>
      </xdr:nvCxnSpPr>
      <xdr:spPr>
        <a:xfrm>
          <a:off x="2258220" y="24507031"/>
          <a:ext cx="0" cy="40084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28112</xdr:colOff>
      <xdr:row>134</xdr:row>
      <xdr:rowOff>15876</xdr:rowOff>
    </xdr:from>
    <xdr:to>
      <xdr:col>17</xdr:col>
      <xdr:colOff>234487</xdr:colOff>
      <xdr:row>135</xdr:row>
      <xdr:rowOff>174626</xdr:rowOff>
    </xdr:to>
    <xdr:sp macro="" textlink="">
      <xdr:nvSpPr>
        <xdr:cNvPr id="5479" name="Flowchart: Terminator 109">
          <a:extLst>
            <a:ext uri="{FF2B5EF4-FFF2-40B4-BE49-F238E27FC236}">
              <a16:creationId xmlns:a16="http://schemas.microsoft.com/office/drawing/2014/main" id="{62CBFD44-388C-F64D-8506-78F69CE1BF3C}"/>
            </a:ext>
          </a:extLst>
        </xdr:cNvPr>
        <xdr:cNvSpPr/>
      </xdr:nvSpPr>
      <xdr:spPr>
        <a:xfrm>
          <a:off x="3123737" y="25669876"/>
          <a:ext cx="1158875" cy="349250"/>
        </a:xfrm>
        <a:prstGeom prst="flowChartTerminator">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700">
              <a:solidFill>
                <a:sysClr val="windowText" lastClr="000000"/>
              </a:solidFill>
              <a:latin typeface="Meiryo UI" panose="020B0604030504040204" pitchFamily="50" charset="-128"/>
              <a:ea typeface="Meiryo UI" panose="020B0604030504040204" pitchFamily="50" charset="-128"/>
            </a:rPr>
            <a:t>終了</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11</xdr:col>
      <xdr:colOff>230189</xdr:colOff>
      <xdr:row>131</xdr:row>
      <xdr:rowOff>103188</xdr:rowOff>
    </xdr:from>
    <xdr:to>
      <xdr:col>15</xdr:col>
      <xdr:colOff>131300</xdr:colOff>
      <xdr:row>134</xdr:row>
      <xdr:rowOff>15876</xdr:rowOff>
    </xdr:to>
    <xdr:cxnSp macro="">
      <xdr:nvCxnSpPr>
        <xdr:cNvPr id="5480" name="Elbow Connector 5479">
          <a:extLst>
            <a:ext uri="{FF2B5EF4-FFF2-40B4-BE49-F238E27FC236}">
              <a16:creationId xmlns:a16="http://schemas.microsoft.com/office/drawing/2014/main" id="{3DE522CA-851A-DE47-8E63-B881F0CC42E0}"/>
            </a:ext>
          </a:extLst>
        </xdr:cNvPr>
        <xdr:cNvCxnSpPr>
          <a:stCxn id="5440" idx="3"/>
          <a:endCxn id="5479" idx="0"/>
        </xdr:cNvCxnSpPr>
      </xdr:nvCxnSpPr>
      <xdr:spPr>
        <a:xfrm>
          <a:off x="2849564" y="25185688"/>
          <a:ext cx="853611" cy="484188"/>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234488</xdr:colOff>
      <xdr:row>140</xdr:row>
      <xdr:rowOff>97622</xdr:rowOff>
    </xdr:from>
    <xdr:to>
      <xdr:col>13</xdr:col>
      <xdr:colOff>11906</xdr:colOff>
      <xdr:row>140</xdr:row>
      <xdr:rowOff>99335</xdr:rowOff>
    </xdr:to>
    <xdr:cxnSp macro="">
      <xdr:nvCxnSpPr>
        <xdr:cNvPr id="5488" name="Straight Arrow Connector 5487">
          <a:extLst>
            <a:ext uri="{FF2B5EF4-FFF2-40B4-BE49-F238E27FC236}">
              <a16:creationId xmlns:a16="http://schemas.microsoft.com/office/drawing/2014/main" id="{9A42DC25-FD65-9949-AD95-EC92DD19329F}"/>
            </a:ext>
          </a:extLst>
        </xdr:cNvPr>
        <xdr:cNvCxnSpPr>
          <a:cxnSpLocks/>
          <a:stCxn id="5445" idx="2"/>
          <a:endCxn id="5444" idx="3"/>
        </xdr:cNvCxnSpPr>
      </xdr:nvCxnSpPr>
      <xdr:spPr>
        <a:xfrm flipH="1" flipV="1">
          <a:off x="2853863" y="26894622"/>
          <a:ext cx="253668" cy="171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7936</xdr:colOff>
      <xdr:row>144</xdr:row>
      <xdr:rowOff>23812</xdr:rowOff>
    </xdr:from>
    <xdr:to>
      <xdr:col>23</xdr:col>
      <xdr:colOff>230186</xdr:colOff>
      <xdr:row>146</xdr:row>
      <xdr:rowOff>182734</xdr:rowOff>
    </xdr:to>
    <xdr:sp macro="" textlink="">
      <xdr:nvSpPr>
        <xdr:cNvPr id="5491" name="Flowchart: Card 34">
          <a:extLst>
            <a:ext uri="{FF2B5EF4-FFF2-40B4-BE49-F238E27FC236}">
              <a16:creationId xmlns:a16="http://schemas.microsoft.com/office/drawing/2014/main" id="{0CABB07D-09F7-0C4D-AAE4-5BF0E460F674}"/>
            </a:ext>
          </a:extLst>
        </xdr:cNvPr>
        <xdr:cNvSpPr/>
      </xdr:nvSpPr>
      <xdr:spPr>
        <a:xfrm>
          <a:off x="4532311" y="27582812"/>
          <a:ext cx="1174750" cy="539922"/>
        </a:xfrm>
        <a:prstGeom prst="flowChartPunchedCard">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700">
              <a:solidFill>
                <a:sysClr val="windowText" lastClr="000000"/>
              </a:solidFill>
              <a:latin typeface="Meiryo UI" panose="020B0604030504040204" pitchFamily="50" charset="-128"/>
              <a:ea typeface="Meiryo UI" panose="020B0604030504040204" pitchFamily="50" charset="-128"/>
            </a:rPr>
            <a:t>SHOHIN/ESLDATA</a:t>
          </a:r>
          <a:r>
            <a:rPr lang="ja-JP" altLang="en-US" sz="700">
              <a:solidFill>
                <a:sysClr val="windowText" lastClr="000000"/>
              </a:solidFill>
              <a:latin typeface="Meiryo UI" panose="020B0604030504040204" pitchFamily="50" charset="-128"/>
              <a:ea typeface="Meiryo UI" panose="020B0604030504040204" pitchFamily="50" charset="-128"/>
            </a:rPr>
            <a:t>ファイル</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9</xdr:col>
      <xdr:colOff>115094</xdr:colOff>
      <xdr:row>141</xdr:row>
      <xdr:rowOff>185719</xdr:rowOff>
    </xdr:from>
    <xdr:to>
      <xdr:col>19</xdr:col>
      <xdr:colOff>7935</xdr:colOff>
      <xdr:row>145</xdr:row>
      <xdr:rowOff>103273</xdr:rowOff>
    </xdr:to>
    <xdr:cxnSp macro="">
      <xdr:nvCxnSpPr>
        <xdr:cNvPr id="5492" name="Elbow Connector 5491">
          <a:extLst>
            <a:ext uri="{FF2B5EF4-FFF2-40B4-BE49-F238E27FC236}">
              <a16:creationId xmlns:a16="http://schemas.microsoft.com/office/drawing/2014/main" id="{85487DDB-F344-5E4A-8210-697F81457319}"/>
            </a:ext>
          </a:extLst>
        </xdr:cNvPr>
        <xdr:cNvCxnSpPr>
          <a:stCxn id="5444" idx="2"/>
          <a:endCxn id="5491" idx="1"/>
        </xdr:cNvCxnSpPr>
      </xdr:nvCxnSpPr>
      <xdr:spPr>
        <a:xfrm rot="16200000" flipH="1">
          <a:off x="3055488" y="26375950"/>
          <a:ext cx="679554" cy="2274091"/>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233826</xdr:colOff>
      <xdr:row>153</xdr:row>
      <xdr:rowOff>15875</xdr:rowOff>
    </xdr:from>
    <xdr:to>
      <xdr:col>11</xdr:col>
      <xdr:colOff>234488</xdr:colOff>
      <xdr:row>156</xdr:row>
      <xdr:rowOff>1569</xdr:rowOff>
    </xdr:to>
    <xdr:sp macro="" textlink="">
      <xdr:nvSpPr>
        <xdr:cNvPr id="5495" name="Rectangle 5494">
          <a:extLst>
            <a:ext uri="{FF2B5EF4-FFF2-40B4-BE49-F238E27FC236}">
              <a16:creationId xmlns:a16="http://schemas.microsoft.com/office/drawing/2014/main" id="{5DA0AF81-AB4A-1842-8C85-7D74D539B7F2}"/>
            </a:ext>
          </a:extLst>
        </xdr:cNvPr>
        <xdr:cNvSpPr/>
      </xdr:nvSpPr>
      <xdr:spPr>
        <a:xfrm>
          <a:off x="1662576" y="29289375"/>
          <a:ext cx="1191287" cy="55719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700">
              <a:solidFill>
                <a:sysClr val="windowText" lastClr="000000"/>
              </a:solidFill>
              <a:latin typeface="Meiryo UI" panose="020B0604030504040204" pitchFamily="50" charset="-128"/>
              <a:ea typeface="Meiryo UI" panose="020B0604030504040204" pitchFamily="50" charset="-128"/>
            </a:rPr>
            <a:t>送信日時でTXTファイルを分ける</a:t>
          </a:r>
        </a:p>
      </xdr:txBody>
    </xdr:sp>
    <xdr:clientData/>
  </xdr:twoCellAnchor>
  <xdr:twoCellAnchor>
    <xdr:from>
      <xdr:col>6</xdr:col>
      <xdr:colOff>233826</xdr:colOff>
      <xdr:row>158</xdr:row>
      <xdr:rowOff>9525</xdr:rowOff>
    </xdr:from>
    <xdr:to>
      <xdr:col>11</xdr:col>
      <xdr:colOff>234488</xdr:colOff>
      <xdr:row>160</xdr:row>
      <xdr:rowOff>185719</xdr:rowOff>
    </xdr:to>
    <xdr:sp macro="" textlink="">
      <xdr:nvSpPr>
        <xdr:cNvPr id="5496" name="Rectangle 5495">
          <a:extLst>
            <a:ext uri="{FF2B5EF4-FFF2-40B4-BE49-F238E27FC236}">
              <a16:creationId xmlns:a16="http://schemas.microsoft.com/office/drawing/2014/main" id="{92D7E168-EFF5-1540-BBBB-8859F46238A7}"/>
            </a:ext>
          </a:extLst>
        </xdr:cNvPr>
        <xdr:cNvSpPr/>
      </xdr:nvSpPr>
      <xdr:spPr>
        <a:xfrm>
          <a:off x="1662576" y="30235525"/>
          <a:ext cx="1191287" cy="55719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700">
              <a:solidFill>
                <a:sysClr val="windowText" lastClr="000000"/>
              </a:solidFill>
              <a:latin typeface="Meiryo UI" panose="020B0604030504040204" pitchFamily="50" charset="-128"/>
              <a:ea typeface="Meiryo UI" panose="020B0604030504040204" pitchFamily="50" charset="-128"/>
            </a:rPr>
            <a:t>送信スケジュールを設定する</a:t>
          </a:r>
        </a:p>
      </xdr:txBody>
    </xdr:sp>
    <xdr:clientData/>
  </xdr:twoCellAnchor>
  <xdr:twoCellAnchor>
    <xdr:from>
      <xdr:col>6</xdr:col>
      <xdr:colOff>230188</xdr:colOff>
      <xdr:row>167</xdr:row>
      <xdr:rowOff>21431</xdr:rowOff>
    </xdr:from>
    <xdr:to>
      <xdr:col>11</xdr:col>
      <xdr:colOff>230188</xdr:colOff>
      <xdr:row>170</xdr:row>
      <xdr:rowOff>5557</xdr:rowOff>
    </xdr:to>
    <xdr:sp macro="" textlink="">
      <xdr:nvSpPr>
        <xdr:cNvPr id="5497" name="Decision 5496">
          <a:extLst>
            <a:ext uri="{FF2B5EF4-FFF2-40B4-BE49-F238E27FC236}">
              <a16:creationId xmlns:a16="http://schemas.microsoft.com/office/drawing/2014/main" id="{E92DA7A7-F64A-BA4D-AD7F-2C2BA11AA6DF}"/>
            </a:ext>
          </a:extLst>
        </xdr:cNvPr>
        <xdr:cNvSpPr/>
      </xdr:nvSpPr>
      <xdr:spPr>
        <a:xfrm>
          <a:off x="1658938" y="31961931"/>
          <a:ext cx="1190625" cy="555626"/>
        </a:xfrm>
        <a:prstGeom prst="flowChartDecision">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エラー</a:t>
          </a:r>
        </a:p>
      </xdr:txBody>
    </xdr:sp>
    <xdr:clientData/>
  </xdr:twoCellAnchor>
  <xdr:twoCellAnchor>
    <xdr:from>
      <xdr:col>50</xdr:col>
      <xdr:colOff>17462</xdr:colOff>
      <xdr:row>167</xdr:row>
      <xdr:rowOff>17463</xdr:rowOff>
    </xdr:from>
    <xdr:to>
      <xdr:col>54</xdr:col>
      <xdr:colOff>253877</xdr:colOff>
      <xdr:row>170</xdr:row>
      <xdr:rowOff>9525</xdr:rowOff>
    </xdr:to>
    <xdr:sp macro="" textlink="">
      <xdr:nvSpPr>
        <xdr:cNvPr id="5498" name="Flowchart: Document 25">
          <a:extLst>
            <a:ext uri="{FF2B5EF4-FFF2-40B4-BE49-F238E27FC236}">
              <a16:creationId xmlns:a16="http://schemas.microsoft.com/office/drawing/2014/main" id="{95B3F859-DD97-5843-8AA1-B29D7F3879A4}"/>
            </a:ext>
          </a:extLst>
        </xdr:cNvPr>
        <xdr:cNvSpPr/>
      </xdr:nvSpPr>
      <xdr:spPr>
        <a:xfrm>
          <a:off x="11939587" y="31957963"/>
          <a:ext cx="1188915" cy="563562"/>
        </a:xfrm>
        <a:prstGeom prst="flowChartDocumen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700">
              <a:solidFill>
                <a:sysClr val="windowText" lastClr="000000"/>
              </a:solidFill>
              <a:latin typeface="Meiryo UI" panose="020B0604030504040204" pitchFamily="50" charset="-128"/>
              <a:ea typeface="Meiryo UI" panose="020B0604030504040204" pitchFamily="50" charset="-128"/>
            </a:rPr>
            <a:t>エラーログ</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56</xdr:col>
      <xdr:colOff>31752</xdr:colOff>
      <xdr:row>167</xdr:row>
      <xdr:rowOff>29369</xdr:rowOff>
    </xdr:from>
    <xdr:to>
      <xdr:col>61</xdr:col>
      <xdr:colOff>0</xdr:colOff>
      <xdr:row>169</xdr:row>
      <xdr:rowOff>188119</xdr:rowOff>
    </xdr:to>
    <xdr:sp macro="" textlink="">
      <xdr:nvSpPr>
        <xdr:cNvPr id="5499" name="Data 5498">
          <a:extLst>
            <a:ext uri="{FF2B5EF4-FFF2-40B4-BE49-F238E27FC236}">
              <a16:creationId xmlns:a16="http://schemas.microsoft.com/office/drawing/2014/main" id="{989390D4-9BBD-9A4D-A79E-618532E0D525}"/>
            </a:ext>
          </a:extLst>
        </xdr:cNvPr>
        <xdr:cNvSpPr/>
      </xdr:nvSpPr>
      <xdr:spPr>
        <a:xfrm>
          <a:off x="13398502" y="31969869"/>
          <a:ext cx="1135061" cy="539750"/>
        </a:xfrm>
        <a:prstGeom prst="flowChartInputOutpu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700">
              <a:solidFill>
                <a:sysClr val="windowText" lastClr="000000"/>
              </a:solidFill>
              <a:latin typeface="Meiryo UI" panose="020B0604030504040204" pitchFamily="34" charset="-128"/>
              <a:ea typeface="Meiryo UI" panose="020B0604030504040204" pitchFamily="34" charset="-128"/>
            </a:rPr>
            <a:t>メール送信</a:t>
          </a:r>
        </a:p>
      </xdr:txBody>
    </xdr:sp>
    <xdr:clientData/>
  </xdr:twoCellAnchor>
  <xdr:twoCellAnchor>
    <xdr:from>
      <xdr:col>54</xdr:col>
      <xdr:colOff>253877</xdr:colOff>
      <xdr:row>168</xdr:row>
      <xdr:rowOff>108744</xdr:rowOff>
    </xdr:from>
    <xdr:to>
      <xdr:col>56</xdr:col>
      <xdr:colOff>145258</xdr:colOff>
      <xdr:row>168</xdr:row>
      <xdr:rowOff>108744</xdr:rowOff>
    </xdr:to>
    <xdr:cxnSp macro="">
      <xdr:nvCxnSpPr>
        <xdr:cNvPr id="5500" name="Straight Arrow Connector 5499">
          <a:extLst>
            <a:ext uri="{FF2B5EF4-FFF2-40B4-BE49-F238E27FC236}">
              <a16:creationId xmlns:a16="http://schemas.microsoft.com/office/drawing/2014/main" id="{BECD6FF9-D265-6B4B-858B-0629CC539146}"/>
            </a:ext>
          </a:extLst>
        </xdr:cNvPr>
        <xdr:cNvCxnSpPr>
          <a:cxnSpLocks/>
          <a:stCxn id="5498" idx="3"/>
          <a:endCxn id="5499" idx="2"/>
        </xdr:cNvCxnSpPr>
      </xdr:nvCxnSpPr>
      <xdr:spPr>
        <a:xfrm>
          <a:off x="13128502" y="32239744"/>
          <a:ext cx="38350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233825</xdr:colOff>
      <xdr:row>172</xdr:row>
      <xdr:rowOff>17866</xdr:rowOff>
    </xdr:from>
    <xdr:to>
      <xdr:col>11</xdr:col>
      <xdr:colOff>234488</xdr:colOff>
      <xdr:row>175</xdr:row>
      <xdr:rowOff>1982</xdr:rowOff>
    </xdr:to>
    <xdr:sp macro="" textlink="">
      <xdr:nvSpPr>
        <xdr:cNvPr id="5501" name="Rectangle 5500">
          <a:extLst>
            <a:ext uri="{FF2B5EF4-FFF2-40B4-BE49-F238E27FC236}">
              <a16:creationId xmlns:a16="http://schemas.microsoft.com/office/drawing/2014/main" id="{5391970D-AC2A-DE48-9F9E-22D2DFEDD5F1}"/>
            </a:ext>
          </a:extLst>
        </xdr:cNvPr>
        <xdr:cNvSpPr/>
      </xdr:nvSpPr>
      <xdr:spPr>
        <a:xfrm>
          <a:off x="1662575" y="32910866"/>
          <a:ext cx="1191288" cy="555616"/>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700">
              <a:solidFill>
                <a:sysClr val="windowText" lastClr="000000"/>
              </a:solidFill>
              <a:latin typeface="Meiryo UI" panose="020B0604030504040204" pitchFamily="50" charset="-128"/>
              <a:ea typeface="Meiryo UI" panose="020B0604030504040204" pitchFamily="50" charset="-128"/>
            </a:rPr>
            <a:t>処理終了</a:t>
          </a:r>
        </a:p>
      </xdr:txBody>
    </xdr:sp>
    <xdr:clientData/>
  </xdr:twoCellAnchor>
  <xdr:twoCellAnchor>
    <xdr:from>
      <xdr:col>7</xdr:col>
      <xdr:colOff>11907</xdr:colOff>
      <xdr:row>177</xdr:row>
      <xdr:rowOff>19840</xdr:rowOff>
    </xdr:from>
    <xdr:to>
      <xdr:col>11</xdr:col>
      <xdr:colOff>218282</xdr:colOff>
      <xdr:row>178</xdr:row>
      <xdr:rowOff>186528</xdr:rowOff>
    </xdr:to>
    <xdr:sp macro="" textlink="">
      <xdr:nvSpPr>
        <xdr:cNvPr id="5502" name="Flowchart: Terminator 109">
          <a:extLst>
            <a:ext uri="{FF2B5EF4-FFF2-40B4-BE49-F238E27FC236}">
              <a16:creationId xmlns:a16="http://schemas.microsoft.com/office/drawing/2014/main" id="{F62A3886-0654-7848-8419-446306E9F82D}"/>
            </a:ext>
          </a:extLst>
        </xdr:cNvPr>
        <xdr:cNvSpPr/>
      </xdr:nvSpPr>
      <xdr:spPr>
        <a:xfrm>
          <a:off x="1678782" y="33865340"/>
          <a:ext cx="1158875" cy="357188"/>
        </a:xfrm>
        <a:prstGeom prst="flowChartTerminator">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700">
              <a:solidFill>
                <a:sysClr val="windowText" lastClr="000000"/>
              </a:solidFill>
              <a:latin typeface="Meiryo UI" panose="020B0604030504040204" pitchFamily="50" charset="-128"/>
              <a:ea typeface="Meiryo UI" panose="020B0604030504040204" pitchFamily="50" charset="-128"/>
            </a:rPr>
            <a:t>終了</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50</xdr:col>
      <xdr:colOff>12238</xdr:colOff>
      <xdr:row>172</xdr:row>
      <xdr:rowOff>13893</xdr:rowOff>
    </xdr:from>
    <xdr:to>
      <xdr:col>54</xdr:col>
      <xdr:colOff>248653</xdr:colOff>
      <xdr:row>175</xdr:row>
      <xdr:rowOff>5955</xdr:rowOff>
    </xdr:to>
    <xdr:sp macro="" textlink="">
      <xdr:nvSpPr>
        <xdr:cNvPr id="5503" name="Flowchart: Document 25">
          <a:extLst>
            <a:ext uri="{FF2B5EF4-FFF2-40B4-BE49-F238E27FC236}">
              <a16:creationId xmlns:a16="http://schemas.microsoft.com/office/drawing/2014/main" id="{F7116463-6FB5-E247-A20E-82A6D4D2B02D}"/>
            </a:ext>
          </a:extLst>
        </xdr:cNvPr>
        <xdr:cNvSpPr/>
      </xdr:nvSpPr>
      <xdr:spPr>
        <a:xfrm>
          <a:off x="11934363" y="32906893"/>
          <a:ext cx="1188915" cy="563562"/>
        </a:xfrm>
        <a:prstGeom prst="flowChartDocumen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700">
              <a:solidFill>
                <a:sysClr val="windowText" lastClr="000000"/>
              </a:solidFill>
              <a:latin typeface="Meiryo UI" panose="020B0604030504040204" pitchFamily="50" charset="-128"/>
              <a:ea typeface="Meiryo UI" panose="020B0604030504040204" pitchFamily="50" charset="-128"/>
            </a:rPr>
            <a:t>アプリログ</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11</xdr:col>
      <xdr:colOff>234488</xdr:colOff>
      <xdr:row>173</xdr:row>
      <xdr:rowOff>105174</xdr:rowOff>
    </xdr:from>
    <xdr:to>
      <xdr:col>50</xdr:col>
      <xdr:colOff>12238</xdr:colOff>
      <xdr:row>173</xdr:row>
      <xdr:rowOff>105174</xdr:rowOff>
    </xdr:to>
    <xdr:cxnSp macro="">
      <xdr:nvCxnSpPr>
        <xdr:cNvPr id="5504" name="Straight Arrow Connector 5503">
          <a:extLst>
            <a:ext uri="{FF2B5EF4-FFF2-40B4-BE49-F238E27FC236}">
              <a16:creationId xmlns:a16="http://schemas.microsoft.com/office/drawing/2014/main" id="{CB938974-7FBE-1746-9E1B-8A01677BD377}"/>
            </a:ext>
          </a:extLst>
        </xdr:cNvPr>
        <xdr:cNvCxnSpPr>
          <a:cxnSpLocks/>
          <a:stCxn id="5501" idx="3"/>
          <a:endCxn id="5503" idx="1"/>
        </xdr:cNvCxnSpPr>
      </xdr:nvCxnSpPr>
      <xdr:spPr>
        <a:xfrm>
          <a:off x="2853863" y="33188674"/>
          <a:ext cx="90805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111126</xdr:colOff>
      <xdr:row>151</xdr:row>
      <xdr:rowOff>8732</xdr:rowOff>
    </xdr:from>
    <xdr:to>
      <xdr:col>9</xdr:col>
      <xdr:colOff>115095</xdr:colOff>
      <xdr:row>153</xdr:row>
      <xdr:rowOff>15875</xdr:rowOff>
    </xdr:to>
    <xdr:cxnSp macro="">
      <xdr:nvCxnSpPr>
        <xdr:cNvPr id="5508" name="Straight Arrow Connector 5507">
          <a:extLst>
            <a:ext uri="{FF2B5EF4-FFF2-40B4-BE49-F238E27FC236}">
              <a16:creationId xmlns:a16="http://schemas.microsoft.com/office/drawing/2014/main" id="{774A1FD4-80A9-8B42-92BA-5547630179D3}"/>
            </a:ext>
          </a:extLst>
        </xdr:cNvPr>
        <xdr:cNvCxnSpPr>
          <a:cxnSpLocks/>
          <a:stCxn id="5446" idx="2"/>
          <a:endCxn id="5495" idx="0"/>
        </xdr:cNvCxnSpPr>
      </xdr:nvCxnSpPr>
      <xdr:spPr>
        <a:xfrm>
          <a:off x="2254251" y="28901232"/>
          <a:ext cx="3969" cy="38814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115095</xdr:colOff>
      <xdr:row>156</xdr:row>
      <xdr:rowOff>1569</xdr:rowOff>
    </xdr:from>
    <xdr:to>
      <xdr:col>9</xdr:col>
      <xdr:colOff>115095</xdr:colOff>
      <xdr:row>158</xdr:row>
      <xdr:rowOff>9525</xdr:rowOff>
    </xdr:to>
    <xdr:cxnSp macro="">
      <xdr:nvCxnSpPr>
        <xdr:cNvPr id="5511" name="Straight Arrow Connector 5510">
          <a:extLst>
            <a:ext uri="{FF2B5EF4-FFF2-40B4-BE49-F238E27FC236}">
              <a16:creationId xmlns:a16="http://schemas.microsoft.com/office/drawing/2014/main" id="{CC1F7F78-5980-0A4C-A65A-14D048BD082E}"/>
            </a:ext>
          </a:extLst>
        </xdr:cNvPr>
        <xdr:cNvCxnSpPr>
          <a:cxnSpLocks/>
          <a:stCxn id="5495" idx="2"/>
          <a:endCxn id="5496" idx="0"/>
        </xdr:cNvCxnSpPr>
      </xdr:nvCxnSpPr>
      <xdr:spPr>
        <a:xfrm>
          <a:off x="2258220" y="29846569"/>
          <a:ext cx="0" cy="38895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111126</xdr:colOff>
      <xdr:row>160</xdr:row>
      <xdr:rowOff>185719</xdr:rowOff>
    </xdr:from>
    <xdr:to>
      <xdr:col>9</xdr:col>
      <xdr:colOff>115095</xdr:colOff>
      <xdr:row>167</xdr:row>
      <xdr:rowOff>21431</xdr:rowOff>
    </xdr:to>
    <xdr:cxnSp macro="">
      <xdr:nvCxnSpPr>
        <xdr:cNvPr id="5514" name="Straight Arrow Connector 5513">
          <a:extLst>
            <a:ext uri="{FF2B5EF4-FFF2-40B4-BE49-F238E27FC236}">
              <a16:creationId xmlns:a16="http://schemas.microsoft.com/office/drawing/2014/main" id="{1C24FF0C-F89C-0F4B-BC74-1E121EECF8FD}"/>
            </a:ext>
          </a:extLst>
        </xdr:cNvPr>
        <xdr:cNvCxnSpPr>
          <a:cxnSpLocks/>
          <a:stCxn id="5496" idx="2"/>
          <a:endCxn id="5497" idx="0"/>
        </xdr:cNvCxnSpPr>
      </xdr:nvCxnSpPr>
      <xdr:spPr>
        <a:xfrm flipH="1">
          <a:off x="2254251" y="30792719"/>
          <a:ext cx="3969" cy="116921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111126</xdr:colOff>
      <xdr:row>170</xdr:row>
      <xdr:rowOff>5557</xdr:rowOff>
    </xdr:from>
    <xdr:to>
      <xdr:col>9</xdr:col>
      <xdr:colOff>115094</xdr:colOff>
      <xdr:row>172</xdr:row>
      <xdr:rowOff>17866</xdr:rowOff>
    </xdr:to>
    <xdr:cxnSp macro="">
      <xdr:nvCxnSpPr>
        <xdr:cNvPr id="5517" name="Straight Arrow Connector 5516">
          <a:extLst>
            <a:ext uri="{FF2B5EF4-FFF2-40B4-BE49-F238E27FC236}">
              <a16:creationId xmlns:a16="http://schemas.microsoft.com/office/drawing/2014/main" id="{F8998C25-D22C-BB44-8C99-496E5795C8A4}"/>
            </a:ext>
          </a:extLst>
        </xdr:cNvPr>
        <xdr:cNvCxnSpPr>
          <a:cxnSpLocks/>
          <a:stCxn id="5497" idx="2"/>
          <a:endCxn id="5501" idx="0"/>
        </xdr:cNvCxnSpPr>
      </xdr:nvCxnSpPr>
      <xdr:spPr>
        <a:xfrm>
          <a:off x="2254251" y="32517557"/>
          <a:ext cx="3968" cy="39330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115094</xdr:colOff>
      <xdr:row>175</xdr:row>
      <xdr:rowOff>1982</xdr:rowOff>
    </xdr:from>
    <xdr:to>
      <xdr:col>9</xdr:col>
      <xdr:colOff>115095</xdr:colOff>
      <xdr:row>177</xdr:row>
      <xdr:rowOff>19840</xdr:rowOff>
    </xdr:to>
    <xdr:cxnSp macro="">
      <xdr:nvCxnSpPr>
        <xdr:cNvPr id="5520" name="Straight Arrow Connector 5519">
          <a:extLst>
            <a:ext uri="{FF2B5EF4-FFF2-40B4-BE49-F238E27FC236}">
              <a16:creationId xmlns:a16="http://schemas.microsoft.com/office/drawing/2014/main" id="{3ECBC43D-3575-D149-A23F-1AFC6C20756C}"/>
            </a:ext>
          </a:extLst>
        </xdr:cNvPr>
        <xdr:cNvCxnSpPr>
          <a:cxnSpLocks/>
          <a:stCxn id="5501" idx="2"/>
          <a:endCxn id="5502" idx="0"/>
        </xdr:cNvCxnSpPr>
      </xdr:nvCxnSpPr>
      <xdr:spPr>
        <a:xfrm>
          <a:off x="2258219" y="33466482"/>
          <a:ext cx="1" cy="3988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230188</xdr:colOff>
      <xdr:row>168</xdr:row>
      <xdr:rowOff>108744</xdr:rowOff>
    </xdr:from>
    <xdr:to>
      <xdr:col>50</xdr:col>
      <xdr:colOff>17462</xdr:colOff>
      <xdr:row>168</xdr:row>
      <xdr:rowOff>108744</xdr:rowOff>
    </xdr:to>
    <xdr:cxnSp macro="">
      <xdr:nvCxnSpPr>
        <xdr:cNvPr id="5523" name="Straight Arrow Connector 5522">
          <a:extLst>
            <a:ext uri="{FF2B5EF4-FFF2-40B4-BE49-F238E27FC236}">
              <a16:creationId xmlns:a16="http://schemas.microsoft.com/office/drawing/2014/main" id="{C9FB3C2E-1AFC-2E4B-A4D8-CC1D03A9219A}"/>
            </a:ext>
          </a:extLst>
        </xdr:cNvPr>
        <xdr:cNvCxnSpPr>
          <a:cxnSpLocks/>
          <a:stCxn id="5497" idx="3"/>
          <a:endCxn id="5498" idx="1"/>
        </xdr:cNvCxnSpPr>
      </xdr:nvCxnSpPr>
      <xdr:spPr>
        <a:xfrm>
          <a:off x="2849563" y="32239744"/>
          <a:ext cx="9090024"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7938</xdr:colOff>
      <xdr:row>163</xdr:row>
      <xdr:rowOff>15876</xdr:rowOff>
    </xdr:from>
    <xdr:to>
      <xdr:col>6</xdr:col>
      <xdr:colOff>8600</xdr:colOff>
      <xdr:row>165</xdr:row>
      <xdr:rowOff>182564</xdr:rowOff>
    </xdr:to>
    <xdr:sp macro="" textlink="">
      <xdr:nvSpPr>
        <xdr:cNvPr id="5526" name="Rectangle 5525">
          <a:extLst>
            <a:ext uri="{FF2B5EF4-FFF2-40B4-BE49-F238E27FC236}">
              <a16:creationId xmlns:a16="http://schemas.microsoft.com/office/drawing/2014/main" id="{5268B191-2AC1-4744-91F2-E92B47C8B72F}"/>
            </a:ext>
          </a:extLst>
        </xdr:cNvPr>
        <xdr:cNvSpPr/>
      </xdr:nvSpPr>
      <xdr:spPr>
        <a:xfrm>
          <a:off x="246063" y="31194376"/>
          <a:ext cx="1191287" cy="547688"/>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700">
              <a:solidFill>
                <a:sysClr val="windowText" lastClr="000000"/>
              </a:solidFill>
              <a:latin typeface="Meiryo UI" panose="020B0604030504040204" pitchFamily="50" charset="-128"/>
              <a:ea typeface="Meiryo UI" panose="020B0604030504040204" pitchFamily="50" charset="-128"/>
            </a:rPr>
            <a:t>送信スケジュール</a:t>
          </a:r>
        </a:p>
      </xdr:txBody>
    </xdr:sp>
    <xdr:clientData/>
  </xdr:twoCellAnchor>
  <xdr:twoCellAnchor>
    <xdr:from>
      <xdr:col>3</xdr:col>
      <xdr:colOff>127333</xdr:colOff>
      <xdr:row>159</xdr:row>
      <xdr:rowOff>97622</xdr:rowOff>
    </xdr:from>
    <xdr:to>
      <xdr:col>6</xdr:col>
      <xdr:colOff>233827</xdr:colOff>
      <xdr:row>163</xdr:row>
      <xdr:rowOff>15876</xdr:rowOff>
    </xdr:to>
    <xdr:cxnSp macro="">
      <xdr:nvCxnSpPr>
        <xdr:cNvPr id="5535" name="Elbow Connector 5534">
          <a:extLst>
            <a:ext uri="{FF2B5EF4-FFF2-40B4-BE49-F238E27FC236}">
              <a16:creationId xmlns:a16="http://schemas.microsoft.com/office/drawing/2014/main" id="{C19C8301-5DCB-C54A-BE2F-FEFDD7325516}"/>
            </a:ext>
          </a:extLst>
        </xdr:cNvPr>
        <xdr:cNvCxnSpPr>
          <a:stCxn id="5496" idx="1"/>
          <a:endCxn id="5526" idx="0"/>
        </xdr:cNvCxnSpPr>
      </xdr:nvCxnSpPr>
      <xdr:spPr>
        <a:xfrm rot="10800000" flipV="1">
          <a:off x="841708" y="30514122"/>
          <a:ext cx="820869" cy="680254"/>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12</xdr:col>
      <xdr:colOff>133350</xdr:colOff>
      <xdr:row>125</xdr:row>
      <xdr:rowOff>47625</xdr:rowOff>
    </xdr:from>
    <xdr:ext cx="337785" cy="267317"/>
    <xdr:sp macro="" textlink="">
      <xdr:nvSpPr>
        <xdr:cNvPr id="5538" name="TextBox 5537">
          <a:extLst>
            <a:ext uri="{FF2B5EF4-FFF2-40B4-BE49-F238E27FC236}">
              <a16:creationId xmlns:a16="http://schemas.microsoft.com/office/drawing/2014/main" id="{E0841A83-66D8-C949-A231-1CE89B08B495}"/>
            </a:ext>
          </a:extLst>
        </xdr:cNvPr>
        <xdr:cNvSpPr txBox="1"/>
      </xdr:nvSpPr>
      <xdr:spPr>
        <a:xfrm>
          <a:off x="2990850" y="23987125"/>
          <a:ext cx="337785"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Yes</a:t>
          </a:r>
        </a:p>
      </xdr:txBody>
    </xdr:sp>
    <xdr:clientData/>
  </xdr:oneCellAnchor>
  <xdr:oneCellAnchor>
    <xdr:from>
      <xdr:col>9</xdr:col>
      <xdr:colOff>182562</xdr:colOff>
      <xdr:row>127</xdr:row>
      <xdr:rowOff>168275</xdr:rowOff>
    </xdr:from>
    <xdr:ext cx="304507" cy="267317"/>
    <xdr:sp macro="" textlink="">
      <xdr:nvSpPr>
        <xdr:cNvPr id="5539" name="TextBox 5538">
          <a:extLst>
            <a:ext uri="{FF2B5EF4-FFF2-40B4-BE49-F238E27FC236}">
              <a16:creationId xmlns:a16="http://schemas.microsoft.com/office/drawing/2014/main" id="{D3D1BC72-B3B8-C543-9CB6-B739F3F39F8A}"/>
            </a:ext>
          </a:extLst>
        </xdr:cNvPr>
        <xdr:cNvSpPr txBox="1"/>
      </xdr:nvSpPr>
      <xdr:spPr>
        <a:xfrm>
          <a:off x="2325687" y="24488775"/>
          <a:ext cx="304507"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No</a:t>
          </a:r>
        </a:p>
      </xdr:txBody>
    </xdr:sp>
    <xdr:clientData/>
  </xdr:oneCellAnchor>
  <xdr:oneCellAnchor>
    <xdr:from>
      <xdr:col>12</xdr:col>
      <xdr:colOff>117475</xdr:colOff>
      <xdr:row>148</xdr:row>
      <xdr:rowOff>39687</xdr:rowOff>
    </xdr:from>
    <xdr:ext cx="337785" cy="267317"/>
    <xdr:sp macro="" textlink="">
      <xdr:nvSpPr>
        <xdr:cNvPr id="5540" name="TextBox 5539">
          <a:extLst>
            <a:ext uri="{FF2B5EF4-FFF2-40B4-BE49-F238E27FC236}">
              <a16:creationId xmlns:a16="http://schemas.microsoft.com/office/drawing/2014/main" id="{0AFB82CD-5BDD-AD4E-B103-9C102C6C19D2}"/>
            </a:ext>
          </a:extLst>
        </xdr:cNvPr>
        <xdr:cNvSpPr txBox="1"/>
      </xdr:nvSpPr>
      <xdr:spPr>
        <a:xfrm>
          <a:off x="2974975" y="28360687"/>
          <a:ext cx="337785"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Yes</a:t>
          </a:r>
        </a:p>
      </xdr:txBody>
    </xdr:sp>
    <xdr:clientData/>
  </xdr:oneCellAnchor>
  <xdr:oneCellAnchor>
    <xdr:from>
      <xdr:col>9</xdr:col>
      <xdr:colOff>166687</xdr:colOff>
      <xdr:row>150</xdr:row>
      <xdr:rowOff>160337</xdr:rowOff>
    </xdr:from>
    <xdr:ext cx="304507" cy="267317"/>
    <xdr:sp macro="" textlink="">
      <xdr:nvSpPr>
        <xdr:cNvPr id="5541" name="TextBox 5540">
          <a:extLst>
            <a:ext uri="{FF2B5EF4-FFF2-40B4-BE49-F238E27FC236}">
              <a16:creationId xmlns:a16="http://schemas.microsoft.com/office/drawing/2014/main" id="{B72A314E-18F1-1D40-A0B0-E0DE959F963D}"/>
            </a:ext>
          </a:extLst>
        </xdr:cNvPr>
        <xdr:cNvSpPr txBox="1"/>
      </xdr:nvSpPr>
      <xdr:spPr>
        <a:xfrm>
          <a:off x="2309812" y="28862337"/>
          <a:ext cx="304507"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No</a:t>
          </a:r>
        </a:p>
      </xdr:txBody>
    </xdr:sp>
    <xdr:clientData/>
  </xdr:oneCellAnchor>
  <xdr:oneCellAnchor>
    <xdr:from>
      <xdr:col>12</xdr:col>
      <xdr:colOff>133350</xdr:colOff>
      <xdr:row>167</xdr:row>
      <xdr:rowOff>79375</xdr:rowOff>
    </xdr:from>
    <xdr:ext cx="337785" cy="267317"/>
    <xdr:sp macro="" textlink="">
      <xdr:nvSpPr>
        <xdr:cNvPr id="5542" name="TextBox 5541">
          <a:extLst>
            <a:ext uri="{FF2B5EF4-FFF2-40B4-BE49-F238E27FC236}">
              <a16:creationId xmlns:a16="http://schemas.microsoft.com/office/drawing/2014/main" id="{B5040EAA-FA45-E14F-B979-61C78388167B}"/>
            </a:ext>
          </a:extLst>
        </xdr:cNvPr>
        <xdr:cNvSpPr txBox="1"/>
      </xdr:nvSpPr>
      <xdr:spPr>
        <a:xfrm>
          <a:off x="2990850" y="32019875"/>
          <a:ext cx="337785"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Yes</a:t>
          </a:r>
        </a:p>
      </xdr:txBody>
    </xdr:sp>
    <xdr:clientData/>
  </xdr:oneCellAnchor>
  <xdr:oneCellAnchor>
    <xdr:from>
      <xdr:col>9</xdr:col>
      <xdr:colOff>182562</xdr:colOff>
      <xdr:row>170</xdr:row>
      <xdr:rowOff>9525</xdr:rowOff>
    </xdr:from>
    <xdr:ext cx="304507" cy="267317"/>
    <xdr:sp macro="" textlink="">
      <xdr:nvSpPr>
        <xdr:cNvPr id="5543" name="TextBox 5542">
          <a:extLst>
            <a:ext uri="{FF2B5EF4-FFF2-40B4-BE49-F238E27FC236}">
              <a16:creationId xmlns:a16="http://schemas.microsoft.com/office/drawing/2014/main" id="{2E35E77E-CB8E-8D45-B69E-4B85250BB69C}"/>
            </a:ext>
          </a:extLst>
        </xdr:cNvPr>
        <xdr:cNvSpPr txBox="1"/>
      </xdr:nvSpPr>
      <xdr:spPr>
        <a:xfrm>
          <a:off x="2325687" y="32521525"/>
          <a:ext cx="304507"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No</a:t>
          </a:r>
        </a:p>
      </xdr:txBody>
    </xdr:sp>
    <xdr:clientData/>
  </xdr:oneCellAnchor>
  <xdr:oneCellAnchor>
    <xdr:from>
      <xdr:col>9</xdr:col>
      <xdr:colOff>206375</xdr:colOff>
      <xdr:row>133</xdr:row>
      <xdr:rowOff>23812</xdr:rowOff>
    </xdr:from>
    <xdr:ext cx="337785" cy="267317"/>
    <xdr:sp macro="" textlink="">
      <xdr:nvSpPr>
        <xdr:cNvPr id="5544" name="TextBox 5543">
          <a:extLst>
            <a:ext uri="{FF2B5EF4-FFF2-40B4-BE49-F238E27FC236}">
              <a16:creationId xmlns:a16="http://schemas.microsoft.com/office/drawing/2014/main" id="{E0EA4FD2-5462-B14A-88B2-7FE5E678C88B}"/>
            </a:ext>
          </a:extLst>
        </xdr:cNvPr>
        <xdr:cNvSpPr txBox="1"/>
      </xdr:nvSpPr>
      <xdr:spPr>
        <a:xfrm>
          <a:off x="2349500" y="25487312"/>
          <a:ext cx="337785"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Yes</a:t>
          </a:r>
        </a:p>
      </xdr:txBody>
    </xdr:sp>
    <xdr:clientData/>
  </xdr:oneCellAnchor>
  <xdr:oneCellAnchor>
    <xdr:from>
      <xdr:col>13</xdr:col>
      <xdr:colOff>0</xdr:colOff>
      <xdr:row>130</xdr:row>
      <xdr:rowOff>0</xdr:rowOff>
    </xdr:from>
    <xdr:ext cx="304507" cy="267317"/>
    <xdr:sp macro="" textlink="">
      <xdr:nvSpPr>
        <xdr:cNvPr id="5545" name="TextBox 5544">
          <a:extLst>
            <a:ext uri="{FF2B5EF4-FFF2-40B4-BE49-F238E27FC236}">
              <a16:creationId xmlns:a16="http://schemas.microsoft.com/office/drawing/2014/main" id="{0C332448-FA27-6B4B-B53C-6FD0EADFDECF}"/>
            </a:ext>
          </a:extLst>
        </xdr:cNvPr>
        <xdr:cNvSpPr txBox="1"/>
      </xdr:nvSpPr>
      <xdr:spPr>
        <a:xfrm>
          <a:off x="3095625" y="24892000"/>
          <a:ext cx="304507"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No</a:t>
          </a:r>
        </a:p>
      </xdr:txBody>
    </xdr:sp>
    <xdr:clientData/>
  </xdr:oneCellAnchor>
  <xdr:twoCellAnchor>
    <xdr:from>
      <xdr:col>1</xdr:col>
      <xdr:colOff>7937</xdr:colOff>
      <xdr:row>186</xdr:row>
      <xdr:rowOff>15875</xdr:rowOff>
    </xdr:from>
    <xdr:to>
      <xdr:col>6</xdr:col>
      <xdr:colOff>8599</xdr:colOff>
      <xdr:row>188</xdr:row>
      <xdr:rowOff>182563</xdr:rowOff>
    </xdr:to>
    <xdr:sp macro="" textlink="">
      <xdr:nvSpPr>
        <xdr:cNvPr id="5546" name="Rectangle 5545">
          <a:extLst>
            <a:ext uri="{FF2B5EF4-FFF2-40B4-BE49-F238E27FC236}">
              <a16:creationId xmlns:a16="http://schemas.microsoft.com/office/drawing/2014/main" id="{8B530D69-546A-3446-B538-DD2F52EFB8B1}"/>
            </a:ext>
          </a:extLst>
        </xdr:cNvPr>
        <xdr:cNvSpPr/>
      </xdr:nvSpPr>
      <xdr:spPr>
        <a:xfrm>
          <a:off x="246062" y="35575875"/>
          <a:ext cx="1191287" cy="547688"/>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700">
              <a:solidFill>
                <a:sysClr val="windowText" lastClr="000000"/>
              </a:solidFill>
              <a:latin typeface="Meiryo UI" panose="020B0604030504040204" pitchFamily="50" charset="-128"/>
              <a:ea typeface="Meiryo UI" panose="020B0604030504040204" pitchFamily="50" charset="-128"/>
            </a:rPr>
            <a:t>送信スケジュール</a:t>
          </a:r>
        </a:p>
      </xdr:txBody>
    </xdr:sp>
    <xdr:clientData/>
  </xdr:twoCellAnchor>
  <xdr:twoCellAnchor>
    <xdr:from>
      <xdr:col>7</xdr:col>
      <xdr:colOff>11575</xdr:colOff>
      <xdr:row>191</xdr:row>
      <xdr:rowOff>3973</xdr:rowOff>
    </xdr:from>
    <xdr:to>
      <xdr:col>12</xdr:col>
      <xdr:colOff>12238</xdr:colOff>
      <xdr:row>193</xdr:row>
      <xdr:rowOff>178589</xdr:rowOff>
    </xdr:to>
    <xdr:sp macro="" textlink="">
      <xdr:nvSpPr>
        <xdr:cNvPr id="5547" name="Rectangle 5546">
          <a:extLst>
            <a:ext uri="{FF2B5EF4-FFF2-40B4-BE49-F238E27FC236}">
              <a16:creationId xmlns:a16="http://schemas.microsoft.com/office/drawing/2014/main" id="{CECD6FDF-EEB3-3E4C-ACB9-313D2C7B5C42}"/>
            </a:ext>
          </a:extLst>
        </xdr:cNvPr>
        <xdr:cNvSpPr/>
      </xdr:nvSpPr>
      <xdr:spPr>
        <a:xfrm>
          <a:off x="1678450" y="36516473"/>
          <a:ext cx="1191288" cy="555616"/>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700">
              <a:solidFill>
                <a:sysClr val="windowText" lastClr="000000"/>
              </a:solidFill>
              <a:latin typeface="Meiryo UI" panose="020B0604030504040204" pitchFamily="50" charset="-128"/>
              <a:ea typeface="Meiryo UI" panose="020B0604030504040204" pitchFamily="50" charset="-128"/>
            </a:rPr>
            <a:t>処理開始</a:t>
          </a:r>
        </a:p>
      </xdr:txBody>
    </xdr:sp>
    <xdr:clientData/>
  </xdr:twoCellAnchor>
  <xdr:twoCellAnchor>
    <xdr:from>
      <xdr:col>50</xdr:col>
      <xdr:colOff>12238</xdr:colOff>
      <xdr:row>191</xdr:row>
      <xdr:rowOff>0</xdr:rowOff>
    </xdr:from>
    <xdr:to>
      <xdr:col>54</xdr:col>
      <xdr:colOff>248653</xdr:colOff>
      <xdr:row>193</xdr:row>
      <xdr:rowOff>182562</xdr:rowOff>
    </xdr:to>
    <xdr:sp macro="" textlink="">
      <xdr:nvSpPr>
        <xdr:cNvPr id="5548" name="Flowchart: Document 25">
          <a:extLst>
            <a:ext uri="{FF2B5EF4-FFF2-40B4-BE49-F238E27FC236}">
              <a16:creationId xmlns:a16="http://schemas.microsoft.com/office/drawing/2014/main" id="{A970F64B-8DEC-474C-ADB5-BEBD2BDB52F9}"/>
            </a:ext>
          </a:extLst>
        </xdr:cNvPr>
        <xdr:cNvSpPr/>
      </xdr:nvSpPr>
      <xdr:spPr>
        <a:xfrm>
          <a:off x="11934363" y="36512500"/>
          <a:ext cx="1188915" cy="563562"/>
        </a:xfrm>
        <a:prstGeom prst="flowChartDocumen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700">
              <a:solidFill>
                <a:sysClr val="windowText" lastClr="000000"/>
              </a:solidFill>
              <a:latin typeface="Meiryo UI" panose="020B0604030504040204" pitchFamily="50" charset="-128"/>
              <a:ea typeface="Meiryo UI" panose="020B0604030504040204" pitchFamily="50" charset="-128"/>
            </a:rPr>
            <a:t>アプリログ</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12</xdr:col>
      <xdr:colOff>12238</xdr:colOff>
      <xdr:row>192</xdr:row>
      <xdr:rowOff>91281</xdr:rowOff>
    </xdr:from>
    <xdr:to>
      <xdr:col>50</xdr:col>
      <xdr:colOff>12238</xdr:colOff>
      <xdr:row>192</xdr:row>
      <xdr:rowOff>91281</xdr:rowOff>
    </xdr:to>
    <xdr:cxnSp macro="">
      <xdr:nvCxnSpPr>
        <xdr:cNvPr id="5549" name="Straight Arrow Connector 5548">
          <a:extLst>
            <a:ext uri="{FF2B5EF4-FFF2-40B4-BE49-F238E27FC236}">
              <a16:creationId xmlns:a16="http://schemas.microsoft.com/office/drawing/2014/main" id="{19958074-73FE-634C-A85D-59300919C8AA}"/>
            </a:ext>
          </a:extLst>
        </xdr:cNvPr>
        <xdr:cNvCxnSpPr>
          <a:cxnSpLocks/>
          <a:stCxn id="5547" idx="3"/>
          <a:endCxn id="5548" idx="1"/>
        </xdr:cNvCxnSpPr>
      </xdr:nvCxnSpPr>
      <xdr:spPr>
        <a:xfrm>
          <a:off x="2869738" y="36794281"/>
          <a:ext cx="90646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127331</xdr:colOff>
      <xdr:row>188</xdr:row>
      <xdr:rowOff>182563</xdr:rowOff>
    </xdr:from>
    <xdr:to>
      <xdr:col>9</xdr:col>
      <xdr:colOff>130969</xdr:colOff>
      <xdr:row>191</xdr:row>
      <xdr:rowOff>3973</xdr:rowOff>
    </xdr:to>
    <xdr:cxnSp macro="">
      <xdr:nvCxnSpPr>
        <xdr:cNvPr id="5550" name="Elbow Connector 5549">
          <a:extLst>
            <a:ext uri="{FF2B5EF4-FFF2-40B4-BE49-F238E27FC236}">
              <a16:creationId xmlns:a16="http://schemas.microsoft.com/office/drawing/2014/main" id="{FA2D6B73-F023-D24C-9B2C-EC2A4C989DF4}"/>
            </a:ext>
          </a:extLst>
        </xdr:cNvPr>
        <xdr:cNvCxnSpPr>
          <a:stCxn id="5546" idx="2"/>
          <a:endCxn id="5547" idx="0"/>
        </xdr:cNvCxnSpPr>
      </xdr:nvCxnSpPr>
      <xdr:spPr>
        <a:xfrm rot="16200000" flipH="1">
          <a:off x="1361445" y="35603824"/>
          <a:ext cx="392910" cy="1432388"/>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1820</xdr:colOff>
      <xdr:row>196</xdr:row>
      <xdr:rowOff>7937</xdr:rowOff>
    </xdr:from>
    <xdr:to>
      <xdr:col>12</xdr:col>
      <xdr:colOff>2482</xdr:colOff>
      <xdr:row>198</xdr:row>
      <xdr:rowOff>184131</xdr:rowOff>
    </xdr:to>
    <xdr:sp macro="" textlink="">
      <xdr:nvSpPr>
        <xdr:cNvPr id="5553" name="Rectangle 5552">
          <a:extLst>
            <a:ext uri="{FF2B5EF4-FFF2-40B4-BE49-F238E27FC236}">
              <a16:creationId xmlns:a16="http://schemas.microsoft.com/office/drawing/2014/main" id="{F7E7B03B-C756-0045-BEC2-8D6D565AE93E}"/>
            </a:ext>
          </a:extLst>
        </xdr:cNvPr>
        <xdr:cNvSpPr/>
      </xdr:nvSpPr>
      <xdr:spPr>
        <a:xfrm>
          <a:off x="1668695" y="37472937"/>
          <a:ext cx="1191287" cy="55719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700">
              <a:solidFill>
                <a:sysClr val="windowText" lastClr="000000"/>
              </a:solidFill>
              <a:latin typeface="Meiryo UI" panose="020B0604030504040204" pitchFamily="50" charset="-128"/>
              <a:ea typeface="Meiryo UI" panose="020B0604030504040204" pitchFamily="50" charset="-128"/>
            </a:rPr>
            <a:t>処理店舗を確認する</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13</xdr:col>
      <xdr:colOff>19843</xdr:colOff>
      <xdr:row>196</xdr:row>
      <xdr:rowOff>20511</xdr:rowOff>
    </xdr:from>
    <xdr:to>
      <xdr:col>18</xdr:col>
      <xdr:colOff>20505</xdr:colOff>
      <xdr:row>198</xdr:row>
      <xdr:rowOff>171557</xdr:rowOff>
    </xdr:to>
    <xdr:sp macro="" textlink="">
      <xdr:nvSpPr>
        <xdr:cNvPr id="5554" name="Cylinder 16">
          <a:extLst>
            <a:ext uri="{FF2B5EF4-FFF2-40B4-BE49-F238E27FC236}">
              <a16:creationId xmlns:a16="http://schemas.microsoft.com/office/drawing/2014/main" id="{B4FFFA89-67CA-EB4D-915F-00BA77646137}"/>
            </a:ext>
          </a:extLst>
        </xdr:cNvPr>
        <xdr:cNvSpPr/>
      </xdr:nvSpPr>
      <xdr:spPr>
        <a:xfrm>
          <a:off x="3115468" y="37485511"/>
          <a:ext cx="1191287" cy="532046"/>
        </a:xfrm>
        <a:prstGeom prst="can">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600">
              <a:solidFill>
                <a:sysClr val="windowText" lastClr="000000"/>
              </a:solidFill>
              <a:latin typeface="Meiryo UI" panose="020B0604030504040204" pitchFamily="50" charset="-128"/>
              <a:ea typeface="Meiryo UI" panose="020B0604030504040204" pitchFamily="50" charset="-128"/>
            </a:rPr>
            <a:t>Replica</a:t>
          </a:r>
        </a:p>
        <a:p>
          <a:pPr algn="ctr"/>
          <a:r>
            <a:rPr lang="ja-JP" altLang="en-US" sz="600">
              <a:solidFill>
                <a:sysClr val="windowText" lastClr="000000"/>
              </a:solidFill>
              <a:latin typeface="Meiryo UI" panose="020B0604030504040204" pitchFamily="50" charset="-128"/>
              <a:ea typeface="Meiryo UI" panose="020B0604030504040204" pitchFamily="50" charset="-128"/>
            </a:rPr>
            <a:t>データベース</a:t>
          </a:r>
          <a:endParaRPr lang="en-GB" sz="6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xdr:col>
      <xdr:colOff>236307</xdr:colOff>
      <xdr:row>206</xdr:row>
      <xdr:rowOff>15875</xdr:rowOff>
    </xdr:from>
    <xdr:to>
      <xdr:col>12</xdr:col>
      <xdr:colOff>6119</xdr:colOff>
      <xdr:row>209</xdr:row>
      <xdr:rowOff>1</xdr:rowOff>
    </xdr:to>
    <xdr:sp macro="" textlink="">
      <xdr:nvSpPr>
        <xdr:cNvPr id="5555" name="Decision 5554">
          <a:extLst>
            <a:ext uri="{FF2B5EF4-FFF2-40B4-BE49-F238E27FC236}">
              <a16:creationId xmlns:a16="http://schemas.microsoft.com/office/drawing/2014/main" id="{839F5883-A57E-AF4B-A3F7-9EC4DDD1288E}"/>
            </a:ext>
          </a:extLst>
        </xdr:cNvPr>
        <xdr:cNvSpPr/>
      </xdr:nvSpPr>
      <xdr:spPr>
        <a:xfrm>
          <a:off x="1665057" y="39385875"/>
          <a:ext cx="1198562" cy="555626"/>
        </a:xfrm>
        <a:prstGeom prst="flowChartDecision">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処理する？</a:t>
          </a:r>
        </a:p>
      </xdr:txBody>
    </xdr:sp>
    <xdr:clientData/>
  </xdr:twoCellAnchor>
  <xdr:twoCellAnchor>
    <xdr:from>
      <xdr:col>50</xdr:col>
      <xdr:colOff>12238</xdr:colOff>
      <xdr:row>201</xdr:row>
      <xdr:rowOff>7937</xdr:rowOff>
    </xdr:from>
    <xdr:to>
      <xdr:col>54</xdr:col>
      <xdr:colOff>248653</xdr:colOff>
      <xdr:row>203</xdr:row>
      <xdr:rowOff>190499</xdr:rowOff>
    </xdr:to>
    <xdr:sp macro="" textlink="">
      <xdr:nvSpPr>
        <xdr:cNvPr id="5556" name="Flowchart: Document 25">
          <a:extLst>
            <a:ext uri="{FF2B5EF4-FFF2-40B4-BE49-F238E27FC236}">
              <a16:creationId xmlns:a16="http://schemas.microsoft.com/office/drawing/2014/main" id="{40D6DEAC-8DAE-D246-972E-32E428108BB9}"/>
            </a:ext>
          </a:extLst>
        </xdr:cNvPr>
        <xdr:cNvSpPr/>
      </xdr:nvSpPr>
      <xdr:spPr>
        <a:xfrm>
          <a:off x="11934363" y="38425437"/>
          <a:ext cx="1188915" cy="563562"/>
        </a:xfrm>
        <a:prstGeom prst="flowChartDocumen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700">
              <a:solidFill>
                <a:sysClr val="windowText" lastClr="000000"/>
              </a:solidFill>
              <a:latin typeface="Meiryo UI" panose="020B0604030504040204" pitchFamily="50" charset="-128"/>
              <a:ea typeface="Meiryo UI" panose="020B0604030504040204" pitchFamily="50" charset="-128"/>
            </a:rPr>
            <a:t>エラーログ</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56</xdr:col>
      <xdr:colOff>46040</xdr:colOff>
      <xdr:row>201</xdr:row>
      <xdr:rowOff>19843</xdr:rowOff>
    </xdr:from>
    <xdr:to>
      <xdr:col>61</xdr:col>
      <xdr:colOff>14288</xdr:colOff>
      <xdr:row>203</xdr:row>
      <xdr:rowOff>178593</xdr:rowOff>
    </xdr:to>
    <xdr:sp macro="" textlink="">
      <xdr:nvSpPr>
        <xdr:cNvPr id="5557" name="Data 5556">
          <a:extLst>
            <a:ext uri="{FF2B5EF4-FFF2-40B4-BE49-F238E27FC236}">
              <a16:creationId xmlns:a16="http://schemas.microsoft.com/office/drawing/2014/main" id="{B9F27F85-23E1-7C40-B023-B1F7D2C6C6FB}"/>
            </a:ext>
          </a:extLst>
        </xdr:cNvPr>
        <xdr:cNvSpPr/>
      </xdr:nvSpPr>
      <xdr:spPr>
        <a:xfrm>
          <a:off x="13412790" y="38437343"/>
          <a:ext cx="1135061" cy="539750"/>
        </a:xfrm>
        <a:prstGeom prst="flowChartInputOutpu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700">
              <a:solidFill>
                <a:sysClr val="windowText" lastClr="000000"/>
              </a:solidFill>
              <a:latin typeface="Meiryo UI" panose="020B0604030504040204" pitchFamily="34" charset="-128"/>
              <a:ea typeface="Meiryo UI" panose="020B0604030504040204" pitchFamily="34" charset="-128"/>
            </a:rPr>
            <a:t>メール送信</a:t>
          </a:r>
        </a:p>
      </xdr:txBody>
    </xdr:sp>
    <xdr:clientData/>
  </xdr:twoCellAnchor>
  <xdr:twoCellAnchor>
    <xdr:from>
      <xdr:col>54</xdr:col>
      <xdr:colOff>248653</xdr:colOff>
      <xdr:row>202</xdr:row>
      <xdr:rowOff>99218</xdr:rowOff>
    </xdr:from>
    <xdr:to>
      <xdr:col>56</xdr:col>
      <xdr:colOff>159546</xdr:colOff>
      <xdr:row>202</xdr:row>
      <xdr:rowOff>99218</xdr:rowOff>
    </xdr:to>
    <xdr:cxnSp macro="">
      <xdr:nvCxnSpPr>
        <xdr:cNvPr id="5558" name="Straight Arrow Connector 5557">
          <a:extLst>
            <a:ext uri="{FF2B5EF4-FFF2-40B4-BE49-F238E27FC236}">
              <a16:creationId xmlns:a16="http://schemas.microsoft.com/office/drawing/2014/main" id="{CB567E92-56FC-F14F-A448-DCFC98C83672}"/>
            </a:ext>
          </a:extLst>
        </xdr:cNvPr>
        <xdr:cNvCxnSpPr>
          <a:cxnSpLocks/>
          <a:stCxn id="5556" idx="3"/>
          <a:endCxn id="5557" idx="2"/>
        </xdr:cNvCxnSpPr>
      </xdr:nvCxnSpPr>
      <xdr:spPr>
        <a:xfrm>
          <a:off x="13123278" y="38707218"/>
          <a:ext cx="403018"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6119</xdr:colOff>
      <xdr:row>202</xdr:row>
      <xdr:rowOff>99218</xdr:rowOff>
    </xdr:from>
    <xdr:to>
      <xdr:col>50</xdr:col>
      <xdr:colOff>12238</xdr:colOff>
      <xdr:row>202</xdr:row>
      <xdr:rowOff>99218</xdr:rowOff>
    </xdr:to>
    <xdr:cxnSp macro="">
      <xdr:nvCxnSpPr>
        <xdr:cNvPr id="5559" name="Straight Arrow Connector 5558">
          <a:extLst>
            <a:ext uri="{FF2B5EF4-FFF2-40B4-BE49-F238E27FC236}">
              <a16:creationId xmlns:a16="http://schemas.microsoft.com/office/drawing/2014/main" id="{830DB6F4-D6EA-3145-BE82-0E96DCFD6BC7}"/>
            </a:ext>
          </a:extLst>
        </xdr:cNvPr>
        <xdr:cNvCxnSpPr>
          <a:cxnSpLocks/>
          <a:stCxn id="5562" idx="3"/>
          <a:endCxn id="5556" idx="1"/>
        </xdr:cNvCxnSpPr>
      </xdr:nvCxnSpPr>
      <xdr:spPr>
        <a:xfrm>
          <a:off x="2863619" y="38707218"/>
          <a:ext cx="9070744"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121213</xdr:colOff>
      <xdr:row>209</xdr:row>
      <xdr:rowOff>1</xdr:rowOff>
    </xdr:from>
    <xdr:to>
      <xdr:col>9</xdr:col>
      <xdr:colOff>121214</xdr:colOff>
      <xdr:row>214</xdr:row>
      <xdr:rowOff>15875</xdr:rowOff>
    </xdr:to>
    <xdr:cxnSp macro="">
      <xdr:nvCxnSpPr>
        <xdr:cNvPr id="5560" name="Straight Arrow Connector 5559">
          <a:extLst>
            <a:ext uri="{FF2B5EF4-FFF2-40B4-BE49-F238E27FC236}">
              <a16:creationId xmlns:a16="http://schemas.microsoft.com/office/drawing/2014/main" id="{B7A84E60-7BB4-C04E-9EAF-09A5B2BAF262}"/>
            </a:ext>
          </a:extLst>
        </xdr:cNvPr>
        <xdr:cNvCxnSpPr>
          <a:cxnSpLocks/>
          <a:stCxn id="5555" idx="2"/>
          <a:endCxn id="5576" idx="0"/>
        </xdr:cNvCxnSpPr>
      </xdr:nvCxnSpPr>
      <xdr:spPr>
        <a:xfrm>
          <a:off x="2264338" y="39941501"/>
          <a:ext cx="1" cy="96837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2482</xdr:colOff>
      <xdr:row>197</xdr:row>
      <xdr:rowOff>96034</xdr:rowOff>
    </xdr:from>
    <xdr:to>
      <xdr:col>13</xdr:col>
      <xdr:colOff>19843</xdr:colOff>
      <xdr:row>197</xdr:row>
      <xdr:rowOff>96034</xdr:rowOff>
    </xdr:to>
    <xdr:cxnSp macro="">
      <xdr:nvCxnSpPr>
        <xdr:cNvPr id="5561" name="Straight Arrow Connector 5560">
          <a:extLst>
            <a:ext uri="{FF2B5EF4-FFF2-40B4-BE49-F238E27FC236}">
              <a16:creationId xmlns:a16="http://schemas.microsoft.com/office/drawing/2014/main" id="{FF67D19B-65FC-D242-80B5-72066E4C5032}"/>
            </a:ext>
          </a:extLst>
        </xdr:cNvPr>
        <xdr:cNvCxnSpPr>
          <a:cxnSpLocks/>
          <a:stCxn id="5553" idx="3"/>
          <a:endCxn id="5554" idx="2"/>
        </xdr:cNvCxnSpPr>
      </xdr:nvCxnSpPr>
      <xdr:spPr>
        <a:xfrm>
          <a:off x="2859982" y="37751534"/>
          <a:ext cx="25548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236307</xdr:colOff>
      <xdr:row>201</xdr:row>
      <xdr:rowOff>11905</xdr:rowOff>
    </xdr:from>
    <xdr:to>
      <xdr:col>12</xdr:col>
      <xdr:colOff>6119</xdr:colOff>
      <xdr:row>203</xdr:row>
      <xdr:rowOff>186531</xdr:rowOff>
    </xdr:to>
    <xdr:sp macro="" textlink="">
      <xdr:nvSpPr>
        <xdr:cNvPr id="5562" name="Decision 5561">
          <a:extLst>
            <a:ext uri="{FF2B5EF4-FFF2-40B4-BE49-F238E27FC236}">
              <a16:creationId xmlns:a16="http://schemas.microsoft.com/office/drawing/2014/main" id="{2E1BE65E-F9C8-524B-B922-2B563FB10B4B}"/>
            </a:ext>
          </a:extLst>
        </xdr:cNvPr>
        <xdr:cNvSpPr/>
      </xdr:nvSpPr>
      <xdr:spPr>
        <a:xfrm>
          <a:off x="1665057" y="38429405"/>
          <a:ext cx="1198562" cy="555626"/>
        </a:xfrm>
        <a:prstGeom prst="flowChartDecision">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エラー</a:t>
          </a:r>
        </a:p>
      </xdr:txBody>
    </xdr:sp>
    <xdr:clientData/>
  </xdr:twoCellAnchor>
  <xdr:twoCellAnchor>
    <xdr:from>
      <xdr:col>9</xdr:col>
      <xdr:colOff>121213</xdr:colOff>
      <xdr:row>203</xdr:row>
      <xdr:rowOff>186531</xdr:rowOff>
    </xdr:from>
    <xdr:to>
      <xdr:col>9</xdr:col>
      <xdr:colOff>121213</xdr:colOff>
      <xdr:row>206</xdr:row>
      <xdr:rowOff>15875</xdr:rowOff>
    </xdr:to>
    <xdr:cxnSp macro="">
      <xdr:nvCxnSpPr>
        <xdr:cNvPr id="5563" name="Straight Arrow Connector 5562">
          <a:extLst>
            <a:ext uri="{FF2B5EF4-FFF2-40B4-BE49-F238E27FC236}">
              <a16:creationId xmlns:a16="http://schemas.microsoft.com/office/drawing/2014/main" id="{6BC44EB6-EB77-8049-A60A-623D73716191}"/>
            </a:ext>
          </a:extLst>
        </xdr:cNvPr>
        <xdr:cNvCxnSpPr>
          <a:cxnSpLocks/>
          <a:stCxn id="5562" idx="2"/>
          <a:endCxn id="5555" idx="0"/>
        </xdr:cNvCxnSpPr>
      </xdr:nvCxnSpPr>
      <xdr:spPr>
        <a:xfrm>
          <a:off x="2264338" y="38985031"/>
          <a:ext cx="0" cy="40084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12235</xdr:colOff>
      <xdr:row>210</xdr:row>
      <xdr:rowOff>15876</xdr:rowOff>
    </xdr:from>
    <xdr:to>
      <xdr:col>17</xdr:col>
      <xdr:colOff>218610</xdr:colOff>
      <xdr:row>211</xdr:row>
      <xdr:rowOff>174626</xdr:rowOff>
    </xdr:to>
    <xdr:sp macro="" textlink="">
      <xdr:nvSpPr>
        <xdr:cNvPr id="5564" name="Flowchart: Terminator 109">
          <a:extLst>
            <a:ext uri="{FF2B5EF4-FFF2-40B4-BE49-F238E27FC236}">
              <a16:creationId xmlns:a16="http://schemas.microsoft.com/office/drawing/2014/main" id="{4F74D15E-AEDD-654A-9ED7-96C07BF9E454}"/>
            </a:ext>
          </a:extLst>
        </xdr:cNvPr>
        <xdr:cNvSpPr/>
      </xdr:nvSpPr>
      <xdr:spPr>
        <a:xfrm>
          <a:off x="3107860" y="40147876"/>
          <a:ext cx="1158875" cy="349250"/>
        </a:xfrm>
        <a:prstGeom prst="flowChartTerminator">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700">
              <a:solidFill>
                <a:sysClr val="windowText" lastClr="000000"/>
              </a:solidFill>
              <a:latin typeface="Meiryo UI" panose="020B0604030504040204" pitchFamily="50" charset="-128"/>
              <a:ea typeface="Meiryo UI" panose="020B0604030504040204" pitchFamily="50" charset="-128"/>
            </a:rPr>
            <a:t>終了</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12</xdr:col>
      <xdr:colOff>6119</xdr:colOff>
      <xdr:row>207</xdr:row>
      <xdr:rowOff>103188</xdr:rowOff>
    </xdr:from>
    <xdr:to>
      <xdr:col>15</xdr:col>
      <xdr:colOff>115423</xdr:colOff>
      <xdr:row>210</xdr:row>
      <xdr:rowOff>15876</xdr:rowOff>
    </xdr:to>
    <xdr:cxnSp macro="">
      <xdr:nvCxnSpPr>
        <xdr:cNvPr id="5565" name="Elbow Connector 5564">
          <a:extLst>
            <a:ext uri="{FF2B5EF4-FFF2-40B4-BE49-F238E27FC236}">
              <a16:creationId xmlns:a16="http://schemas.microsoft.com/office/drawing/2014/main" id="{40474C17-7C35-AC4F-864E-A61164D5A2FB}"/>
            </a:ext>
          </a:extLst>
        </xdr:cNvPr>
        <xdr:cNvCxnSpPr>
          <a:stCxn id="5555" idx="3"/>
          <a:endCxn id="5564" idx="0"/>
        </xdr:cNvCxnSpPr>
      </xdr:nvCxnSpPr>
      <xdr:spPr>
        <a:xfrm>
          <a:off x="2863619" y="39663688"/>
          <a:ext cx="823679" cy="484188"/>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12</xdr:col>
      <xdr:colOff>149225</xdr:colOff>
      <xdr:row>201</xdr:row>
      <xdr:rowOff>47625</xdr:rowOff>
    </xdr:from>
    <xdr:ext cx="337785" cy="267317"/>
    <xdr:sp macro="" textlink="">
      <xdr:nvSpPr>
        <xdr:cNvPr id="5566" name="TextBox 5565">
          <a:extLst>
            <a:ext uri="{FF2B5EF4-FFF2-40B4-BE49-F238E27FC236}">
              <a16:creationId xmlns:a16="http://schemas.microsoft.com/office/drawing/2014/main" id="{CEC4F5DE-7584-E942-830A-FF6151F685D3}"/>
            </a:ext>
          </a:extLst>
        </xdr:cNvPr>
        <xdr:cNvSpPr txBox="1"/>
      </xdr:nvSpPr>
      <xdr:spPr>
        <a:xfrm>
          <a:off x="3006725" y="38465125"/>
          <a:ext cx="337785"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Yes</a:t>
          </a:r>
        </a:p>
      </xdr:txBody>
    </xdr:sp>
    <xdr:clientData/>
  </xdr:oneCellAnchor>
  <xdr:oneCellAnchor>
    <xdr:from>
      <xdr:col>9</xdr:col>
      <xdr:colOff>198437</xdr:colOff>
      <xdr:row>203</xdr:row>
      <xdr:rowOff>168275</xdr:rowOff>
    </xdr:from>
    <xdr:ext cx="304507" cy="267317"/>
    <xdr:sp macro="" textlink="">
      <xdr:nvSpPr>
        <xdr:cNvPr id="5567" name="TextBox 5566">
          <a:extLst>
            <a:ext uri="{FF2B5EF4-FFF2-40B4-BE49-F238E27FC236}">
              <a16:creationId xmlns:a16="http://schemas.microsoft.com/office/drawing/2014/main" id="{AF512C43-9A82-454B-BFEC-A044CB9D7441}"/>
            </a:ext>
          </a:extLst>
        </xdr:cNvPr>
        <xdr:cNvSpPr txBox="1"/>
      </xdr:nvSpPr>
      <xdr:spPr>
        <a:xfrm>
          <a:off x="2341562" y="38966775"/>
          <a:ext cx="304507"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No</a:t>
          </a:r>
        </a:p>
      </xdr:txBody>
    </xdr:sp>
    <xdr:clientData/>
  </xdr:oneCellAnchor>
  <xdr:oneCellAnchor>
    <xdr:from>
      <xdr:col>9</xdr:col>
      <xdr:colOff>222250</xdr:colOff>
      <xdr:row>209</xdr:row>
      <xdr:rowOff>23812</xdr:rowOff>
    </xdr:from>
    <xdr:ext cx="337785" cy="267317"/>
    <xdr:sp macro="" textlink="">
      <xdr:nvSpPr>
        <xdr:cNvPr id="5568" name="TextBox 5567">
          <a:extLst>
            <a:ext uri="{FF2B5EF4-FFF2-40B4-BE49-F238E27FC236}">
              <a16:creationId xmlns:a16="http://schemas.microsoft.com/office/drawing/2014/main" id="{D026D442-3695-1F4C-BDC5-94622905BD5B}"/>
            </a:ext>
          </a:extLst>
        </xdr:cNvPr>
        <xdr:cNvSpPr txBox="1"/>
      </xdr:nvSpPr>
      <xdr:spPr>
        <a:xfrm>
          <a:off x="2365375" y="39965312"/>
          <a:ext cx="337785"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Yes</a:t>
          </a:r>
        </a:p>
      </xdr:txBody>
    </xdr:sp>
    <xdr:clientData/>
  </xdr:oneCellAnchor>
  <xdr:oneCellAnchor>
    <xdr:from>
      <xdr:col>13</xdr:col>
      <xdr:colOff>15875</xdr:colOff>
      <xdr:row>206</xdr:row>
      <xdr:rowOff>0</xdr:rowOff>
    </xdr:from>
    <xdr:ext cx="304507" cy="267317"/>
    <xdr:sp macro="" textlink="">
      <xdr:nvSpPr>
        <xdr:cNvPr id="5569" name="TextBox 5568">
          <a:extLst>
            <a:ext uri="{FF2B5EF4-FFF2-40B4-BE49-F238E27FC236}">
              <a16:creationId xmlns:a16="http://schemas.microsoft.com/office/drawing/2014/main" id="{64FCED9B-E8FB-E346-B5DC-F0933B7EF236}"/>
            </a:ext>
          </a:extLst>
        </xdr:cNvPr>
        <xdr:cNvSpPr txBox="1"/>
      </xdr:nvSpPr>
      <xdr:spPr>
        <a:xfrm>
          <a:off x="3111500" y="39370000"/>
          <a:ext cx="304507"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No</a:t>
          </a:r>
        </a:p>
      </xdr:txBody>
    </xdr:sp>
    <xdr:clientData/>
  </xdr:oneCellAnchor>
  <xdr:twoCellAnchor>
    <xdr:from>
      <xdr:col>9</xdr:col>
      <xdr:colOff>121214</xdr:colOff>
      <xdr:row>193</xdr:row>
      <xdr:rowOff>178589</xdr:rowOff>
    </xdr:from>
    <xdr:to>
      <xdr:col>9</xdr:col>
      <xdr:colOff>130969</xdr:colOff>
      <xdr:row>196</xdr:row>
      <xdr:rowOff>7937</xdr:rowOff>
    </xdr:to>
    <xdr:cxnSp macro="">
      <xdr:nvCxnSpPr>
        <xdr:cNvPr id="5570" name="Straight Arrow Connector 5569">
          <a:extLst>
            <a:ext uri="{FF2B5EF4-FFF2-40B4-BE49-F238E27FC236}">
              <a16:creationId xmlns:a16="http://schemas.microsoft.com/office/drawing/2014/main" id="{FD18BDE8-E546-FC4D-8B75-8DF5CAB9B2EA}"/>
            </a:ext>
          </a:extLst>
        </xdr:cNvPr>
        <xdr:cNvCxnSpPr>
          <a:cxnSpLocks/>
          <a:stCxn id="5547" idx="2"/>
          <a:endCxn id="5553" idx="0"/>
        </xdr:cNvCxnSpPr>
      </xdr:nvCxnSpPr>
      <xdr:spPr>
        <a:xfrm flipH="1">
          <a:off x="2264339" y="37072089"/>
          <a:ext cx="9755" cy="40084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121213</xdr:colOff>
      <xdr:row>198</xdr:row>
      <xdr:rowOff>184131</xdr:rowOff>
    </xdr:from>
    <xdr:to>
      <xdr:col>9</xdr:col>
      <xdr:colOff>121214</xdr:colOff>
      <xdr:row>201</xdr:row>
      <xdr:rowOff>11905</xdr:rowOff>
    </xdr:to>
    <xdr:cxnSp macro="">
      <xdr:nvCxnSpPr>
        <xdr:cNvPr id="5573" name="Straight Arrow Connector 5572">
          <a:extLst>
            <a:ext uri="{FF2B5EF4-FFF2-40B4-BE49-F238E27FC236}">
              <a16:creationId xmlns:a16="http://schemas.microsoft.com/office/drawing/2014/main" id="{8740C362-00E9-9641-924D-43FC1EF22BE9}"/>
            </a:ext>
          </a:extLst>
        </xdr:cNvPr>
        <xdr:cNvCxnSpPr>
          <a:cxnSpLocks/>
          <a:stCxn id="5553" idx="2"/>
          <a:endCxn id="5562" idx="0"/>
        </xdr:cNvCxnSpPr>
      </xdr:nvCxnSpPr>
      <xdr:spPr>
        <a:xfrm flipH="1">
          <a:off x="2264338" y="38030131"/>
          <a:ext cx="1" cy="39927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1820</xdr:colOff>
      <xdr:row>214</xdr:row>
      <xdr:rowOff>15875</xdr:rowOff>
    </xdr:from>
    <xdr:to>
      <xdr:col>12</xdr:col>
      <xdr:colOff>2482</xdr:colOff>
      <xdr:row>217</xdr:row>
      <xdr:rowOff>1569</xdr:rowOff>
    </xdr:to>
    <xdr:sp macro="" textlink="">
      <xdr:nvSpPr>
        <xdr:cNvPr id="5576" name="Rectangle 5575">
          <a:extLst>
            <a:ext uri="{FF2B5EF4-FFF2-40B4-BE49-F238E27FC236}">
              <a16:creationId xmlns:a16="http://schemas.microsoft.com/office/drawing/2014/main" id="{95AF7B69-AF03-444E-AC15-7CDD95F92151}"/>
            </a:ext>
          </a:extLst>
        </xdr:cNvPr>
        <xdr:cNvSpPr/>
      </xdr:nvSpPr>
      <xdr:spPr>
        <a:xfrm>
          <a:off x="1668695" y="40909875"/>
          <a:ext cx="1191287" cy="55719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700">
              <a:solidFill>
                <a:sysClr val="windowText" lastClr="000000"/>
              </a:solidFill>
              <a:latin typeface="Meiryo UI" panose="020B0604030504040204" pitchFamily="50" charset="-128"/>
              <a:ea typeface="Meiryo UI" panose="020B0604030504040204" pitchFamily="50" charset="-128"/>
            </a:rPr>
            <a:t>TXTファイルを送信</a:t>
          </a:r>
        </a:p>
      </xdr:txBody>
    </xdr:sp>
    <xdr:clientData/>
  </xdr:twoCellAnchor>
  <xdr:twoCellAnchor>
    <xdr:from>
      <xdr:col>50</xdr:col>
      <xdr:colOff>12238</xdr:colOff>
      <xdr:row>219</xdr:row>
      <xdr:rowOff>17859</xdr:rowOff>
    </xdr:from>
    <xdr:to>
      <xdr:col>54</xdr:col>
      <xdr:colOff>248653</xdr:colOff>
      <xdr:row>222</xdr:row>
      <xdr:rowOff>9921</xdr:rowOff>
    </xdr:to>
    <xdr:sp macro="" textlink="">
      <xdr:nvSpPr>
        <xdr:cNvPr id="5578" name="Flowchart: Document 25">
          <a:extLst>
            <a:ext uri="{FF2B5EF4-FFF2-40B4-BE49-F238E27FC236}">
              <a16:creationId xmlns:a16="http://schemas.microsoft.com/office/drawing/2014/main" id="{4C4116EE-51ED-6A48-BDFF-02D997FAE896}"/>
            </a:ext>
          </a:extLst>
        </xdr:cNvPr>
        <xdr:cNvSpPr/>
      </xdr:nvSpPr>
      <xdr:spPr>
        <a:xfrm>
          <a:off x="11934363" y="41864359"/>
          <a:ext cx="1188915" cy="563562"/>
        </a:xfrm>
        <a:prstGeom prst="flowChartDocumen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700">
              <a:solidFill>
                <a:sysClr val="windowText" lastClr="000000"/>
              </a:solidFill>
              <a:latin typeface="Meiryo UI" panose="020B0604030504040204" pitchFamily="50" charset="-128"/>
              <a:ea typeface="Meiryo UI" panose="020B0604030504040204" pitchFamily="50" charset="-128"/>
            </a:rPr>
            <a:t>エラーログ</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56</xdr:col>
      <xdr:colOff>46039</xdr:colOff>
      <xdr:row>219</xdr:row>
      <xdr:rowOff>29765</xdr:rowOff>
    </xdr:from>
    <xdr:to>
      <xdr:col>61</xdr:col>
      <xdr:colOff>14287</xdr:colOff>
      <xdr:row>221</xdr:row>
      <xdr:rowOff>188515</xdr:rowOff>
    </xdr:to>
    <xdr:sp macro="" textlink="">
      <xdr:nvSpPr>
        <xdr:cNvPr id="5579" name="Data 5578">
          <a:extLst>
            <a:ext uri="{FF2B5EF4-FFF2-40B4-BE49-F238E27FC236}">
              <a16:creationId xmlns:a16="http://schemas.microsoft.com/office/drawing/2014/main" id="{E821ECD5-E81B-834D-9F26-F9DC376B6DD4}"/>
            </a:ext>
          </a:extLst>
        </xdr:cNvPr>
        <xdr:cNvSpPr/>
      </xdr:nvSpPr>
      <xdr:spPr>
        <a:xfrm>
          <a:off x="13412789" y="41876265"/>
          <a:ext cx="1135061" cy="539750"/>
        </a:xfrm>
        <a:prstGeom prst="flowChartInputOutpu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700">
              <a:solidFill>
                <a:sysClr val="windowText" lastClr="000000"/>
              </a:solidFill>
              <a:latin typeface="Meiryo UI" panose="020B0604030504040204" pitchFamily="34" charset="-128"/>
              <a:ea typeface="Meiryo UI" panose="020B0604030504040204" pitchFamily="34" charset="-128"/>
            </a:rPr>
            <a:t>メール送信</a:t>
          </a:r>
        </a:p>
      </xdr:txBody>
    </xdr:sp>
    <xdr:clientData/>
  </xdr:twoCellAnchor>
  <xdr:twoCellAnchor>
    <xdr:from>
      <xdr:col>54</xdr:col>
      <xdr:colOff>248653</xdr:colOff>
      <xdr:row>220</xdr:row>
      <xdr:rowOff>109140</xdr:rowOff>
    </xdr:from>
    <xdr:to>
      <xdr:col>56</xdr:col>
      <xdr:colOff>159545</xdr:colOff>
      <xdr:row>220</xdr:row>
      <xdr:rowOff>109140</xdr:rowOff>
    </xdr:to>
    <xdr:cxnSp macro="">
      <xdr:nvCxnSpPr>
        <xdr:cNvPr id="5580" name="Straight Arrow Connector 5579">
          <a:extLst>
            <a:ext uri="{FF2B5EF4-FFF2-40B4-BE49-F238E27FC236}">
              <a16:creationId xmlns:a16="http://schemas.microsoft.com/office/drawing/2014/main" id="{EF4D7B2C-77EA-2D45-8A46-C2CD9FE505D0}"/>
            </a:ext>
          </a:extLst>
        </xdr:cNvPr>
        <xdr:cNvCxnSpPr>
          <a:cxnSpLocks/>
          <a:stCxn id="5578" idx="3"/>
          <a:endCxn id="5579" idx="2"/>
        </xdr:cNvCxnSpPr>
      </xdr:nvCxnSpPr>
      <xdr:spPr>
        <a:xfrm>
          <a:off x="13123278" y="42146140"/>
          <a:ext cx="403017"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xdr:colOff>
      <xdr:row>220</xdr:row>
      <xdr:rowOff>109140</xdr:rowOff>
    </xdr:from>
    <xdr:to>
      <xdr:col>50</xdr:col>
      <xdr:colOff>12238</xdr:colOff>
      <xdr:row>220</xdr:row>
      <xdr:rowOff>109140</xdr:rowOff>
    </xdr:to>
    <xdr:cxnSp macro="">
      <xdr:nvCxnSpPr>
        <xdr:cNvPr id="5581" name="Straight Arrow Connector 5580">
          <a:extLst>
            <a:ext uri="{FF2B5EF4-FFF2-40B4-BE49-F238E27FC236}">
              <a16:creationId xmlns:a16="http://schemas.microsoft.com/office/drawing/2014/main" id="{7008DB28-AFA9-FF43-A5D3-22624DF4DF94}"/>
            </a:ext>
          </a:extLst>
        </xdr:cNvPr>
        <xdr:cNvCxnSpPr>
          <a:cxnSpLocks/>
          <a:stCxn id="5582" idx="3"/>
          <a:endCxn id="5578" idx="1"/>
        </xdr:cNvCxnSpPr>
      </xdr:nvCxnSpPr>
      <xdr:spPr>
        <a:xfrm>
          <a:off x="2857501" y="42146140"/>
          <a:ext cx="9076862"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23814</xdr:colOff>
      <xdr:row>219</xdr:row>
      <xdr:rowOff>21827</xdr:rowOff>
    </xdr:from>
    <xdr:to>
      <xdr:col>12</xdr:col>
      <xdr:colOff>1</xdr:colOff>
      <xdr:row>222</xdr:row>
      <xdr:rowOff>5953</xdr:rowOff>
    </xdr:to>
    <xdr:sp macro="" textlink="">
      <xdr:nvSpPr>
        <xdr:cNvPr id="5582" name="Decision 5581">
          <a:extLst>
            <a:ext uri="{FF2B5EF4-FFF2-40B4-BE49-F238E27FC236}">
              <a16:creationId xmlns:a16="http://schemas.microsoft.com/office/drawing/2014/main" id="{0A90D165-79E6-C941-A93A-CF284A23DA88}"/>
            </a:ext>
          </a:extLst>
        </xdr:cNvPr>
        <xdr:cNvSpPr/>
      </xdr:nvSpPr>
      <xdr:spPr>
        <a:xfrm>
          <a:off x="1690689" y="41868327"/>
          <a:ext cx="1166812" cy="555626"/>
        </a:xfrm>
        <a:prstGeom prst="flowChartDecision">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エラー</a:t>
          </a:r>
        </a:p>
      </xdr:txBody>
    </xdr:sp>
    <xdr:clientData/>
  </xdr:twoCellAnchor>
  <xdr:oneCellAnchor>
    <xdr:from>
      <xdr:col>12</xdr:col>
      <xdr:colOff>149224</xdr:colOff>
      <xdr:row>219</xdr:row>
      <xdr:rowOff>63500</xdr:rowOff>
    </xdr:from>
    <xdr:ext cx="337785" cy="267317"/>
    <xdr:sp macro="" textlink="">
      <xdr:nvSpPr>
        <xdr:cNvPr id="5583" name="TextBox 5582">
          <a:extLst>
            <a:ext uri="{FF2B5EF4-FFF2-40B4-BE49-F238E27FC236}">
              <a16:creationId xmlns:a16="http://schemas.microsoft.com/office/drawing/2014/main" id="{113FE359-22C4-6147-9026-BACF7D61CD22}"/>
            </a:ext>
          </a:extLst>
        </xdr:cNvPr>
        <xdr:cNvSpPr txBox="1"/>
      </xdr:nvSpPr>
      <xdr:spPr>
        <a:xfrm>
          <a:off x="3006724" y="41910000"/>
          <a:ext cx="337785"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Yes</a:t>
          </a:r>
        </a:p>
      </xdr:txBody>
    </xdr:sp>
    <xdr:clientData/>
  </xdr:oneCellAnchor>
  <xdr:oneCellAnchor>
    <xdr:from>
      <xdr:col>9</xdr:col>
      <xdr:colOff>198436</xdr:colOff>
      <xdr:row>221</xdr:row>
      <xdr:rowOff>184150</xdr:rowOff>
    </xdr:from>
    <xdr:ext cx="304507" cy="267317"/>
    <xdr:sp macro="" textlink="">
      <xdr:nvSpPr>
        <xdr:cNvPr id="5584" name="TextBox 5583">
          <a:extLst>
            <a:ext uri="{FF2B5EF4-FFF2-40B4-BE49-F238E27FC236}">
              <a16:creationId xmlns:a16="http://schemas.microsoft.com/office/drawing/2014/main" id="{6C3461C2-0421-7840-88AA-E3F5F9297008}"/>
            </a:ext>
          </a:extLst>
        </xdr:cNvPr>
        <xdr:cNvSpPr txBox="1"/>
      </xdr:nvSpPr>
      <xdr:spPr>
        <a:xfrm>
          <a:off x="2341561" y="42411650"/>
          <a:ext cx="304507"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No</a:t>
          </a:r>
        </a:p>
      </xdr:txBody>
    </xdr:sp>
    <xdr:clientData/>
  </xdr:oneCellAnchor>
  <xdr:twoCellAnchor>
    <xdr:from>
      <xdr:col>9</xdr:col>
      <xdr:colOff>121214</xdr:colOff>
      <xdr:row>217</xdr:row>
      <xdr:rowOff>1569</xdr:rowOff>
    </xdr:from>
    <xdr:to>
      <xdr:col>9</xdr:col>
      <xdr:colOff>130970</xdr:colOff>
      <xdr:row>219</xdr:row>
      <xdr:rowOff>21827</xdr:rowOff>
    </xdr:to>
    <xdr:cxnSp macro="">
      <xdr:nvCxnSpPr>
        <xdr:cNvPr id="5585" name="Straight Arrow Connector 5584">
          <a:extLst>
            <a:ext uri="{FF2B5EF4-FFF2-40B4-BE49-F238E27FC236}">
              <a16:creationId xmlns:a16="http://schemas.microsoft.com/office/drawing/2014/main" id="{453DA13A-26DA-8E47-BCE0-E4CACBEFFC44}"/>
            </a:ext>
          </a:extLst>
        </xdr:cNvPr>
        <xdr:cNvCxnSpPr>
          <a:cxnSpLocks/>
          <a:stCxn id="5576" idx="2"/>
          <a:endCxn id="5582" idx="0"/>
        </xdr:cNvCxnSpPr>
      </xdr:nvCxnSpPr>
      <xdr:spPr>
        <a:xfrm>
          <a:off x="2264339" y="41467069"/>
          <a:ext cx="9756" cy="4012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11575</xdr:colOff>
      <xdr:row>224</xdr:row>
      <xdr:rowOff>15875</xdr:rowOff>
    </xdr:from>
    <xdr:to>
      <xdr:col>12</xdr:col>
      <xdr:colOff>12238</xdr:colOff>
      <xdr:row>226</xdr:row>
      <xdr:rowOff>190491</xdr:rowOff>
    </xdr:to>
    <xdr:sp macro="" textlink="">
      <xdr:nvSpPr>
        <xdr:cNvPr id="5588" name="Rectangle 5587">
          <a:extLst>
            <a:ext uri="{FF2B5EF4-FFF2-40B4-BE49-F238E27FC236}">
              <a16:creationId xmlns:a16="http://schemas.microsoft.com/office/drawing/2014/main" id="{A7A8DB85-184D-9443-8D91-A96738A9B010}"/>
            </a:ext>
          </a:extLst>
        </xdr:cNvPr>
        <xdr:cNvSpPr/>
      </xdr:nvSpPr>
      <xdr:spPr>
        <a:xfrm>
          <a:off x="1678450" y="42814875"/>
          <a:ext cx="1191288" cy="555616"/>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700">
              <a:solidFill>
                <a:sysClr val="windowText" lastClr="000000"/>
              </a:solidFill>
              <a:latin typeface="Meiryo UI" panose="020B0604030504040204" pitchFamily="50" charset="-128"/>
              <a:ea typeface="Meiryo UI" panose="020B0604030504040204" pitchFamily="50" charset="-128"/>
            </a:rPr>
            <a:t>TXTファイルをバックアップ</a:t>
          </a:r>
        </a:p>
      </xdr:txBody>
    </xdr:sp>
    <xdr:clientData/>
  </xdr:twoCellAnchor>
  <xdr:twoCellAnchor>
    <xdr:from>
      <xdr:col>7</xdr:col>
      <xdr:colOff>11907</xdr:colOff>
      <xdr:row>229</xdr:row>
      <xdr:rowOff>19844</xdr:rowOff>
    </xdr:from>
    <xdr:to>
      <xdr:col>12</xdr:col>
      <xdr:colOff>11907</xdr:colOff>
      <xdr:row>231</xdr:row>
      <xdr:rowOff>178594</xdr:rowOff>
    </xdr:to>
    <xdr:sp macro="" textlink="">
      <xdr:nvSpPr>
        <xdr:cNvPr id="5589" name="Decision 5588">
          <a:extLst>
            <a:ext uri="{FF2B5EF4-FFF2-40B4-BE49-F238E27FC236}">
              <a16:creationId xmlns:a16="http://schemas.microsoft.com/office/drawing/2014/main" id="{E2643B4C-431B-A346-A50C-11C5BF9E42C5}"/>
            </a:ext>
          </a:extLst>
        </xdr:cNvPr>
        <xdr:cNvSpPr/>
      </xdr:nvSpPr>
      <xdr:spPr>
        <a:xfrm>
          <a:off x="1678782" y="43771344"/>
          <a:ext cx="1190625" cy="539750"/>
        </a:xfrm>
        <a:prstGeom prst="flowChartDecision">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エラー</a:t>
          </a:r>
        </a:p>
      </xdr:txBody>
    </xdr:sp>
    <xdr:clientData/>
  </xdr:twoCellAnchor>
  <xdr:twoCellAnchor>
    <xdr:from>
      <xdr:col>9</xdr:col>
      <xdr:colOff>130969</xdr:colOff>
      <xdr:row>226</xdr:row>
      <xdr:rowOff>190491</xdr:rowOff>
    </xdr:from>
    <xdr:to>
      <xdr:col>9</xdr:col>
      <xdr:colOff>130970</xdr:colOff>
      <xdr:row>229</xdr:row>
      <xdr:rowOff>19844</xdr:rowOff>
    </xdr:to>
    <xdr:cxnSp macro="">
      <xdr:nvCxnSpPr>
        <xdr:cNvPr id="5590" name="Straight Arrow Connector 5589">
          <a:extLst>
            <a:ext uri="{FF2B5EF4-FFF2-40B4-BE49-F238E27FC236}">
              <a16:creationId xmlns:a16="http://schemas.microsoft.com/office/drawing/2014/main" id="{A1A7532B-C568-4040-A0F6-28A5ED835701}"/>
            </a:ext>
          </a:extLst>
        </xdr:cNvPr>
        <xdr:cNvCxnSpPr>
          <a:cxnSpLocks/>
          <a:stCxn id="5588" idx="2"/>
          <a:endCxn id="5589" idx="0"/>
        </xdr:cNvCxnSpPr>
      </xdr:nvCxnSpPr>
      <xdr:spPr>
        <a:xfrm>
          <a:off x="2274094" y="43370491"/>
          <a:ext cx="1" cy="4008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12238</xdr:colOff>
      <xdr:row>229</xdr:row>
      <xdr:rowOff>7938</xdr:rowOff>
    </xdr:from>
    <xdr:to>
      <xdr:col>54</xdr:col>
      <xdr:colOff>248653</xdr:colOff>
      <xdr:row>232</xdr:row>
      <xdr:rowOff>0</xdr:rowOff>
    </xdr:to>
    <xdr:sp macro="" textlink="">
      <xdr:nvSpPr>
        <xdr:cNvPr id="5591" name="Flowchart: Document 25">
          <a:extLst>
            <a:ext uri="{FF2B5EF4-FFF2-40B4-BE49-F238E27FC236}">
              <a16:creationId xmlns:a16="http://schemas.microsoft.com/office/drawing/2014/main" id="{FA13C8BB-1C49-7B4C-92DE-120F6B38411A}"/>
            </a:ext>
          </a:extLst>
        </xdr:cNvPr>
        <xdr:cNvSpPr/>
      </xdr:nvSpPr>
      <xdr:spPr>
        <a:xfrm>
          <a:off x="11934363" y="43759438"/>
          <a:ext cx="1188915" cy="563562"/>
        </a:xfrm>
        <a:prstGeom prst="flowChartDocumen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700">
              <a:solidFill>
                <a:sysClr val="windowText" lastClr="000000"/>
              </a:solidFill>
              <a:latin typeface="Meiryo UI" panose="020B0604030504040204" pitchFamily="50" charset="-128"/>
              <a:ea typeface="Meiryo UI" panose="020B0604030504040204" pitchFamily="50" charset="-128"/>
            </a:rPr>
            <a:t>エラーログ</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56</xdr:col>
      <xdr:colOff>26528</xdr:colOff>
      <xdr:row>229</xdr:row>
      <xdr:rowOff>19844</xdr:rowOff>
    </xdr:from>
    <xdr:to>
      <xdr:col>60</xdr:col>
      <xdr:colOff>232901</xdr:colOff>
      <xdr:row>231</xdr:row>
      <xdr:rowOff>178594</xdr:rowOff>
    </xdr:to>
    <xdr:sp macro="" textlink="">
      <xdr:nvSpPr>
        <xdr:cNvPr id="5592" name="Data 5591">
          <a:extLst>
            <a:ext uri="{FF2B5EF4-FFF2-40B4-BE49-F238E27FC236}">
              <a16:creationId xmlns:a16="http://schemas.microsoft.com/office/drawing/2014/main" id="{235A1EF6-43FD-8040-ABE5-D67EE2860293}"/>
            </a:ext>
          </a:extLst>
        </xdr:cNvPr>
        <xdr:cNvSpPr/>
      </xdr:nvSpPr>
      <xdr:spPr>
        <a:xfrm>
          <a:off x="13393278" y="43771344"/>
          <a:ext cx="1135061" cy="539750"/>
        </a:xfrm>
        <a:prstGeom prst="flowChartInputOutpu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700">
              <a:solidFill>
                <a:sysClr val="windowText" lastClr="000000"/>
              </a:solidFill>
              <a:latin typeface="Meiryo UI" panose="020B0604030504040204" pitchFamily="34" charset="-128"/>
              <a:ea typeface="Meiryo UI" panose="020B0604030504040204" pitchFamily="34" charset="-128"/>
            </a:rPr>
            <a:t>メール送信</a:t>
          </a:r>
        </a:p>
      </xdr:txBody>
    </xdr:sp>
    <xdr:clientData/>
  </xdr:twoCellAnchor>
  <xdr:twoCellAnchor>
    <xdr:from>
      <xdr:col>12</xdr:col>
      <xdr:colOff>11907</xdr:colOff>
      <xdr:row>230</xdr:row>
      <xdr:rowOff>99219</xdr:rowOff>
    </xdr:from>
    <xdr:to>
      <xdr:col>50</xdr:col>
      <xdr:colOff>12238</xdr:colOff>
      <xdr:row>230</xdr:row>
      <xdr:rowOff>99219</xdr:rowOff>
    </xdr:to>
    <xdr:cxnSp macro="">
      <xdr:nvCxnSpPr>
        <xdr:cNvPr id="5593" name="Straight Arrow Connector 5592">
          <a:extLst>
            <a:ext uri="{FF2B5EF4-FFF2-40B4-BE49-F238E27FC236}">
              <a16:creationId xmlns:a16="http://schemas.microsoft.com/office/drawing/2014/main" id="{84CC02D4-47A2-F345-8765-E74EC5FECB11}"/>
            </a:ext>
          </a:extLst>
        </xdr:cNvPr>
        <xdr:cNvCxnSpPr>
          <a:cxnSpLocks/>
          <a:stCxn id="5589" idx="3"/>
          <a:endCxn id="5591" idx="1"/>
        </xdr:cNvCxnSpPr>
      </xdr:nvCxnSpPr>
      <xdr:spPr>
        <a:xfrm>
          <a:off x="2869407" y="44041219"/>
          <a:ext cx="906495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248653</xdr:colOff>
      <xdr:row>230</xdr:row>
      <xdr:rowOff>99219</xdr:rowOff>
    </xdr:from>
    <xdr:to>
      <xdr:col>56</xdr:col>
      <xdr:colOff>140034</xdr:colOff>
      <xdr:row>230</xdr:row>
      <xdr:rowOff>99219</xdr:rowOff>
    </xdr:to>
    <xdr:cxnSp macro="">
      <xdr:nvCxnSpPr>
        <xdr:cNvPr id="5594" name="Straight Arrow Connector 5593">
          <a:extLst>
            <a:ext uri="{FF2B5EF4-FFF2-40B4-BE49-F238E27FC236}">
              <a16:creationId xmlns:a16="http://schemas.microsoft.com/office/drawing/2014/main" id="{BCD46402-6BCF-0045-ADBF-80162FAD7A88}"/>
            </a:ext>
          </a:extLst>
        </xdr:cNvPr>
        <xdr:cNvCxnSpPr>
          <a:cxnSpLocks/>
          <a:stCxn id="5591" idx="3"/>
          <a:endCxn id="5592" idx="2"/>
        </xdr:cNvCxnSpPr>
      </xdr:nvCxnSpPr>
      <xdr:spPr>
        <a:xfrm>
          <a:off x="13123278" y="44041219"/>
          <a:ext cx="38350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12</xdr:col>
      <xdr:colOff>90026</xdr:colOff>
      <xdr:row>229</xdr:row>
      <xdr:rowOff>39688</xdr:rowOff>
    </xdr:from>
    <xdr:ext cx="337785" cy="267317"/>
    <xdr:sp macro="" textlink="">
      <xdr:nvSpPr>
        <xdr:cNvPr id="5595" name="TextBox 5594">
          <a:extLst>
            <a:ext uri="{FF2B5EF4-FFF2-40B4-BE49-F238E27FC236}">
              <a16:creationId xmlns:a16="http://schemas.microsoft.com/office/drawing/2014/main" id="{9E7AC115-4DB7-104C-A83A-3301998A727A}"/>
            </a:ext>
          </a:extLst>
        </xdr:cNvPr>
        <xdr:cNvSpPr txBox="1"/>
      </xdr:nvSpPr>
      <xdr:spPr>
        <a:xfrm>
          <a:off x="2947526" y="43791188"/>
          <a:ext cx="337785"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Yes</a:t>
          </a:r>
        </a:p>
      </xdr:txBody>
    </xdr:sp>
    <xdr:clientData/>
  </xdr:oneCellAnchor>
  <xdr:oneCellAnchor>
    <xdr:from>
      <xdr:col>9</xdr:col>
      <xdr:colOff>139238</xdr:colOff>
      <xdr:row>231</xdr:row>
      <xdr:rowOff>160338</xdr:rowOff>
    </xdr:from>
    <xdr:ext cx="304507" cy="267317"/>
    <xdr:sp macro="" textlink="">
      <xdr:nvSpPr>
        <xdr:cNvPr id="5596" name="TextBox 5595">
          <a:extLst>
            <a:ext uri="{FF2B5EF4-FFF2-40B4-BE49-F238E27FC236}">
              <a16:creationId xmlns:a16="http://schemas.microsoft.com/office/drawing/2014/main" id="{90E7DC91-76D8-C141-8F6F-F8A49BC53D48}"/>
            </a:ext>
          </a:extLst>
        </xdr:cNvPr>
        <xdr:cNvSpPr txBox="1"/>
      </xdr:nvSpPr>
      <xdr:spPr>
        <a:xfrm>
          <a:off x="2282363" y="44292838"/>
          <a:ext cx="304507"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No</a:t>
          </a:r>
        </a:p>
      </xdr:txBody>
    </xdr:sp>
    <xdr:clientData/>
  </xdr:oneCellAnchor>
  <xdr:twoCellAnchor>
    <xdr:from>
      <xdr:col>9</xdr:col>
      <xdr:colOff>130969</xdr:colOff>
      <xdr:row>222</xdr:row>
      <xdr:rowOff>5953</xdr:rowOff>
    </xdr:from>
    <xdr:to>
      <xdr:col>9</xdr:col>
      <xdr:colOff>130970</xdr:colOff>
      <xdr:row>224</xdr:row>
      <xdr:rowOff>15875</xdr:rowOff>
    </xdr:to>
    <xdr:cxnSp macro="">
      <xdr:nvCxnSpPr>
        <xdr:cNvPr id="5597" name="Straight Arrow Connector 5596">
          <a:extLst>
            <a:ext uri="{FF2B5EF4-FFF2-40B4-BE49-F238E27FC236}">
              <a16:creationId xmlns:a16="http://schemas.microsoft.com/office/drawing/2014/main" id="{5F8BBE5D-FC97-8B4B-A372-F85AE9324F1B}"/>
            </a:ext>
          </a:extLst>
        </xdr:cNvPr>
        <xdr:cNvCxnSpPr>
          <a:cxnSpLocks/>
          <a:stCxn id="5582" idx="2"/>
          <a:endCxn id="5588" idx="0"/>
        </xdr:cNvCxnSpPr>
      </xdr:nvCxnSpPr>
      <xdr:spPr>
        <a:xfrm flipH="1">
          <a:off x="2274094" y="42423953"/>
          <a:ext cx="1" cy="390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15875</xdr:colOff>
      <xdr:row>224</xdr:row>
      <xdr:rowOff>23722</xdr:rowOff>
    </xdr:from>
    <xdr:to>
      <xdr:col>36</xdr:col>
      <xdr:colOff>0</xdr:colOff>
      <xdr:row>226</xdr:row>
      <xdr:rowOff>182644</xdr:rowOff>
    </xdr:to>
    <xdr:sp macro="" textlink="">
      <xdr:nvSpPr>
        <xdr:cNvPr id="5601" name="Flowchart: Card 34">
          <a:extLst>
            <a:ext uri="{FF2B5EF4-FFF2-40B4-BE49-F238E27FC236}">
              <a16:creationId xmlns:a16="http://schemas.microsoft.com/office/drawing/2014/main" id="{427A720B-CAD6-8344-80C6-744FB1134CAC}"/>
            </a:ext>
          </a:extLst>
        </xdr:cNvPr>
        <xdr:cNvSpPr/>
      </xdr:nvSpPr>
      <xdr:spPr>
        <a:xfrm>
          <a:off x="7397750" y="42822722"/>
          <a:ext cx="1174750" cy="539922"/>
        </a:xfrm>
        <a:prstGeom prst="flowChartPunchedCard">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700">
              <a:solidFill>
                <a:sysClr val="windowText" lastClr="000000"/>
              </a:solidFill>
              <a:latin typeface="Meiryo UI" panose="020B0604030504040204" pitchFamily="50" charset="-128"/>
              <a:ea typeface="Meiryo UI" panose="020B0604030504040204" pitchFamily="50" charset="-128"/>
            </a:rPr>
            <a:t>SHOHIN/ESLDATA</a:t>
          </a:r>
          <a:r>
            <a:rPr lang="ja-JP" altLang="en-US" sz="700">
              <a:solidFill>
                <a:sysClr val="windowText" lastClr="000000"/>
              </a:solidFill>
              <a:latin typeface="Meiryo UI" panose="020B0604030504040204" pitchFamily="50" charset="-128"/>
              <a:ea typeface="Meiryo UI" panose="020B0604030504040204" pitchFamily="50" charset="-128"/>
            </a:rPr>
            <a:t>ファイル</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37</xdr:col>
      <xdr:colOff>7937</xdr:colOff>
      <xdr:row>214</xdr:row>
      <xdr:rowOff>16573</xdr:rowOff>
    </xdr:from>
    <xdr:to>
      <xdr:col>41</xdr:col>
      <xdr:colOff>230187</xdr:colOff>
      <xdr:row>216</xdr:row>
      <xdr:rowOff>175495</xdr:rowOff>
    </xdr:to>
    <xdr:sp macro="" textlink="">
      <xdr:nvSpPr>
        <xdr:cNvPr id="5602" name="Flowchart: Card 34">
          <a:extLst>
            <a:ext uri="{FF2B5EF4-FFF2-40B4-BE49-F238E27FC236}">
              <a16:creationId xmlns:a16="http://schemas.microsoft.com/office/drawing/2014/main" id="{2DE51384-CA54-7040-9FD0-38B2D829616E}"/>
            </a:ext>
          </a:extLst>
        </xdr:cNvPr>
        <xdr:cNvSpPr/>
      </xdr:nvSpPr>
      <xdr:spPr>
        <a:xfrm>
          <a:off x="8818562" y="40910573"/>
          <a:ext cx="1174750" cy="539922"/>
        </a:xfrm>
        <a:prstGeom prst="flowChartPunchedCard">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700">
              <a:solidFill>
                <a:sysClr val="windowText" lastClr="000000"/>
              </a:solidFill>
              <a:latin typeface="Meiryo UI" panose="020B0604030504040204" pitchFamily="50" charset="-128"/>
              <a:ea typeface="Meiryo UI" panose="020B0604030504040204" pitchFamily="50" charset="-128"/>
            </a:rPr>
            <a:t>SHOHIN/ESLDATA</a:t>
          </a:r>
          <a:r>
            <a:rPr lang="ja-JP" altLang="en-US" sz="700">
              <a:solidFill>
                <a:sysClr val="windowText" lastClr="000000"/>
              </a:solidFill>
              <a:latin typeface="Meiryo UI" panose="020B0604030504040204" pitchFamily="50" charset="-128"/>
              <a:ea typeface="Meiryo UI" panose="020B0604030504040204" pitchFamily="50" charset="-128"/>
            </a:rPr>
            <a:t>ファイル</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12</xdr:col>
      <xdr:colOff>2482</xdr:colOff>
      <xdr:row>215</xdr:row>
      <xdr:rowOff>96034</xdr:rowOff>
    </xdr:from>
    <xdr:to>
      <xdr:col>37</xdr:col>
      <xdr:colOff>7937</xdr:colOff>
      <xdr:row>215</xdr:row>
      <xdr:rowOff>103972</xdr:rowOff>
    </xdr:to>
    <xdr:cxnSp macro="">
      <xdr:nvCxnSpPr>
        <xdr:cNvPr id="5603" name="Straight Arrow Connector 5602">
          <a:extLst>
            <a:ext uri="{FF2B5EF4-FFF2-40B4-BE49-F238E27FC236}">
              <a16:creationId xmlns:a16="http://schemas.microsoft.com/office/drawing/2014/main" id="{53170C9B-D3B4-9B4E-9C6F-37F26D36710F}"/>
            </a:ext>
          </a:extLst>
        </xdr:cNvPr>
        <xdr:cNvCxnSpPr>
          <a:cxnSpLocks/>
          <a:stCxn id="5576" idx="3"/>
          <a:endCxn id="5602" idx="1"/>
        </xdr:cNvCxnSpPr>
      </xdr:nvCxnSpPr>
      <xdr:spPr>
        <a:xfrm flipV="1">
          <a:off x="2859982" y="41180534"/>
          <a:ext cx="5958580" cy="793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12238</xdr:colOff>
      <xdr:row>225</xdr:row>
      <xdr:rowOff>103183</xdr:rowOff>
    </xdr:from>
    <xdr:to>
      <xdr:col>31</xdr:col>
      <xdr:colOff>15875</xdr:colOff>
      <xdr:row>225</xdr:row>
      <xdr:rowOff>103183</xdr:rowOff>
    </xdr:to>
    <xdr:cxnSp macro="">
      <xdr:nvCxnSpPr>
        <xdr:cNvPr id="5606" name="Straight Arrow Connector 5605">
          <a:extLst>
            <a:ext uri="{FF2B5EF4-FFF2-40B4-BE49-F238E27FC236}">
              <a16:creationId xmlns:a16="http://schemas.microsoft.com/office/drawing/2014/main" id="{EC6CFA09-99E1-D74E-88C3-2D5AD288A3A0}"/>
            </a:ext>
          </a:extLst>
        </xdr:cNvPr>
        <xdr:cNvCxnSpPr>
          <a:cxnSpLocks/>
          <a:stCxn id="5588" idx="3"/>
          <a:endCxn id="5601" idx="1"/>
        </xdr:cNvCxnSpPr>
      </xdr:nvCxnSpPr>
      <xdr:spPr>
        <a:xfrm>
          <a:off x="2869738" y="43092683"/>
          <a:ext cx="4528012"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11575</xdr:colOff>
      <xdr:row>234</xdr:row>
      <xdr:rowOff>11911</xdr:rowOff>
    </xdr:from>
    <xdr:to>
      <xdr:col>12</xdr:col>
      <xdr:colOff>12238</xdr:colOff>
      <xdr:row>236</xdr:row>
      <xdr:rowOff>186527</xdr:rowOff>
    </xdr:to>
    <xdr:sp macro="" textlink="">
      <xdr:nvSpPr>
        <xdr:cNvPr id="5609" name="Rectangle 5608">
          <a:extLst>
            <a:ext uri="{FF2B5EF4-FFF2-40B4-BE49-F238E27FC236}">
              <a16:creationId xmlns:a16="http://schemas.microsoft.com/office/drawing/2014/main" id="{AD578BBB-90E3-2746-AC4B-F852EA34EF66}"/>
            </a:ext>
          </a:extLst>
        </xdr:cNvPr>
        <xdr:cNvSpPr/>
      </xdr:nvSpPr>
      <xdr:spPr>
        <a:xfrm>
          <a:off x="1678450" y="44715911"/>
          <a:ext cx="1191288" cy="555616"/>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700">
              <a:solidFill>
                <a:sysClr val="windowText" lastClr="000000"/>
              </a:solidFill>
              <a:latin typeface="Meiryo UI" panose="020B0604030504040204" pitchFamily="50" charset="-128"/>
              <a:ea typeface="Meiryo UI" panose="020B0604030504040204" pitchFamily="50" charset="-128"/>
            </a:rPr>
            <a:t>処理終了</a:t>
          </a:r>
        </a:p>
      </xdr:txBody>
    </xdr:sp>
    <xdr:clientData/>
  </xdr:twoCellAnchor>
  <xdr:twoCellAnchor>
    <xdr:from>
      <xdr:col>7</xdr:col>
      <xdr:colOff>27782</xdr:colOff>
      <xdr:row>239</xdr:row>
      <xdr:rowOff>13885</xdr:rowOff>
    </xdr:from>
    <xdr:to>
      <xdr:col>11</xdr:col>
      <xdr:colOff>234157</xdr:colOff>
      <xdr:row>240</xdr:row>
      <xdr:rowOff>180573</xdr:rowOff>
    </xdr:to>
    <xdr:sp macro="" textlink="">
      <xdr:nvSpPr>
        <xdr:cNvPr id="5610" name="Flowchart: Terminator 109">
          <a:extLst>
            <a:ext uri="{FF2B5EF4-FFF2-40B4-BE49-F238E27FC236}">
              <a16:creationId xmlns:a16="http://schemas.microsoft.com/office/drawing/2014/main" id="{673E4226-A232-A14E-A017-EB899400B7B5}"/>
            </a:ext>
          </a:extLst>
        </xdr:cNvPr>
        <xdr:cNvSpPr/>
      </xdr:nvSpPr>
      <xdr:spPr>
        <a:xfrm>
          <a:off x="1694657" y="45670385"/>
          <a:ext cx="1158875" cy="357188"/>
        </a:xfrm>
        <a:prstGeom prst="flowChartTerminator">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700">
              <a:solidFill>
                <a:sysClr val="windowText" lastClr="000000"/>
              </a:solidFill>
              <a:latin typeface="Meiryo UI" panose="020B0604030504040204" pitchFamily="50" charset="-128"/>
              <a:ea typeface="Meiryo UI" panose="020B0604030504040204" pitchFamily="50" charset="-128"/>
            </a:rPr>
            <a:t>終了</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50</xdr:col>
      <xdr:colOff>12238</xdr:colOff>
      <xdr:row>234</xdr:row>
      <xdr:rowOff>7938</xdr:rowOff>
    </xdr:from>
    <xdr:to>
      <xdr:col>54</xdr:col>
      <xdr:colOff>248653</xdr:colOff>
      <xdr:row>237</xdr:row>
      <xdr:rowOff>0</xdr:rowOff>
    </xdr:to>
    <xdr:sp macro="" textlink="">
      <xdr:nvSpPr>
        <xdr:cNvPr id="5611" name="Flowchart: Document 25">
          <a:extLst>
            <a:ext uri="{FF2B5EF4-FFF2-40B4-BE49-F238E27FC236}">
              <a16:creationId xmlns:a16="http://schemas.microsoft.com/office/drawing/2014/main" id="{E7AF6EBF-9773-FF40-8CE5-7E7DE4530229}"/>
            </a:ext>
          </a:extLst>
        </xdr:cNvPr>
        <xdr:cNvSpPr/>
      </xdr:nvSpPr>
      <xdr:spPr>
        <a:xfrm>
          <a:off x="11934363" y="44711938"/>
          <a:ext cx="1188915" cy="563562"/>
        </a:xfrm>
        <a:prstGeom prst="flowChartDocumen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700">
              <a:solidFill>
                <a:sysClr val="windowText" lastClr="000000"/>
              </a:solidFill>
              <a:latin typeface="Meiryo UI" panose="020B0604030504040204" pitchFamily="50" charset="-128"/>
              <a:ea typeface="Meiryo UI" panose="020B0604030504040204" pitchFamily="50" charset="-128"/>
            </a:rPr>
            <a:t>アプリログ</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12</xdr:col>
      <xdr:colOff>12238</xdr:colOff>
      <xdr:row>235</xdr:row>
      <xdr:rowOff>99219</xdr:rowOff>
    </xdr:from>
    <xdr:to>
      <xdr:col>50</xdr:col>
      <xdr:colOff>12238</xdr:colOff>
      <xdr:row>235</xdr:row>
      <xdr:rowOff>99219</xdr:rowOff>
    </xdr:to>
    <xdr:cxnSp macro="">
      <xdr:nvCxnSpPr>
        <xdr:cNvPr id="5612" name="Straight Arrow Connector 5611">
          <a:extLst>
            <a:ext uri="{FF2B5EF4-FFF2-40B4-BE49-F238E27FC236}">
              <a16:creationId xmlns:a16="http://schemas.microsoft.com/office/drawing/2014/main" id="{99A021E4-A7B7-7F46-9162-1FD485DA88F1}"/>
            </a:ext>
          </a:extLst>
        </xdr:cNvPr>
        <xdr:cNvCxnSpPr>
          <a:cxnSpLocks/>
          <a:stCxn id="5609" idx="3"/>
          <a:endCxn id="5611" idx="1"/>
        </xdr:cNvCxnSpPr>
      </xdr:nvCxnSpPr>
      <xdr:spPr>
        <a:xfrm>
          <a:off x="2869738" y="44993719"/>
          <a:ext cx="90646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130969</xdr:colOff>
      <xdr:row>236</xdr:row>
      <xdr:rowOff>186527</xdr:rowOff>
    </xdr:from>
    <xdr:to>
      <xdr:col>9</xdr:col>
      <xdr:colOff>130970</xdr:colOff>
      <xdr:row>239</xdr:row>
      <xdr:rowOff>13885</xdr:rowOff>
    </xdr:to>
    <xdr:cxnSp macro="">
      <xdr:nvCxnSpPr>
        <xdr:cNvPr id="5613" name="Straight Arrow Connector 5612">
          <a:extLst>
            <a:ext uri="{FF2B5EF4-FFF2-40B4-BE49-F238E27FC236}">
              <a16:creationId xmlns:a16="http://schemas.microsoft.com/office/drawing/2014/main" id="{ABEF4DBD-A916-6443-A1D9-9B642F3C7B10}"/>
            </a:ext>
          </a:extLst>
        </xdr:cNvPr>
        <xdr:cNvCxnSpPr>
          <a:cxnSpLocks/>
          <a:stCxn id="5609" idx="2"/>
          <a:endCxn id="5610" idx="0"/>
        </xdr:cNvCxnSpPr>
      </xdr:nvCxnSpPr>
      <xdr:spPr>
        <a:xfrm>
          <a:off x="2274094" y="45271527"/>
          <a:ext cx="1" cy="3988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130969</xdr:colOff>
      <xdr:row>231</xdr:row>
      <xdr:rowOff>178594</xdr:rowOff>
    </xdr:from>
    <xdr:to>
      <xdr:col>9</xdr:col>
      <xdr:colOff>130970</xdr:colOff>
      <xdr:row>234</xdr:row>
      <xdr:rowOff>11911</xdr:rowOff>
    </xdr:to>
    <xdr:cxnSp macro="">
      <xdr:nvCxnSpPr>
        <xdr:cNvPr id="5614" name="Straight Arrow Connector 5613">
          <a:extLst>
            <a:ext uri="{FF2B5EF4-FFF2-40B4-BE49-F238E27FC236}">
              <a16:creationId xmlns:a16="http://schemas.microsoft.com/office/drawing/2014/main" id="{EA4D1621-29BF-EC4B-8086-AC95BDB60DCF}"/>
            </a:ext>
          </a:extLst>
        </xdr:cNvPr>
        <xdr:cNvCxnSpPr>
          <a:cxnSpLocks/>
          <a:stCxn id="5589" idx="2"/>
          <a:endCxn id="5609" idx="0"/>
        </xdr:cNvCxnSpPr>
      </xdr:nvCxnSpPr>
      <xdr:spPr>
        <a:xfrm flipH="1">
          <a:off x="2274094" y="44311094"/>
          <a:ext cx="1" cy="40481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103188</xdr:colOff>
      <xdr:row>23</xdr:row>
      <xdr:rowOff>63500</xdr:rowOff>
    </xdr:from>
    <xdr:to>
      <xdr:col>47</xdr:col>
      <xdr:colOff>15876</xdr:colOff>
      <xdr:row>24</xdr:row>
      <xdr:rowOff>79375</xdr:rowOff>
    </xdr:to>
    <xdr:sp macro="" textlink="">
      <xdr:nvSpPr>
        <xdr:cNvPr id="2" name="Oval 1">
          <a:extLst>
            <a:ext uri="{FF2B5EF4-FFF2-40B4-BE49-F238E27FC236}">
              <a16:creationId xmlns:a16="http://schemas.microsoft.com/office/drawing/2014/main" id="{4A69B651-297B-2B00-698A-B9B1C95272DE}"/>
            </a:ext>
          </a:extLst>
        </xdr:cNvPr>
        <xdr:cNvSpPr/>
      </xdr:nvSpPr>
      <xdr:spPr>
        <a:xfrm>
          <a:off x="10342563" y="4572000"/>
          <a:ext cx="881063" cy="206375"/>
        </a:xfrm>
        <a:prstGeom prst="ellipse">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3回リトライ</a:t>
          </a:r>
        </a:p>
      </xdr:txBody>
    </xdr:sp>
    <xdr:clientData/>
  </xdr:twoCellAnchor>
  <xdr:twoCellAnchor>
    <xdr:from>
      <xdr:col>40</xdr:col>
      <xdr:colOff>49213</xdr:colOff>
      <xdr:row>33</xdr:row>
      <xdr:rowOff>73026</xdr:rowOff>
    </xdr:from>
    <xdr:to>
      <xdr:col>43</xdr:col>
      <xdr:colOff>215901</xdr:colOff>
      <xdr:row>34</xdr:row>
      <xdr:rowOff>88901</xdr:rowOff>
    </xdr:to>
    <xdr:sp macro="" textlink="">
      <xdr:nvSpPr>
        <xdr:cNvPr id="3" name="Oval 2">
          <a:extLst>
            <a:ext uri="{FF2B5EF4-FFF2-40B4-BE49-F238E27FC236}">
              <a16:creationId xmlns:a16="http://schemas.microsoft.com/office/drawing/2014/main" id="{1948A384-E8B4-294A-A14F-BB4380E43F7D}"/>
            </a:ext>
          </a:extLst>
        </xdr:cNvPr>
        <xdr:cNvSpPr/>
      </xdr:nvSpPr>
      <xdr:spPr>
        <a:xfrm>
          <a:off x="9574213" y="6486526"/>
          <a:ext cx="881063" cy="206375"/>
        </a:xfrm>
        <a:prstGeom prst="ellipse">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3回リトライ</a:t>
          </a:r>
        </a:p>
      </xdr:txBody>
    </xdr:sp>
    <xdr:clientData/>
  </xdr:twoCellAnchor>
  <xdr:twoCellAnchor>
    <xdr:from>
      <xdr:col>46</xdr:col>
      <xdr:colOff>106363</xdr:colOff>
      <xdr:row>38</xdr:row>
      <xdr:rowOff>82551</xdr:rowOff>
    </xdr:from>
    <xdr:to>
      <xdr:col>50</xdr:col>
      <xdr:colOff>34926</xdr:colOff>
      <xdr:row>39</xdr:row>
      <xdr:rowOff>98426</xdr:rowOff>
    </xdr:to>
    <xdr:sp macro="" textlink="">
      <xdr:nvSpPr>
        <xdr:cNvPr id="4" name="Oval 3">
          <a:extLst>
            <a:ext uri="{FF2B5EF4-FFF2-40B4-BE49-F238E27FC236}">
              <a16:creationId xmlns:a16="http://schemas.microsoft.com/office/drawing/2014/main" id="{7A8B2978-D5BA-9A48-998E-FBE1C035A7E9}"/>
            </a:ext>
          </a:extLst>
        </xdr:cNvPr>
        <xdr:cNvSpPr/>
      </xdr:nvSpPr>
      <xdr:spPr>
        <a:xfrm>
          <a:off x="11075988" y="7448551"/>
          <a:ext cx="881063" cy="206375"/>
        </a:xfrm>
        <a:prstGeom prst="ellipse">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3回リトライ</a:t>
          </a:r>
        </a:p>
      </xdr:txBody>
    </xdr:sp>
    <xdr:clientData/>
  </xdr:twoCellAnchor>
  <xdr:twoCellAnchor>
    <xdr:from>
      <xdr:col>34</xdr:col>
      <xdr:colOff>15875</xdr:colOff>
      <xdr:row>78</xdr:row>
      <xdr:rowOff>87313</xdr:rowOff>
    </xdr:from>
    <xdr:to>
      <xdr:col>37</xdr:col>
      <xdr:colOff>182563</xdr:colOff>
      <xdr:row>79</xdr:row>
      <xdr:rowOff>103188</xdr:rowOff>
    </xdr:to>
    <xdr:sp macro="" textlink="">
      <xdr:nvSpPr>
        <xdr:cNvPr id="5" name="Oval 4">
          <a:extLst>
            <a:ext uri="{FF2B5EF4-FFF2-40B4-BE49-F238E27FC236}">
              <a16:creationId xmlns:a16="http://schemas.microsoft.com/office/drawing/2014/main" id="{1809018E-CB6F-844D-B38A-6CDEF93D2661}"/>
            </a:ext>
          </a:extLst>
        </xdr:cNvPr>
        <xdr:cNvSpPr/>
      </xdr:nvSpPr>
      <xdr:spPr>
        <a:xfrm>
          <a:off x="8112125" y="15073313"/>
          <a:ext cx="881063" cy="206375"/>
        </a:xfrm>
        <a:prstGeom prst="ellipse">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3回リトライ</a:t>
          </a:r>
        </a:p>
      </xdr:txBody>
    </xdr:sp>
    <xdr:clientData/>
  </xdr:twoCellAnchor>
  <xdr:twoCellAnchor>
    <xdr:from>
      <xdr:col>34</xdr:col>
      <xdr:colOff>7938</xdr:colOff>
      <xdr:row>88</xdr:row>
      <xdr:rowOff>103188</xdr:rowOff>
    </xdr:from>
    <xdr:to>
      <xdr:col>37</xdr:col>
      <xdr:colOff>174626</xdr:colOff>
      <xdr:row>89</xdr:row>
      <xdr:rowOff>119063</xdr:rowOff>
    </xdr:to>
    <xdr:sp macro="" textlink="">
      <xdr:nvSpPr>
        <xdr:cNvPr id="6" name="Oval 5">
          <a:extLst>
            <a:ext uri="{FF2B5EF4-FFF2-40B4-BE49-F238E27FC236}">
              <a16:creationId xmlns:a16="http://schemas.microsoft.com/office/drawing/2014/main" id="{0876ECC4-C5E9-2641-B723-A5738CD79A50}"/>
            </a:ext>
          </a:extLst>
        </xdr:cNvPr>
        <xdr:cNvSpPr/>
      </xdr:nvSpPr>
      <xdr:spPr>
        <a:xfrm>
          <a:off x="8104188" y="16994188"/>
          <a:ext cx="881063" cy="206375"/>
        </a:xfrm>
        <a:prstGeom prst="ellipse">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3回リトライ</a:t>
          </a:r>
        </a:p>
      </xdr:txBody>
    </xdr:sp>
    <xdr:clientData/>
  </xdr:twoCellAnchor>
  <xdr:twoCellAnchor>
    <xdr:from>
      <xdr:col>10</xdr:col>
      <xdr:colOff>31750</xdr:colOff>
      <xdr:row>122</xdr:row>
      <xdr:rowOff>87312</xdr:rowOff>
    </xdr:from>
    <xdr:to>
      <xdr:col>13</xdr:col>
      <xdr:colOff>198438</xdr:colOff>
      <xdr:row>123</xdr:row>
      <xdr:rowOff>103187</xdr:rowOff>
    </xdr:to>
    <xdr:sp macro="" textlink="">
      <xdr:nvSpPr>
        <xdr:cNvPr id="7" name="Oval 6">
          <a:extLst>
            <a:ext uri="{FF2B5EF4-FFF2-40B4-BE49-F238E27FC236}">
              <a16:creationId xmlns:a16="http://schemas.microsoft.com/office/drawing/2014/main" id="{FD8E0EBE-E293-2041-8203-05F81B391E97}"/>
            </a:ext>
          </a:extLst>
        </xdr:cNvPr>
        <xdr:cNvSpPr/>
      </xdr:nvSpPr>
      <xdr:spPr>
        <a:xfrm>
          <a:off x="2413000" y="23455312"/>
          <a:ext cx="881063" cy="206375"/>
        </a:xfrm>
        <a:prstGeom prst="ellipse">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3回リトライ</a:t>
          </a:r>
        </a:p>
      </xdr:txBody>
    </xdr:sp>
    <xdr:clientData/>
  </xdr:twoCellAnchor>
  <xdr:twoCellAnchor>
    <xdr:from>
      <xdr:col>10</xdr:col>
      <xdr:colOff>0</xdr:colOff>
      <xdr:row>141</xdr:row>
      <xdr:rowOff>103188</xdr:rowOff>
    </xdr:from>
    <xdr:to>
      <xdr:col>13</xdr:col>
      <xdr:colOff>166688</xdr:colOff>
      <xdr:row>142</xdr:row>
      <xdr:rowOff>119063</xdr:rowOff>
    </xdr:to>
    <xdr:sp macro="" textlink="">
      <xdr:nvSpPr>
        <xdr:cNvPr id="8" name="Oval 7">
          <a:extLst>
            <a:ext uri="{FF2B5EF4-FFF2-40B4-BE49-F238E27FC236}">
              <a16:creationId xmlns:a16="http://schemas.microsoft.com/office/drawing/2014/main" id="{C3203743-60EF-6E48-AAB6-C102EFA92A03}"/>
            </a:ext>
          </a:extLst>
        </xdr:cNvPr>
        <xdr:cNvSpPr/>
      </xdr:nvSpPr>
      <xdr:spPr>
        <a:xfrm>
          <a:off x="2381250" y="27090688"/>
          <a:ext cx="881063" cy="206375"/>
        </a:xfrm>
        <a:prstGeom prst="ellipse">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3回リトライ</a:t>
          </a:r>
        </a:p>
      </xdr:txBody>
    </xdr:sp>
    <xdr:clientData/>
  </xdr:twoCellAnchor>
  <xdr:twoCellAnchor>
    <xdr:from>
      <xdr:col>10</xdr:col>
      <xdr:colOff>55563</xdr:colOff>
      <xdr:row>160</xdr:row>
      <xdr:rowOff>63500</xdr:rowOff>
    </xdr:from>
    <xdr:to>
      <xdr:col>13</xdr:col>
      <xdr:colOff>222251</xdr:colOff>
      <xdr:row>161</xdr:row>
      <xdr:rowOff>79375</xdr:rowOff>
    </xdr:to>
    <xdr:sp macro="" textlink="">
      <xdr:nvSpPr>
        <xdr:cNvPr id="9" name="Oval 8">
          <a:extLst>
            <a:ext uri="{FF2B5EF4-FFF2-40B4-BE49-F238E27FC236}">
              <a16:creationId xmlns:a16="http://schemas.microsoft.com/office/drawing/2014/main" id="{87C2D2AE-D380-E945-BAE0-A4A47CD78DB8}"/>
            </a:ext>
          </a:extLst>
        </xdr:cNvPr>
        <xdr:cNvSpPr/>
      </xdr:nvSpPr>
      <xdr:spPr>
        <a:xfrm>
          <a:off x="2436813" y="30670500"/>
          <a:ext cx="881063" cy="206375"/>
        </a:xfrm>
        <a:prstGeom prst="ellipse">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3回リトライ</a:t>
          </a:r>
        </a:p>
      </xdr:txBody>
    </xdr:sp>
    <xdr:clientData/>
  </xdr:twoCellAnchor>
  <xdr:twoCellAnchor>
    <xdr:from>
      <xdr:col>10</xdr:col>
      <xdr:colOff>31750</xdr:colOff>
      <xdr:row>198</xdr:row>
      <xdr:rowOff>111125</xdr:rowOff>
    </xdr:from>
    <xdr:to>
      <xdr:col>13</xdr:col>
      <xdr:colOff>198438</xdr:colOff>
      <xdr:row>199</xdr:row>
      <xdr:rowOff>127000</xdr:rowOff>
    </xdr:to>
    <xdr:sp macro="" textlink="">
      <xdr:nvSpPr>
        <xdr:cNvPr id="10" name="Oval 9">
          <a:extLst>
            <a:ext uri="{FF2B5EF4-FFF2-40B4-BE49-F238E27FC236}">
              <a16:creationId xmlns:a16="http://schemas.microsoft.com/office/drawing/2014/main" id="{A3F30A6E-BE22-9048-98E7-372A85547FE8}"/>
            </a:ext>
          </a:extLst>
        </xdr:cNvPr>
        <xdr:cNvSpPr/>
      </xdr:nvSpPr>
      <xdr:spPr>
        <a:xfrm>
          <a:off x="2413000" y="37957125"/>
          <a:ext cx="881063" cy="206375"/>
        </a:xfrm>
        <a:prstGeom prst="ellipse">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3回リトライ</a:t>
          </a:r>
        </a:p>
      </xdr:txBody>
    </xdr:sp>
    <xdr:clientData/>
  </xdr:twoCellAnchor>
  <xdr:twoCellAnchor>
    <xdr:from>
      <xdr:col>10</xdr:col>
      <xdr:colOff>87312</xdr:colOff>
      <xdr:row>216</xdr:row>
      <xdr:rowOff>103187</xdr:rowOff>
    </xdr:from>
    <xdr:to>
      <xdr:col>14</xdr:col>
      <xdr:colOff>15875</xdr:colOff>
      <xdr:row>217</xdr:row>
      <xdr:rowOff>119062</xdr:rowOff>
    </xdr:to>
    <xdr:sp macro="" textlink="">
      <xdr:nvSpPr>
        <xdr:cNvPr id="11" name="Oval 10">
          <a:extLst>
            <a:ext uri="{FF2B5EF4-FFF2-40B4-BE49-F238E27FC236}">
              <a16:creationId xmlns:a16="http://schemas.microsoft.com/office/drawing/2014/main" id="{C23E18AB-B75F-4A4E-93BB-415BDB7B7BA1}"/>
            </a:ext>
          </a:extLst>
        </xdr:cNvPr>
        <xdr:cNvSpPr/>
      </xdr:nvSpPr>
      <xdr:spPr>
        <a:xfrm>
          <a:off x="2468562" y="41378187"/>
          <a:ext cx="881063" cy="206375"/>
        </a:xfrm>
        <a:prstGeom prst="ellipse">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3回リトライ</a:t>
          </a:r>
        </a:p>
      </xdr:txBody>
    </xdr:sp>
    <xdr:clientData/>
  </xdr:twoCellAnchor>
  <xdr:twoCellAnchor>
    <xdr:from>
      <xdr:col>10</xdr:col>
      <xdr:colOff>79375</xdr:colOff>
      <xdr:row>226</xdr:row>
      <xdr:rowOff>111125</xdr:rowOff>
    </xdr:from>
    <xdr:to>
      <xdr:col>14</xdr:col>
      <xdr:colOff>7938</xdr:colOff>
      <xdr:row>227</xdr:row>
      <xdr:rowOff>127000</xdr:rowOff>
    </xdr:to>
    <xdr:sp macro="" textlink="">
      <xdr:nvSpPr>
        <xdr:cNvPr id="12" name="Oval 11">
          <a:extLst>
            <a:ext uri="{FF2B5EF4-FFF2-40B4-BE49-F238E27FC236}">
              <a16:creationId xmlns:a16="http://schemas.microsoft.com/office/drawing/2014/main" id="{1A249142-BE3B-394A-8FFE-6B851C077C0F}"/>
            </a:ext>
          </a:extLst>
        </xdr:cNvPr>
        <xdr:cNvSpPr/>
      </xdr:nvSpPr>
      <xdr:spPr>
        <a:xfrm>
          <a:off x="2460625" y="43291125"/>
          <a:ext cx="881063" cy="206375"/>
        </a:xfrm>
        <a:prstGeom prst="ellipse">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3回リトライ</a:t>
          </a:r>
        </a:p>
      </xdr:txBody>
    </xdr:sp>
    <xdr:clientData/>
  </xdr:twoCellAnchor>
  <xdr:twoCellAnchor>
    <xdr:from>
      <xdr:col>4</xdr:col>
      <xdr:colOff>167640</xdr:colOff>
      <xdr:row>113</xdr:row>
      <xdr:rowOff>87312</xdr:rowOff>
    </xdr:from>
    <xdr:to>
      <xdr:col>8</xdr:col>
      <xdr:colOff>90488</xdr:colOff>
      <xdr:row>114</xdr:row>
      <xdr:rowOff>103187</xdr:rowOff>
    </xdr:to>
    <xdr:sp macro="" textlink="">
      <xdr:nvSpPr>
        <xdr:cNvPr id="13" name="Oval 12">
          <a:extLst>
            <a:ext uri="{FF2B5EF4-FFF2-40B4-BE49-F238E27FC236}">
              <a16:creationId xmlns:a16="http://schemas.microsoft.com/office/drawing/2014/main" id="{1FF4B080-0090-0047-8F69-0C9A1287AB1A}"/>
            </a:ext>
          </a:extLst>
        </xdr:cNvPr>
        <xdr:cNvSpPr/>
      </xdr:nvSpPr>
      <xdr:spPr>
        <a:xfrm>
          <a:off x="1143000" y="22012592"/>
          <a:ext cx="898208" cy="208915"/>
        </a:xfrm>
        <a:prstGeom prst="ellipse">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順番処理</a:t>
          </a:r>
        </a:p>
      </xdr:txBody>
    </xdr:sp>
    <xdr:clientData/>
  </xdr:twoCellAnchor>
  <xdr:oneCellAnchor>
    <xdr:from>
      <xdr:col>23</xdr:col>
      <xdr:colOff>162243</xdr:colOff>
      <xdr:row>86</xdr:row>
      <xdr:rowOff>87948</xdr:rowOff>
    </xdr:from>
    <xdr:ext cx="482889" cy="267317"/>
    <xdr:sp macro="" textlink="">
      <xdr:nvSpPr>
        <xdr:cNvPr id="14" name="TextBox 13">
          <a:extLst>
            <a:ext uri="{FF2B5EF4-FFF2-40B4-BE49-F238E27FC236}">
              <a16:creationId xmlns:a16="http://schemas.microsoft.com/office/drawing/2014/main" id="{16F95A68-0F11-B14F-9B8A-A839877199B6}"/>
            </a:ext>
          </a:extLst>
        </xdr:cNvPr>
        <xdr:cNvSpPr txBox="1"/>
      </xdr:nvSpPr>
      <xdr:spPr>
        <a:xfrm>
          <a:off x="5770563" y="16801148"/>
          <a:ext cx="482889"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SGのみ</a:t>
          </a:r>
        </a:p>
      </xdr:txBody>
    </xdr:sp>
    <xdr:clientData/>
  </xdr:oneCellAnchor>
  <xdr:twoCellAnchor>
    <xdr:from>
      <xdr:col>1</xdr:col>
      <xdr:colOff>7937</xdr:colOff>
      <xdr:row>251</xdr:row>
      <xdr:rowOff>15874</xdr:rowOff>
    </xdr:from>
    <xdr:to>
      <xdr:col>6</xdr:col>
      <xdr:colOff>8599</xdr:colOff>
      <xdr:row>254</xdr:row>
      <xdr:rowOff>182880</xdr:rowOff>
    </xdr:to>
    <xdr:sp macro="" textlink="">
      <xdr:nvSpPr>
        <xdr:cNvPr id="15" name="Rectangle 14">
          <a:extLst>
            <a:ext uri="{FF2B5EF4-FFF2-40B4-BE49-F238E27FC236}">
              <a16:creationId xmlns:a16="http://schemas.microsoft.com/office/drawing/2014/main" id="{BCD8CE09-427D-694B-B1B8-CFA21D9A2389}"/>
            </a:ext>
          </a:extLst>
        </xdr:cNvPr>
        <xdr:cNvSpPr/>
      </xdr:nvSpPr>
      <xdr:spPr>
        <a:xfrm>
          <a:off x="251777" y="48580674"/>
          <a:ext cx="1219862" cy="746126"/>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700">
              <a:solidFill>
                <a:sysClr val="windowText" lastClr="000000"/>
              </a:solidFill>
              <a:latin typeface="Meiryo UI" panose="020B0604030504040204" pitchFamily="50" charset="-128"/>
              <a:ea typeface="Meiryo UI" panose="020B0604030504040204" pitchFamily="50" charset="-128"/>
            </a:rPr>
            <a:t>・Itemmasterの場合</a:t>
          </a:r>
        </a:p>
        <a:p>
          <a:pPr algn="l"/>
          <a:r>
            <a:rPr lang="en-GB" sz="700">
              <a:solidFill>
                <a:sysClr val="windowText" lastClr="000000"/>
              </a:solidFill>
              <a:latin typeface="Meiryo UI" panose="020B0604030504040204" pitchFamily="50" charset="-128"/>
              <a:ea typeface="Meiryo UI" panose="020B0604030504040204" pitchFamily="50" charset="-128"/>
            </a:rPr>
            <a:t>毎日</a:t>
          </a:r>
          <a:r>
            <a:rPr lang="ja-JP" altLang="en-US" sz="700">
              <a:solidFill>
                <a:sysClr val="windowText" lastClr="000000"/>
              </a:solidFill>
              <a:latin typeface="Meiryo UI" panose="020B0604030504040204" pitchFamily="50" charset="-128"/>
              <a:ea typeface="Meiryo UI" panose="020B0604030504040204" pitchFamily="50" charset="-128"/>
            </a:rPr>
            <a:t>　</a:t>
          </a:r>
          <a:r>
            <a:rPr lang="en-US" altLang="ja-JP" sz="700">
              <a:solidFill>
                <a:sysClr val="windowText" lastClr="000000"/>
              </a:solidFill>
              <a:latin typeface="Meiryo UI" panose="020B0604030504040204" pitchFamily="50" charset="-128"/>
              <a:ea typeface="Meiryo UI" panose="020B0604030504040204" pitchFamily="50" charset="-128"/>
            </a:rPr>
            <a:t>5:30 JST</a:t>
          </a:r>
        </a:p>
        <a:p>
          <a:pPr algn="l"/>
          <a:r>
            <a:rPr lang="en-US" sz="700">
              <a:solidFill>
                <a:sysClr val="windowText" lastClr="000000"/>
              </a:solidFill>
              <a:latin typeface="Meiryo UI" panose="020B0604030504040204" pitchFamily="50" charset="-128"/>
              <a:ea typeface="Meiryo UI" panose="020B0604030504040204" pitchFamily="50" charset="-128"/>
            </a:rPr>
            <a:t>・P001の場合</a:t>
          </a:r>
        </a:p>
        <a:p>
          <a:pPr algn="l"/>
          <a:r>
            <a:rPr lang="en-US" sz="700">
              <a:solidFill>
                <a:sysClr val="windowText" lastClr="000000"/>
              </a:solidFill>
              <a:latin typeface="Meiryo UI" panose="020B0604030504040204" pitchFamily="50" charset="-128"/>
              <a:ea typeface="Meiryo UI" panose="020B0604030504040204" pitchFamily="50" charset="-128"/>
            </a:rPr>
            <a:t>毎日 00:00 JST</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7</xdr:col>
      <xdr:colOff>11575</xdr:colOff>
      <xdr:row>256</xdr:row>
      <xdr:rowOff>3973</xdr:rowOff>
    </xdr:from>
    <xdr:to>
      <xdr:col>12</xdr:col>
      <xdr:colOff>12238</xdr:colOff>
      <xdr:row>258</xdr:row>
      <xdr:rowOff>178589</xdr:rowOff>
    </xdr:to>
    <xdr:sp macro="" textlink="">
      <xdr:nvSpPr>
        <xdr:cNvPr id="16" name="Rectangle 15">
          <a:extLst>
            <a:ext uri="{FF2B5EF4-FFF2-40B4-BE49-F238E27FC236}">
              <a16:creationId xmlns:a16="http://schemas.microsoft.com/office/drawing/2014/main" id="{F5F3867F-45CE-D140-9BA9-9D72BF0731EF}"/>
            </a:ext>
          </a:extLst>
        </xdr:cNvPr>
        <xdr:cNvSpPr/>
      </xdr:nvSpPr>
      <xdr:spPr>
        <a:xfrm>
          <a:off x="1718455" y="36986373"/>
          <a:ext cx="1219863" cy="560696"/>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700">
              <a:solidFill>
                <a:sysClr val="windowText" lastClr="000000"/>
              </a:solidFill>
              <a:latin typeface="Meiryo UI" panose="020B0604030504040204" pitchFamily="50" charset="-128"/>
              <a:ea typeface="Meiryo UI" panose="020B0604030504040204" pitchFamily="50" charset="-128"/>
            </a:rPr>
            <a:t>監視店舗コードを取得</a:t>
          </a:r>
        </a:p>
      </xdr:txBody>
    </xdr:sp>
    <xdr:clientData/>
  </xdr:twoCellAnchor>
  <xdr:twoCellAnchor>
    <xdr:from>
      <xdr:col>3</xdr:col>
      <xdr:colOff>130188</xdr:colOff>
      <xdr:row>254</xdr:row>
      <xdr:rowOff>182879</xdr:rowOff>
    </xdr:from>
    <xdr:to>
      <xdr:col>9</xdr:col>
      <xdr:colOff>133827</xdr:colOff>
      <xdr:row>256</xdr:row>
      <xdr:rowOff>3972</xdr:rowOff>
    </xdr:to>
    <xdr:cxnSp macro="">
      <xdr:nvCxnSpPr>
        <xdr:cNvPr id="19" name="Elbow Connector 18">
          <a:extLst>
            <a:ext uri="{FF2B5EF4-FFF2-40B4-BE49-F238E27FC236}">
              <a16:creationId xmlns:a16="http://schemas.microsoft.com/office/drawing/2014/main" id="{541850A9-D565-0B45-A5AC-5087450FAF5E}"/>
            </a:ext>
          </a:extLst>
        </xdr:cNvPr>
        <xdr:cNvCxnSpPr>
          <a:stCxn id="15" idx="2"/>
          <a:endCxn id="16" idx="0"/>
        </xdr:cNvCxnSpPr>
      </xdr:nvCxnSpPr>
      <xdr:spPr>
        <a:xfrm rot="16200000" flipH="1">
          <a:off x="1491461" y="48697046"/>
          <a:ext cx="207173" cy="1466679"/>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1820</xdr:colOff>
      <xdr:row>261</xdr:row>
      <xdr:rowOff>7937</xdr:rowOff>
    </xdr:from>
    <xdr:to>
      <xdr:col>12</xdr:col>
      <xdr:colOff>2482</xdr:colOff>
      <xdr:row>263</xdr:row>
      <xdr:rowOff>184131</xdr:rowOff>
    </xdr:to>
    <xdr:sp macro="" textlink="">
      <xdr:nvSpPr>
        <xdr:cNvPr id="20" name="Rectangle 19">
          <a:extLst>
            <a:ext uri="{FF2B5EF4-FFF2-40B4-BE49-F238E27FC236}">
              <a16:creationId xmlns:a16="http://schemas.microsoft.com/office/drawing/2014/main" id="{8807DF87-CB3A-284F-8253-62B9402CF413}"/>
            </a:ext>
          </a:extLst>
        </xdr:cNvPr>
        <xdr:cNvSpPr/>
      </xdr:nvSpPr>
      <xdr:spPr>
        <a:xfrm>
          <a:off x="1708700" y="37955537"/>
          <a:ext cx="1219862" cy="5622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700">
              <a:solidFill>
                <a:sysClr val="windowText" lastClr="000000"/>
              </a:solidFill>
              <a:latin typeface="Meiryo UI" panose="020B0604030504040204" pitchFamily="50" charset="-128"/>
              <a:ea typeface="Meiryo UI" panose="020B0604030504040204" pitchFamily="50" charset="-128"/>
            </a:rPr>
            <a:t>対処データを取得する</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13</xdr:col>
      <xdr:colOff>9683</xdr:colOff>
      <xdr:row>256</xdr:row>
      <xdr:rowOff>20511</xdr:rowOff>
    </xdr:from>
    <xdr:to>
      <xdr:col>18</xdr:col>
      <xdr:colOff>10345</xdr:colOff>
      <xdr:row>258</xdr:row>
      <xdr:rowOff>171557</xdr:rowOff>
    </xdr:to>
    <xdr:sp macro="" textlink="">
      <xdr:nvSpPr>
        <xdr:cNvPr id="21" name="Cylinder 16">
          <a:extLst>
            <a:ext uri="{FF2B5EF4-FFF2-40B4-BE49-F238E27FC236}">
              <a16:creationId xmlns:a16="http://schemas.microsoft.com/office/drawing/2014/main" id="{E4DDEBA7-6A15-344A-94C5-D01AAC162C34}"/>
            </a:ext>
          </a:extLst>
        </xdr:cNvPr>
        <xdr:cNvSpPr/>
      </xdr:nvSpPr>
      <xdr:spPr>
        <a:xfrm>
          <a:off x="3179603" y="49550511"/>
          <a:ext cx="1219862" cy="537126"/>
        </a:xfrm>
        <a:prstGeom prst="can">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600">
              <a:solidFill>
                <a:sysClr val="windowText" lastClr="000000"/>
              </a:solidFill>
              <a:latin typeface="Meiryo UI" panose="020B0604030504040204" pitchFamily="50" charset="-128"/>
              <a:ea typeface="Meiryo UI" panose="020B0604030504040204" pitchFamily="50" charset="-128"/>
            </a:rPr>
            <a:t>Replica</a:t>
          </a:r>
        </a:p>
        <a:p>
          <a:pPr algn="ctr"/>
          <a:r>
            <a:rPr lang="ja-JP" altLang="en-US" sz="600">
              <a:solidFill>
                <a:sysClr val="windowText" lastClr="000000"/>
              </a:solidFill>
              <a:latin typeface="Meiryo UI" panose="020B0604030504040204" pitchFamily="50" charset="-128"/>
              <a:ea typeface="Meiryo UI" panose="020B0604030504040204" pitchFamily="50" charset="-128"/>
            </a:rPr>
            <a:t>データベース</a:t>
          </a:r>
          <a:endParaRPr lang="en-GB" sz="6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50</xdr:col>
      <xdr:colOff>12238</xdr:colOff>
      <xdr:row>266</xdr:row>
      <xdr:rowOff>7937</xdr:rowOff>
    </xdr:from>
    <xdr:to>
      <xdr:col>54</xdr:col>
      <xdr:colOff>248653</xdr:colOff>
      <xdr:row>268</xdr:row>
      <xdr:rowOff>190499</xdr:rowOff>
    </xdr:to>
    <xdr:sp macro="" textlink="">
      <xdr:nvSpPr>
        <xdr:cNvPr id="23" name="Flowchart: Document 25">
          <a:extLst>
            <a:ext uri="{FF2B5EF4-FFF2-40B4-BE49-F238E27FC236}">
              <a16:creationId xmlns:a16="http://schemas.microsoft.com/office/drawing/2014/main" id="{932F5553-576C-524A-9BB2-94EC8B3D9B7A}"/>
            </a:ext>
          </a:extLst>
        </xdr:cNvPr>
        <xdr:cNvSpPr/>
      </xdr:nvSpPr>
      <xdr:spPr>
        <a:xfrm>
          <a:off x="12214398" y="38920737"/>
          <a:ext cx="1211775" cy="568642"/>
        </a:xfrm>
        <a:prstGeom prst="flowChartDocumen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700">
              <a:solidFill>
                <a:sysClr val="windowText" lastClr="000000"/>
              </a:solidFill>
              <a:latin typeface="Meiryo UI" panose="020B0604030504040204" pitchFamily="50" charset="-128"/>
              <a:ea typeface="Meiryo UI" panose="020B0604030504040204" pitchFamily="50" charset="-128"/>
            </a:rPr>
            <a:t>エラーログ</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56</xdr:col>
      <xdr:colOff>46040</xdr:colOff>
      <xdr:row>266</xdr:row>
      <xdr:rowOff>19843</xdr:rowOff>
    </xdr:from>
    <xdr:to>
      <xdr:col>61</xdr:col>
      <xdr:colOff>14288</xdr:colOff>
      <xdr:row>268</xdr:row>
      <xdr:rowOff>178593</xdr:rowOff>
    </xdr:to>
    <xdr:sp macro="" textlink="">
      <xdr:nvSpPr>
        <xdr:cNvPr id="24" name="Data 23">
          <a:extLst>
            <a:ext uri="{FF2B5EF4-FFF2-40B4-BE49-F238E27FC236}">
              <a16:creationId xmlns:a16="http://schemas.microsoft.com/office/drawing/2014/main" id="{1B0702DE-386A-4841-A57F-FBE98EAB025B}"/>
            </a:ext>
          </a:extLst>
        </xdr:cNvPr>
        <xdr:cNvSpPr/>
      </xdr:nvSpPr>
      <xdr:spPr>
        <a:xfrm>
          <a:off x="13721400" y="38932643"/>
          <a:ext cx="1156968" cy="544830"/>
        </a:xfrm>
        <a:prstGeom prst="flowChartInputOutpu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700">
              <a:solidFill>
                <a:sysClr val="windowText" lastClr="000000"/>
              </a:solidFill>
              <a:latin typeface="Meiryo UI" panose="020B0604030504040204" pitchFamily="34" charset="-128"/>
              <a:ea typeface="Meiryo UI" panose="020B0604030504040204" pitchFamily="34" charset="-128"/>
            </a:rPr>
            <a:t>メール送信</a:t>
          </a:r>
        </a:p>
      </xdr:txBody>
    </xdr:sp>
    <xdr:clientData/>
  </xdr:twoCellAnchor>
  <xdr:twoCellAnchor>
    <xdr:from>
      <xdr:col>54</xdr:col>
      <xdr:colOff>248653</xdr:colOff>
      <xdr:row>267</xdr:row>
      <xdr:rowOff>99218</xdr:rowOff>
    </xdr:from>
    <xdr:to>
      <xdr:col>56</xdr:col>
      <xdr:colOff>159546</xdr:colOff>
      <xdr:row>267</xdr:row>
      <xdr:rowOff>99218</xdr:rowOff>
    </xdr:to>
    <xdr:cxnSp macro="">
      <xdr:nvCxnSpPr>
        <xdr:cNvPr id="25" name="Straight Arrow Connector 24">
          <a:extLst>
            <a:ext uri="{FF2B5EF4-FFF2-40B4-BE49-F238E27FC236}">
              <a16:creationId xmlns:a16="http://schemas.microsoft.com/office/drawing/2014/main" id="{82F2EF68-6C1D-F347-A232-B0D638FF1A0A}"/>
            </a:ext>
          </a:extLst>
        </xdr:cNvPr>
        <xdr:cNvCxnSpPr>
          <a:cxnSpLocks/>
          <a:stCxn id="23" idx="3"/>
          <a:endCxn id="24" idx="2"/>
        </xdr:cNvCxnSpPr>
      </xdr:nvCxnSpPr>
      <xdr:spPr>
        <a:xfrm>
          <a:off x="13426173" y="39205058"/>
          <a:ext cx="408733"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6119</xdr:colOff>
      <xdr:row>267</xdr:row>
      <xdr:rowOff>99218</xdr:rowOff>
    </xdr:from>
    <xdr:to>
      <xdr:col>50</xdr:col>
      <xdr:colOff>12238</xdr:colOff>
      <xdr:row>267</xdr:row>
      <xdr:rowOff>99218</xdr:rowOff>
    </xdr:to>
    <xdr:cxnSp macro="">
      <xdr:nvCxnSpPr>
        <xdr:cNvPr id="26" name="Straight Arrow Connector 25">
          <a:extLst>
            <a:ext uri="{FF2B5EF4-FFF2-40B4-BE49-F238E27FC236}">
              <a16:creationId xmlns:a16="http://schemas.microsoft.com/office/drawing/2014/main" id="{55A7D145-0D3D-F44B-8F0E-74DB38274A96}"/>
            </a:ext>
          </a:extLst>
        </xdr:cNvPr>
        <xdr:cNvCxnSpPr>
          <a:cxnSpLocks/>
          <a:stCxn id="29" idx="3"/>
          <a:endCxn id="23" idx="1"/>
        </xdr:cNvCxnSpPr>
      </xdr:nvCxnSpPr>
      <xdr:spPr>
        <a:xfrm>
          <a:off x="2932199" y="39205058"/>
          <a:ext cx="9282199"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12238</xdr:colOff>
      <xdr:row>257</xdr:row>
      <xdr:rowOff>91281</xdr:rowOff>
    </xdr:from>
    <xdr:to>
      <xdr:col>13</xdr:col>
      <xdr:colOff>9683</xdr:colOff>
      <xdr:row>257</xdr:row>
      <xdr:rowOff>96034</xdr:rowOff>
    </xdr:to>
    <xdr:cxnSp macro="">
      <xdr:nvCxnSpPr>
        <xdr:cNvPr id="28" name="Straight Arrow Connector 27">
          <a:extLst>
            <a:ext uri="{FF2B5EF4-FFF2-40B4-BE49-F238E27FC236}">
              <a16:creationId xmlns:a16="http://schemas.microsoft.com/office/drawing/2014/main" id="{3116C1FC-ACF1-F142-A09B-8126FEBD5255}"/>
            </a:ext>
          </a:extLst>
        </xdr:cNvPr>
        <xdr:cNvCxnSpPr>
          <a:cxnSpLocks/>
          <a:stCxn id="16" idx="3"/>
          <a:endCxn id="21" idx="2"/>
        </xdr:cNvCxnSpPr>
      </xdr:nvCxnSpPr>
      <xdr:spPr>
        <a:xfrm>
          <a:off x="2938318" y="49814321"/>
          <a:ext cx="241285" cy="47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236307</xdr:colOff>
      <xdr:row>266</xdr:row>
      <xdr:rowOff>11905</xdr:rowOff>
    </xdr:from>
    <xdr:to>
      <xdr:col>12</xdr:col>
      <xdr:colOff>6119</xdr:colOff>
      <xdr:row>268</xdr:row>
      <xdr:rowOff>186531</xdr:rowOff>
    </xdr:to>
    <xdr:sp macro="" textlink="">
      <xdr:nvSpPr>
        <xdr:cNvPr id="29" name="Decision 28">
          <a:extLst>
            <a:ext uri="{FF2B5EF4-FFF2-40B4-BE49-F238E27FC236}">
              <a16:creationId xmlns:a16="http://schemas.microsoft.com/office/drawing/2014/main" id="{5C0A48A3-4324-C446-849F-3AE4CA2A6883}"/>
            </a:ext>
          </a:extLst>
        </xdr:cNvPr>
        <xdr:cNvSpPr/>
      </xdr:nvSpPr>
      <xdr:spPr>
        <a:xfrm>
          <a:off x="1699347" y="38924705"/>
          <a:ext cx="1232852" cy="560706"/>
        </a:xfrm>
        <a:prstGeom prst="flowChartDecision">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ある？</a:t>
          </a:r>
        </a:p>
      </xdr:txBody>
    </xdr:sp>
    <xdr:clientData/>
  </xdr:twoCellAnchor>
  <xdr:twoCellAnchor>
    <xdr:from>
      <xdr:col>9</xdr:col>
      <xdr:colOff>120810</xdr:colOff>
      <xdr:row>268</xdr:row>
      <xdr:rowOff>186531</xdr:rowOff>
    </xdr:from>
    <xdr:to>
      <xdr:col>9</xdr:col>
      <xdr:colOff>121213</xdr:colOff>
      <xdr:row>271</xdr:row>
      <xdr:rowOff>3725</xdr:rowOff>
    </xdr:to>
    <xdr:cxnSp macro="">
      <xdr:nvCxnSpPr>
        <xdr:cNvPr id="30" name="Straight Arrow Connector 29">
          <a:extLst>
            <a:ext uri="{FF2B5EF4-FFF2-40B4-BE49-F238E27FC236}">
              <a16:creationId xmlns:a16="http://schemas.microsoft.com/office/drawing/2014/main" id="{FBD0685C-B1EE-C04F-ADC1-BA5AE570DE7E}"/>
            </a:ext>
          </a:extLst>
        </xdr:cNvPr>
        <xdr:cNvCxnSpPr>
          <a:cxnSpLocks/>
          <a:stCxn id="29" idx="2"/>
          <a:endCxn id="5387" idx="0"/>
        </xdr:cNvCxnSpPr>
      </xdr:nvCxnSpPr>
      <xdr:spPr>
        <a:xfrm flipH="1">
          <a:off x="2315370" y="52033011"/>
          <a:ext cx="403" cy="39631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12</xdr:col>
      <xdr:colOff>149225</xdr:colOff>
      <xdr:row>266</xdr:row>
      <xdr:rowOff>47625</xdr:rowOff>
    </xdr:from>
    <xdr:ext cx="304507" cy="267317"/>
    <xdr:sp macro="" textlink="">
      <xdr:nvSpPr>
        <xdr:cNvPr id="33" name="TextBox 32">
          <a:extLst>
            <a:ext uri="{FF2B5EF4-FFF2-40B4-BE49-F238E27FC236}">
              <a16:creationId xmlns:a16="http://schemas.microsoft.com/office/drawing/2014/main" id="{9E64C6D3-346F-5D40-9E94-8C8AB3459579}"/>
            </a:ext>
          </a:extLst>
        </xdr:cNvPr>
        <xdr:cNvSpPr txBox="1"/>
      </xdr:nvSpPr>
      <xdr:spPr>
        <a:xfrm>
          <a:off x="3075305" y="51508025"/>
          <a:ext cx="304507"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No</a:t>
          </a:r>
        </a:p>
      </xdr:txBody>
    </xdr:sp>
    <xdr:clientData/>
  </xdr:oneCellAnchor>
  <xdr:oneCellAnchor>
    <xdr:from>
      <xdr:col>9</xdr:col>
      <xdr:colOff>198437</xdr:colOff>
      <xdr:row>268</xdr:row>
      <xdr:rowOff>168275</xdr:rowOff>
    </xdr:from>
    <xdr:ext cx="337785" cy="267317"/>
    <xdr:sp macro="" textlink="">
      <xdr:nvSpPr>
        <xdr:cNvPr id="34" name="TextBox 33">
          <a:extLst>
            <a:ext uri="{FF2B5EF4-FFF2-40B4-BE49-F238E27FC236}">
              <a16:creationId xmlns:a16="http://schemas.microsoft.com/office/drawing/2014/main" id="{7209F790-BDC6-0B44-9DAD-BBA4F8CA6EFE}"/>
            </a:ext>
          </a:extLst>
        </xdr:cNvPr>
        <xdr:cNvSpPr txBox="1"/>
      </xdr:nvSpPr>
      <xdr:spPr>
        <a:xfrm>
          <a:off x="2392997" y="52014755"/>
          <a:ext cx="337785"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Yes</a:t>
          </a:r>
        </a:p>
      </xdr:txBody>
    </xdr:sp>
    <xdr:clientData/>
  </xdr:oneCellAnchor>
  <xdr:twoCellAnchor>
    <xdr:from>
      <xdr:col>9</xdr:col>
      <xdr:colOff>121214</xdr:colOff>
      <xdr:row>258</xdr:row>
      <xdr:rowOff>178589</xdr:rowOff>
    </xdr:from>
    <xdr:to>
      <xdr:col>9</xdr:col>
      <xdr:colOff>130969</xdr:colOff>
      <xdr:row>261</xdr:row>
      <xdr:rowOff>7937</xdr:rowOff>
    </xdr:to>
    <xdr:cxnSp macro="">
      <xdr:nvCxnSpPr>
        <xdr:cNvPr id="37" name="Straight Arrow Connector 36">
          <a:extLst>
            <a:ext uri="{FF2B5EF4-FFF2-40B4-BE49-F238E27FC236}">
              <a16:creationId xmlns:a16="http://schemas.microsoft.com/office/drawing/2014/main" id="{B42B7F93-7DF1-C14E-8642-0F43E0F05180}"/>
            </a:ext>
          </a:extLst>
        </xdr:cNvPr>
        <xdr:cNvCxnSpPr>
          <a:cxnSpLocks/>
          <a:stCxn id="16" idx="2"/>
          <a:endCxn id="20" idx="0"/>
        </xdr:cNvCxnSpPr>
      </xdr:nvCxnSpPr>
      <xdr:spPr>
        <a:xfrm flipH="1">
          <a:off x="2315774" y="37547069"/>
          <a:ext cx="9755" cy="4084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121213</xdr:colOff>
      <xdr:row>263</xdr:row>
      <xdr:rowOff>184131</xdr:rowOff>
    </xdr:from>
    <xdr:to>
      <xdr:col>9</xdr:col>
      <xdr:colOff>121214</xdr:colOff>
      <xdr:row>266</xdr:row>
      <xdr:rowOff>11905</xdr:rowOff>
    </xdr:to>
    <xdr:cxnSp macro="">
      <xdr:nvCxnSpPr>
        <xdr:cNvPr id="38" name="Straight Arrow Connector 37">
          <a:extLst>
            <a:ext uri="{FF2B5EF4-FFF2-40B4-BE49-F238E27FC236}">
              <a16:creationId xmlns:a16="http://schemas.microsoft.com/office/drawing/2014/main" id="{B38F7F4B-C0C3-E246-A9F5-AA931794C280}"/>
            </a:ext>
          </a:extLst>
        </xdr:cNvPr>
        <xdr:cNvCxnSpPr>
          <a:cxnSpLocks/>
          <a:stCxn id="20" idx="2"/>
          <a:endCxn id="29" idx="0"/>
        </xdr:cNvCxnSpPr>
      </xdr:nvCxnSpPr>
      <xdr:spPr>
        <a:xfrm flipH="1">
          <a:off x="2315773" y="38517811"/>
          <a:ext cx="1" cy="40689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17622</xdr:colOff>
      <xdr:row>271</xdr:row>
      <xdr:rowOff>3725</xdr:rowOff>
    </xdr:from>
    <xdr:to>
      <xdr:col>11</xdr:col>
      <xdr:colOff>223997</xdr:colOff>
      <xdr:row>272</xdr:row>
      <xdr:rowOff>170413</xdr:rowOff>
    </xdr:to>
    <xdr:sp macro="" textlink="">
      <xdr:nvSpPr>
        <xdr:cNvPr id="5387" name="Flowchart: Terminator 109">
          <a:extLst>
            <a:ext uri="{FF2B5EF4-FFF2-40B4-BE49-F238E27FC236}">
              <a16:creationId xmlns:a16="http://schemas.microsoft.com/office/drawing/2014/main" id="{E250FF42-B61E-3E48-AB3A-A1ACAF98D969}"/>
            </a:ext>
          </a:extLst>
        </xdr:cNvPr>
        <xdr:cNvSpPr/>
      </xdr:nvSpPr>
      <xdr:spPr>
        <a:xfrm>
          <a:off x="1724502" y="52429325"/>
          <a:ext cx="1181735" cy="359728"/>
        </a:xfrm>
        <a:prstGeom prst="flowChartTerminator">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700">
              <a:solidFill>
                <a:sysClr val="windowText" lastClr="000000"/>
              </a:solidFill>
              <a:latin typeface="Meiryo UI" panose="020B0604030504040204" pitchFamily="50" charset="-128"/>
              <a:ea typeface="Meiryo UI" panose="020B0604030504040204" pitchFamily="50" charset="-128"/>
            </a:rPr>
            <a:t>終了</a:t>
          </a:r>
          <a:endParaRPr lang="en-GB"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xdr:col>
      <xdr:colOff>1270</xdr:colOff>
      <xdr:row>258</xdr:row>
      <xdr:rowOff>90805</xdr:rowOff>
    </xdr:from>
    <xdr:to>
      <xdr:col>8</xdr:col>
      <xdr:colOff>167958</xdr:colOff>
      <xdr:row>259</xdr:row>
      <xdr:rowOff>106680</xdr:rowOff>
    </xdr:to>
    <xdr:sp macro="" textlink="">
      <xdr:nvSpPr>
        <xdr:cNvPr id="5395" name="Oval 5394">
          <a:extLst>
            <a:ext uri="{FF2B5EF4-FFF2-40B4-BE49-F238E27FC236}">
              <a16:creationId xmlns:a16="http://schemas.microsoft.com/office/drawing/2014/main" id="{38C736B0-5572-1B40-BC5A-35333BE476D2}"/>
            </a:ext>
          </a:extLst>
        </xdr:cNvPr>
        <xdr:cNvSpPr/>
      </xdr:nvSpPr>
      <xdr:spPr>
        <a:xfrm>
          <a:off x="1220470" y="50006885"/>
          <a:ext cx="898208" cy="208915"/>
        </a:xfrm>
        <a:prstGeom prst="ellipse">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3回リトライ</a:t>
          </a:r>
        </a:p>
      </xdr:txBody>
    </xdr:sp>
    <xdr:clientData/>
  </xdr:twoCellAnchor>
  <xdr:twoCellAnchor>
    <xdr:from>
      <xdr:col>10</xdr:col>
      <xdr:colOff>184150</xdr:colOff>
      <xdr:row>199</xdr:row>
      <xdr:rowOff>70485</xdr:rowOff>
    </xdr:from>
    <xdr:to>
      <xdr:col>14</xdr:col>
      <xdr:colOff>106998</xdr:colOff>
      <xdr:row>200</xdr:row>
      <xdr:rowOff>86360</xdr:rowOff>
    </xdr:to>
    <xdr:sp macro="" textlink="">
      <xdr:nvSpPr>
        <xdr:cNvPr id="5405" name="Oval 5404">
          <a:extLst>
            <a:ext uri="{FF2B5EF4-FFF2-40B4-BE49-F238E27FC236}">
              <a16:creationId xmlns:a16="http://schemas.microsoft.com/office/drawing/2014/main" id="{8BBE3D72-4BBA-C447-A671-88673D0A7E83}"/>
            </a:ext>
          </a:extLst>
        </xdr:cNvPr>
        <xdr:cNvSpPr/>
      </xdr:nvSpPr>
      <xdr:spPr>
        <a:xfrm>
          <a:off x="2622550" y="38597205"/>
          <a:ext cx="898208" cy="208915"/>
        </a:xfrm>
        <a:prstGeom prst="ellipse">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3回リトライ</a:t>
          </a:r>
        </a:p>
      </xdr:txBody>
    </xdr:sp>
    <xdr:clientData/>
  </xdr:twoCellAnchor>
  <xdr:twoCellAnchor>
    <xdr:from>
      <xdr:col>13</xdr:col>
      <xdr:colOff>19843</xdr:colOff>
      <xdr:row>261</xdr:row>
      <xdr:rowOff>20511</xdr:rowOff>
    </xdr:from>
    <xdr:to>
      <xdr:col>18</xdr:col>
      <xdr:colOff>20505</xdr:colOff>
      <xdr:row>263</xdr:row>
      <xdr:rowOff>171557</xdr:rowOff>
    </xdr:to>
    <xdr:sp macro="" textlink="">
      <xdr:nvSpPr>
        <xdr:cNvPr id="5406" name="Cylinder 16">
          <a:extLst>
            <a:ext uri="{FF2B5EF4-FFF2-40B4-BE49-F238E27FC236}">
              <a16:creationId xmlns:a16="http://schemas.microsoft.com/office/drawing/2014/main" id="{9ED15B07-EED7-3D40-A5A1-D6E1D00C158F}"/>
            </a:ext>
          </a:extLst>
        </xdr:cNvPr>
        <xdr:cNvSpPr/>
      </xdr:nvSpPr>
      <xdr:spPr>
        <a:xfrm>
          <a:off x="3189763" y="50515711"/>
          <a:ext cx="1219862" cy="537126"/>
        </a:xfrm>
        <a:prstGeom prst="can">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600">
              <a:solidFill>
                <a:sysClr val="windowText" lastClr="000000"/>
              </a:solidFill>
              <a:latin typeface="Meiryo UI" panose="020B0604030504040204" pitchFamily="50" charset="-128"/>
              <a:ea typeface="Meiryo UI" panose="020B0604030504040204" pitchFamily="50" charset="-128"/>
            </a:rPr>
            <a:t>Replica</a:t>
          </a:r>
        </a:p>
        <a:p>
          <a:pPr algn="ctr"/>
          <a:r>
            <a:rPr lang="ja-JP" altLang="en-US" sz="600">
              <a:solidFill>
                <a:sysClr val="windowText" lastClr="000000"/>
              </a:solidFill>
              <a:latin typeface="Meiryo UI" panose="020B0604030504040204" pitchFamily="50" charset="-128"/>
              <a:ea typeface="Meiryo UI" panose="020B0604030504040204" pitchFamily="50" charset="-128"/>
            </a:rPr>
            <a:t>データベース</a:t>
          </a:r>
          <a:endParaRPr lang="en-GB" sz="6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12</xdr:col>
      <xdr:colOff>2482</xdr:colOff>
      <xdr:row>262</xdr:row>
      <xdr:rowOff>96034</xdr:rowOff>
    </xdr:from>
    <xdr:to>
      <xdr:col>13</xdr:col>
      <xdr:colOff>19843</xdr:colOff>
      <xdr:row>262</xdr:row>
      <xdr:rowOff>96034</xdr:rowOff>
    </xdr:to>
    <xdr:cxnSp macro="">
      <xdr:nvCxnSpPr>
        <xdr:cNvPr id="5408" name="Straight Arrow Connector 5407">
          <a:extLst>
            <a:ext uri="{FF2B5EF4-FFF2-40B4-BE49-F238E27FC236}">
              <a16:creationId xmlns:a16="http://schemas.microsoft.com/office/drawing/2014/main" id="{77FEE30A-D251-484F-96AD-95D21F433B12}"/>
            </a:ext>
          </a:extLst>
        </xdr:cNvPr>
        <xdr:cNvCxnSpPr>
          <a:cxnSpLocks/>
          <a:stCxn id="20" idx="3"/>
          <a:endCxn id="5406" idx="2"/>
        </xdr:cNvCxnSpPr>
      </xdr:nvCxnSpPr>
      <xdr:spPr>
        <a:xfrm>
          <a:off x="2928562" y="50784274"/>
          <a:ext cx="261201"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21590</xdr:colOff>
      <xdr:row>263</xdr:row>
      <xdr:rowOff>100965</xdr:rowOff>
    </xdr:from>
    <xdr:to>
      <xdr:col>8</xdr:col>
      <xdr:colOff>188278</xdr:colOff>
      <xdr:row>264</xdr:row>
      <xdr:rowOff>116840</xdr:rowOff>
    </xdr:to>
    <xdr:sp macro="" textlink="">
      <xdr:nvSpPr>
        <xdr:cNvPr id="5467" name="Oval 5466">
          <a:extLst>
            <a:ext uri="{FF2B5EF4-FFF2-40B4-BE49-F238E27FC236}">
              <a16:creationId xmlns:a16="http://schemas.microsoft.com/office/drawing/2014/main" id="{F4AF6319-A718-7045-9A1F-4AAB429CFDB7}"/>
            </a:ext>
          </a:extLst>
        </xdr:cNvPr>
        <xdr:cNvSpPr/>
      </xdr:nvSpPr>
      <xdr:spPr>
        <a:xfrm>
          <a:off x="1240790" y="50982245"/>
          <a:ext cx="898208" cy="208915"/>
        </a:xfrm>
        <a:prstGeom prst="ellipse">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solidFill>
                <a:sysClr val="windowText" lastClr="000000"/>
              </a:solidFill>
              <a:latin typeface="Meiryo UI" panose="020B0604030504040204" pitchFamily="34" charset="-128"/>
              <a:ea typeface="Meiryo UI" panose="020B0604030504040204" pitchFamily="34" charset="-128"/>
            </a:rPr>
            <a:t>3回リトライ</a:t>
          </a:r>
        </a:p>
      </xdr:txBody>
    </xdr:sp>
    <xdr:clientData/>
  </xdr:twoCellAnchor>
  <xdr:twoCellAnchor>
    <xdr:from>
      <xdr:col>1</xdr:col>
      <xdr:colOff>0</xdr:colOff>
      <xdr:row>120</xdr:row>
      <xdr:rowOff>10160</xdr:rowOff>
    </xdr:from>
    <xdr:to>
      <xdr:col>6</xdr:col>
      <xdr:colOff>662</xdr:colOff>
      <xdr:row>123</xdr:row>
      <xdr:rowOff>10160</xdr:rowOff>
    </xdr:to>
    <xdr:sp macro="" textlink="">
      <xdr:nvSpPr>
        <xdr:cNvPr id="5472" name="Rectangle 5471">
          <a:extLst>
            <a:ext uri="{FF2B5EF4-FFF2-40B4-BE49-F238E27FC236}">
              <a16:creationId xmlns:a16="http://schemas.microsoft.com/office/drawing/2014/main" id="{0A0F8700-8DE6-D54B-8B2B-1ABB032C52CE}"/>
            </a:ext>
          </a:extLst>
        </xdr:cNvPr>
        <xdr:cNvSpPr/>
      </xdr:nvSpPr>
      <xdr:spPr>
        <a:xfrm>
          <a:off x="243840" y="23286720"/>
          <a:ext cx="1219862" cy="57912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700">
              <a:solidFill>
                <a:sysClr val="windowText" lastClr="000000"/>
              </a:solidFill>
              <a:latin typeface="Meiryo UI" panose="020B0604030504040204" pitchFamily="50" charset="-128"/>
              <a:ea typeface="Meiryo UI" panose="020B0604030504040204" pitchFamily="50" charset="-128"/>
            </a:rPr>
            <a:t>夜間処理（SGのみ）</a:t>
          </a:r>
        </a:p>
        <a:p>
          <a:pPr algn="l"/>
          <a:r>
            <a:rPr lang="en-GB" sz="700">
              <a:solidFill>
                <a:sysClr val="windowText" lastClr="000000"/>
              </a:solidFill>
              <a:latin typeface="Meiryo UI" panose="020B0604030504040204" pitchFamily="50" charset="-128"/>
              <a:ea typeface="Meiryo UI" panose="020B0604030504040204" pitchFamily="50" charset="-128"/>
            </a:rPr>
            <a:t>毎日</a:t>
          </a:r>
          <a:r>
            <a:rPr lang="ja-JP" altLang="en-US" sz="700">
              <a:solidFill>
                <a:sysClr val="windowText" lastClr="000000"/>
              </a:solidFill>
              <a:latin typeface="Meiryo UI" panose="020B0604030504040204" pitchFamily="50" charset="-128"/>
              <a:ea typeface="Meiryo UI" panose="020B0604030504040204" pitchFamily="50" charset="-128"/>
            </a:rPr>
            <a:t>　</a:t>
          </a:r>
          <a:r>
            <a:rPr lang="en-US" altLang="ja-JP" sz="700">
              <a:solidFill>
                <a:sysClr val="windowText" lastClr="000000"/>
              </a:solidFill>
              <a:latin typeface="Meiryo UI" panose="020B0604030504040204" pitchFamily="50" charset="-128"/>
              <a:ea typeface="Meiryo UI" panose="020B0604030504040204" pitchFamily="50" charset="-128"/>
            </a:rPr>
            <a:t>5:30 JST</a:t>
          </a:r>
        </a:p>
      </xdr:txBody>
    </xdr:sp>
    <xdr:clientData/>
  </xdr:twoCellAnchor>
  <xdr:twoCellAnchor>
    <xdr:from>
      <xdr:col>1</xdr:col>
      <xdr:colOff>0</xdr:colOff>
      <xdr:row>125</xdr:row>
      <xdr:rowOff>10160</xdr:rowOff>
    </xdr:from>
    <xdr:to>
      <xdr:col>6</xdr:col>
      <xdr:colOff>663</xdr:colOff>
      <xdr:row>127</xdr:row>
      <xdr:rowOff>184776</xdr:rowOff>
    </xdr:to>
    <xdr:sp macro="" textlink="">
      <xdr:nvSpPr>
        <xdr:cNvPr id="5473" name="Rectangle 5472">
          <a:extLst>
            <a:ext uri="{FF2B5EF4-FFF2-40B4-BE49-F238E27FC236}">
              <a16:creationId xmlns:a16="http://schemas.microsoft.com/office/drawing/2014/main" id="{30B9D5AD-6F3E-2747-AA1D-3B0FEE3F5F49}"/>
            </a:ext>
          </a:extLst>
        </xdr:cNvPr>
        <xdr:cNvSpPr/>
      </xdr:nvSpPr>
      <xdr:spPr>
        <a:xfrm>
          <a:off x="243840" y="24251920"/>
          <a:ext cx="1219863" cy="560696"/>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700">
              <a:solidFill>
                <a:sysClr val="windowText" lastClr="000000"/>
              </a:solidFill>
              <a:latin typeface="Meiryo UI" panose="020B0604030504040204" pitchFamily="50" charset="-128"/>
              <a:ea typeface="Meiryo UI" panose="020B0604030504040204" pitchFamily="50" charset="-128"/>
            </a:rPr>
            <a:t>.ENDファイルを作成する</a:t>
          </a:r>
        </a:p>
      </xdr:txBody>
    </xdr:sp>
    <xdr:clientData/>
  </xdr:twoCellAnchor>
  <xdr:twoCellAnchor>
    <xdr:from>
      <xdr:col>3</xdr:col>
      <xdr:colOff>122251</xdr:colOff>
      <xdr:row>123</xdr:row>
      <xdr:rowOff>10160</xdr:rowOff>
    </xdr:from>
    <xdr:to>
      <xdr:col>3</xdr:col>
      <xdr:colOff>122252</xdr:colOff>
      <xdr:row>125</xdr:row>
      <xdr:rowOff>10160</xdr:rowOff>
    </xdr:to>
    <xdr:cxnSp macro="">
      <xdr:nvCxnSpPr>
        <xdr:cNvPr id="5475" name="Straight Arrow Connector 5474">
          <a:extLst>
            <a:ext uri="{FF2B5EF4-FFF2-40B4-BE49-F238E27FC236}">
              <a16:creationId xmlns:a16="http://schemas.microsoft.com/office/drawing/2014/main" id="{FA5C11A3-1B27-D948-843B-627EB6241D1C}"/>
            </a:ext>
          </a:extLst>
        </xdr:cNvPr>
        <xdr:cNvCxnSpPr>
          <a:cxnSpLocks/>
          <a:stCxn id="5472" idx="2"/>
          <a:endCxn id="5473" idx="0"/>
        </xdr:cNvCxnSpPr>
      </xdr:nvCxnSpPr>
      <xdr:spPr>
        <a:xfrm>
          <a:off x="853771" y="23865840"/>
          <a:ext cx="1" cy="38608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87</xdr:row>
      <xdr:rowOff>95246</xdr:rowOff>
    </xdr:from>
    <xdr:to>
      <xdr:col>7</xdr:col>
      <xdr:colOff>0</xdr:colOff>
      <xdr:row>126</xdr:row>
      <xdr:rowOff>97469</xdr:rowOff>
    </xdr:to>
    <xdr:cxnSp macro="">
      <xdr:nvCxnSpPr>
        <xdr:cNvPr id="5481" name="Elbow Connector 5480">
          <a:extLst>
            <a:ext uri="{FF2B5EF4-FFF2-40B4-BE49-F238E27FC236}">
              <a16:creationId xmlns:a16="http://schemas.microsoft.com/office/drawing/2014/main" id="{05956C83-E112-D748-874D-966AC3E479A8}"/>
            </a:ext>
          </a:extLst>
        </xdr:cNvPr>
        <xdr:cNvCxnSpPr>
          <a:stCxn id="5473" idx="1"/>
          <a:endCxn id="5393" idx="1"/>
        </xdr:cNvCxnSpPr>
      </xdr:nvCxnSpPr>
      <xdr:spPr>
        <a:xfrm rot="10800000" flipH="1">
          <a:off x="243840" y="17001486"/>
          <a:ext cx="1463040" cy="7530783"/>
        </a:xfrm>
        <a:prstGeom prst="bentConnector3">
          <a:avLst>
            <a:gd name="adj1" fmla="val -86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202883</xdr:colOff>
      <xdr:row>86</xdr:row>
      <xdr:rowOff>37148</xdr:rowOff>
    </xdr:from>
    <xdr:ext cx="1000402" cy="267317"/>
    <xdr:sp macro="" textlink="">
      <xdr:nvSpPr>
        <xdr:cNvPr id="5486" name="TextBox 5485">
          <a:extLst>
            <a:ext uri="{FF2B5EF4-FFF2-40B4-BE49-F238E27FC236}">
              <a16:creationId xmlns:a16="http://schemas.microsoft.com/office/drawing/2014/main" id="{DC40B071-0F88-CD40-BCD0-297EF8637CCA}"/>
            </a:ext>
          </a:extLst>
        </xdr:cNvPr>
        <xdr:cNvSpPr txBox="1"/>
      </xdr:nvSpPr>
      <xdr:spPr>
        <a:xfrm>
          <a:off x="202883" y="16750348"/>
          <a:ext cx="1000402" cy="267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700">
              <a:latin typeface="Meiryo" panose="020B0604030504040204" pitchFamily="34" charset="-128"/>
              <a:ea typeface="Meiryo" panose="020B0604030504040204" pitchFamily="34" charset="-128"/>
            </a:rPr>
            <a:t>ENGファイルを作成</a:t>
          </a:r>
        </a:p>
      </xdr:txBody>
    </xdr:sp>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12477;&#12540;&#12473;&#12467;&#12540;&#12489;&#27083;&#25104;"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FTP&#12501;&#12457;&#12523;&#12480;&#27083;&#25104;"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4920;&#32025;"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12456;&#12521;&#12540;&#12525;&#12464;&#19968;&#35239;%20"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12450;&#12503;&#12522;&#12525;&#12464;&#19968;&#35239;"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22793;&#26356;&#23653;&#27508;"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12513;&#12540;&#12523;&#12486;&#12531;&#12503;&#12524;&#12540;&#12488;"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20840;&#20307;&#20966;&#29702;"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QA&#34920;"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273;&#7893;i"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ph&#791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ソースコード構成"/>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FTPフォルダ構成"/>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エラーログ一覧 "/>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アプリログ一覧"/>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メールテンプレート"/>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全体処理"/>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表"/>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đổi"/>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ủ"/>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ysClr val="window" lastClr="FFFFFF"/>
        </a:solidFill>
      </a:spPr>
      <a:bodyPr vertOverflow="clip" horzOverflow="clip" rtlCol="0" anchor="t"/>
      <a:lstStyle>
        <a:defPPr algn="l">
          <a:defRPr sz="700">
            <a:solidFill>
              <a:sysClr val="windowText" lastClr="000000"/>
            </a:solidFill>
            <a:latin typeface="Meiryo UI" panose="020B0604030504040204" pitchFamily="34" charset="-128"/>
            <a:ea typeface="Meiryo UI" panose="020B0604030504040204" pitchFamily="34" charset="-128"/>
          </a:defRPr>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mailto:aws-pos-alert@luvina.net" TargetMode="External"/><Relationship Id="rId7" Type="http://schemas.openxmlformats.org/officeDocument/2006/relationships/printerSettings" Target="../printerSettings/printerSettings9.bin"/><Relationship Id="rId2" Type="http://schemas.openxmlformats.org/officeDocument/2006/relationships/hyperlink" Target="mailto:aws-pos-alert@luvina.net" TargetMode="External"/><Relationship Id="rId1" Type="http://schemas.openxmlformats.org/officeDocument/2006/relationships/hyperlink" Target="mailto:aws-pos-alert@luvina.net" TargetMode="External"/><Relationship Id="rId6" Type="http://schemas.openxmlformats.org/officeDocument/2006/relationships/hyperlink" Target="mailto:pos-monitoring@luvina.net" TargetMode="External"/><Relationship Id="rId5" Type="http://schemas.openxmlformats.org/officeDocument/2006/relationships/hyperlink" Target="mailto:pos-monitoring@luvina.net" TargetMode="External"/><Relationship Id="rId4" Type="http://schemas.openxmlformats.org/officeDocument/2006/relationships/hyperlink" Target="mailto:aws-pos-alert@luvina.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view="pageBreakPreview" zoomScaleNormal="75" zoomScaleSheetLayoutView="75" workbookViewId="0">
      <selection activeCell="BE46" sqref="BE46"/>
    </sheetView>
  </sheetViews>
  <sheetFormatPr defaultColWidth="2.6640625" defaultRowHeight="15" customHeight="1"/>
  <cols>
    <col min="1" max="41" width="2.6640625" style="2"/>
    <col min="42" max="42" width="2.6640625" style="2" customWidth="1"/>
    <col min="43" max="45" width="2.6640625" style="2"/>
    <col min="46" max="46" width="2.6640625" style="2" customWidth="1"/>
    <col min="47" max="50" width="2.6640625" style="2"/>
    <col min="51" max="51" width="2.6640625" style="2" customWidth="1"/>
    <col min="52" max="54" width="2.6640625" style="2"/>
    <col min="55" max="55" width="2.6640625" style="2" customWidth="1"/>
    <col min="56" max="59" width="2.6640625" style="2"/>
    <col min="60" max="60" width="2.6640625" style="2" customWidth="1"/>
    <col min="61" max="16384" width="2.6640625" style="2"/>
  </cols>
  <sheetData>
    <row r="1" spans="1:63" customFormat="1" ht="24.95" customHeight="1">
      <c r="A1" s="70" t="s">
        <v>0</v>
      </c>
      <c r="B1" s="71"/>
      <c r="C1" s="71"/>
      <c r="D1" s="71"/>
      <c r="E1" s="71"/>
      <c r="F1" s="71"/>
      <c r="G1" s="71"/>
      <c r="H1" s="71"/>
      <c r="I1" s="71"/>
      <c r="J1" s="72"/>
      <c r="K1" s="70" t="s">
        <v>1</v>
      </c>
      <c r="L1" s="71"/>
      <c r="M1" s="71"/>
      <c r="N1" s="71"/>
      <c r="O1" s="71"/>
      <c r="P1" s="71"/>
      <c r="Q1" s="71"/>
      <c r="R1" s="71"/>
      <c r="S1" s="71"/>
      <c r="T1" s="71"/>
      <c r="U1" s="71"/>
      <c r="V1" s="72"/>
      <c r="W1" s="90" t="s">
        <v>2</v>
      </c>
      <c r="X1" s="91"/>
      <c r="Y1" s="91"/>
      <c r="Z1" s="91"/>
      <c r="AA1" s="91"/>
      <c r="AB1" s="91"/>
      <c r="AC1" s="91"/>
      <c r="AD1" s="91"/>
      <c r="AE1" s="91"/>
      <c r="AF1" s="91"/>
      <c r="AG1" s="91"/>
      <c r="AH1" s="91"/>
      <c r="AI1" s="91"/>
      <c r="AJ1" s="91"/>
      <c r="AK1" s="91"/>
      <c r="AL1" s="91"/>
      <c r="AM1" s="91"/>
      <c r="AN1" s="91"/>
      <c r="AO1" s="92"/>
      <c r="AP1" s="70" t="s">
        <v>3</v>
      </c>
      <c r="AQ1" s="71"/>
      <c r="AR1" s="71"/>
      <c r="AS1" s="72"/>
      <c r="AT1" s="70" t="s">
        <v>4</v>
      </c>
      <c r="AU1" s="71"/>
      <c r="AV1" s="71"/>
      <c r="AW1" s="71"/>
      <c r="AX1" s="72"/>
      <c r="AY1" s="70" t="s">
        <v>5</v>
      </c>
      <c r="AZ1" s="71"/>
      <c r="BA1" s="71"/>
      <c r="BB1" s="72"/>
      <c r="BC1" s="70" t="s">
        <v>6</v>
      </c>
      <c r="BD1" s="71"/>
      <c r="BE1" s="71"/>
      <c r="BF1" s="71"/>
      <c r="BG1" s="72"/>
      <c r="BH1" s="70" t="s">
        <v>7</v>
      </c>
      <c r="BI1" s="71"/>
      <c r="BJ1" s="71"/>
      <c r="BK1" s="72"/>
    </row>
    <row r="2" spans="1:63" customFormat="1" ht="15" customHeight="1">
      <c r="A2" s="55" t="s">
        <v>8</v>
      </c>
      <c r="B2" s="56"/>
      <c r="C2" s="56"/>
      <c r="D2" s="56"/>
      <c r="E2" s="56"/>
      <c r="F2" s="56"/>
      <c r="G2" s="56"/>
      <c r="H2" s="56"/>
      <c r="I2" s="56"/>
      <c r="J2" s="57"/>
      <c r="K2" s="55" t="s">
        <v>9</v>
      </c>
      <c r="L2" s="56"/>
      <c r="M2" s="56"/>
      <c r="N2" s="56"/>
      <c r="O2" s="56"/>
      <c r="P2" s="56"/>
      <c r="Q2" s="56"/>
      <c r="R2" s="56"/>
      <c r="S2" s="56"/>
      <c r="T2" s="56"/>
      <c r="U2" s="56"/>
      <c r="V2" s="57"/>
      <c r="W2" s="93"/>
      <c r="X2" s="94"/>
      <c r="Y2" s="94"/>
      <c r="Z2" s="94"/>
      <c r="AA2" s="94"/>
      <c r="AB2" s="94"/>
      <c r="AC2" s="94"/>
      <c r="AD2" s="94"/>
      <c r="AE2" s="94"/>
      <c r="AF2" s="94"/>
      <c r="AG2" s="94"/>
      <c r="AH2" s="94"/>
      <c r="AI2" s="94"/>
      <c r="AJ2" s="94"/>
      <c r="AK2" s="94"/>
      <c r="AL2" s="94"/>
      <c r="AM2" s="94"/>
      <c r="AN2" s="94"/>
      <c r="AO2" s="95"/>
      <c r="AP2" s="55" t="e">
        <f ca="1">Lịch sử thay [10]đổi!$H$11</f>
        <v>#NAME?</v>
      </c>
      <c r="AQ2" s="56"/>
      <c r="AR2" s="56"/>
      <c r="AS2" s="57"/>
      <c r="AT2" s="84" t="e">
        <f ca="1">Lịch sử thay [10]đổi!$B$11</f>
        <v>#NAME?</v>
      </c>
      <c r="AU2" s="85"/>
      <c r="AV2" s="85"/>
      <c r="AW2" s="85"/>
      <c r="AX2" s="86"/>
      <c r="AY2" s="55" t="e">
        <f ca="1">LOOKUP(2,1/( Lịch sử thay [10]đổi!H11:H30000&lt;&gt;""), Lịch sử thay [10]đổi!H11:H30000)</f>
        <v>#NAME?</v>
      </c>
      <c r="AZ2" s="56"/>
      <c r="BA2" s="56"/>
      <c r="BB2" s="57"/>
      <c r="BC2" s="84" t="e">
        <f ca="1">LOOKUP(2,1/( Lịch sử thay [10]đổi!B11:B30000&lt;&gt;""), Lịch sử thay [10]đổi!B11:B30000)</f>
        <v>#NAME?</v>
      </c>
      <c r="BD2" s="85"/>
      <c r="BE2" s="85"/>
      <c r="BF2" s="85"/>
      <c r="BG2" s="86"/>
      <c r="BH2" s="78" t="e">
        <f ca="1">LOOKUP(2,1/( Lịch sử thay [10]đổi!O11:O30000&lt;&gt;""), Lịch sử thay [10]đổi!O11:O30000)</f>
        <v>#NAME?</v>
      </c>
      <c r="BI2" s="79"/>
      <c r="BJ2" s="79"/>
      <c r="BK2" s="80"/>
    </row>
    <row r="3" spans="1:63" customFormat="1" ht="15" customHeight="1">
      <c r="A3" s="61"/>
      <c r="B3" s="62"/>
      <c r="C3" s="62"/>
      <c r="D3" s="62"/>
      <c r="E3" s="62"/>
      <c r="F3" s="62"/>
      <c r="G3" s="62"/>
      <c r="H3" s="62"/>
      <c r="I3" s="62"/>
      <c r="J3" s="63"/>
      <c r="K3" s="61"/>
      <c r="L3" s="62"/>
      <c r="M3" s="62"/>
      <c r="N3" s="62"/>
      <c r="O3" s="62"/>
      <c r="P3" s="62"/>
      <c r="Q3" s="62"/>
      <c r="R3" s="62"/>
      <c r="S3" s="62"/>
      <c r="T3" s="62"/>
      <c r="U3" s="62"/>
      <c r="V3" s="63"/>
      <c r="W3" s="96"/>
      <c r="X3" s="97"/>
      <c r="Y3" s="97"/>
      <c r="Z3" s="97"/>
      <c r="AA3" s="97"/>
      <c r="AB3" s="97"/>
      <c r="AC3" s="97"/>
      <c r="AD3" s="97"/>
      <c r="AE3" s="97"/>
      <c r="AF3" s="97"/>
      <c r="AG3" s="97"/>
      <c r="AH3" s="97"/>
      <c r="AI3" s="97"/>
      <c r="AJ3" s="97"/>
      <c r="AK3" s="97"/>
      <c r="AL3" s="97"/>
      <c r="AM3" s="97"/>
      <c r="AN3" s="97"/>
      <c r="AO3" s="98"/>
      <c r="AP3" s="61"/>
      <c r="AQ3" s="62"/>
      <c r="AR3" s="62"/>
      <c r="AS3" s="63"/>
      <c r="AT3" s="87"/>
      <c r="AU3" s="88"/>
      <c r="AV3" s="88"/>
      <c r="AW3" s="88"/>
      <c r="AX3" s="89"/>
      <c r="AY3" s="61"/>
      <c r="AZ3" s="62"/>
      <c r="BA3" s="62"/>
      <c r="BB3" s="63"/>
      <c r="BC3" s="87"/>
      <c r="BD3" s="88"/>
      <c r="BE3" s="88"/>
      <c r="BF3" s="88"/>
      <c r="BG3" s="89"/>
      <c r="BH3" s="81"/>
      <c r="BI3" s="82"/>
      <c r="BJ3" s="82"/>
      <c r="BK3" s="83"/>
    </row>
    <row r="4" spans="1:63" customFormat="1" ht="24.95" customHeight="1">
      <c r="A4" s="70" t="s">
        <v>10</v>
      </c>
      <c r="B4" s="71"/>
      <c r="C4" s="71"/>
      <c r="D4" s="71"/>
      <c r="E4" s="71"/>
      <c r="F4" s="71"/>
      <c r="G4" s="72"/>
      <c r="H4" s="75" t="s">
        <v>11</v>
      </c>
      <c r="I4" s="76"/>
      <c r="J4" s="76"/>
      <c r="K4" s="76"/>
      <c r="L4" s="76"/>
      <c r="M4" s="76"/>
      <c r="N4" s="76"/>
      <c r="O4" s="76"/>
      <c r="P4" s="76"/>
      <c r="Q4" s="76"/>
      <c r="R4" s="76"/>
      <c r="S4" s="76"/>
      <c r="T4" s="77"/>
      <c r="U4" s="70" t="s">
        <v>12</v>
      </c>
      <c r="V4" s="71"/>
      <c r="W4" s="71"/>
      <c r="X4" s="71"/>
      <c r="Y4" s="72"/>
      <c r="Z4" s="75"/>
      <c r="AA4" s="76"/>
      <c r="AB4" s="76"/>
      <c r="AC4" s="76"/>
      <c r="AD4" s="76"/>
      <c r="AE4" s="76"/>
      <c r="AF4" s="76"/>
      <c r="AG4" s="76"/>
      <c r="AH4" s="76"/>
      <c r="AI4" s="76"/>
      <c r="AJ4" s="76"/>
      <c r="AK4" s="76"/>
      <c r="AL4" s="76"/>
      <c r="AM4" s="76"/>
      <c r="AN4" s="76"/>
      <c r="AO4" s="77"/>
      <c r="AP4" s="75" t="e" cm="1">
        <f t="array" aca="1" ref="AP4" ca="1">RIGHT(CELL("filename",$A$1),LEN(CELL("filename",$A$1))-FIND("]",CELL("filename",$A$1)))</f>
        <v>#VALUE!</v>
      </c>
      <c r="AQ4" s="76"/>
      <c r="AR4" s="76"/>
      <c r="AS4" s="76"/>
      <c r="AT4" s="76"/>
      <c r="AU4" s="76"/>
      <c r="AV4" s="76"/>
      <c r="AW4" s="76"/>
      <c r="AX4" s="76"/>
      <c r="AY4" s="76"/>
      <c r="AZ4" s="76"/>
      <c r="BA4" s="76"/>
      <c r="BB4" s="76"/>
      <c r="BC4" s="76"/>
      <c r="BD4" s="76"/>
      <c r="BE4" s="76"/>
      <c r="BF4" s="76"/>
      <c r="BG4" s="76"/>
      <c r="BH4" s="76"/>
      <c r="BI4" s="76"/>
      <c r="BJ4" s="76"/>
      <c r="BK4" s="77"/>
    </row>
    <row r="5" spans="1:63" customFormat="1" ht="5.0999999999999996" customHeight="1">
      <c r="A5" s="15"/>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7"/>
    </row>
    <row r="6" spans="1:63" ht="15" customHeight="1">
      <c r="A6" s="18"/>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s="19"/>
    </row>
    <row r="7" spans="1:63" ht="15" customHeight="1">
      <c r="A7" s="18"/>
      <c r="B7"/>
      <c r="C7"/>
      <c r="D7"/>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s="19"/>
    </row>
    <row r="8" spans="1:63" ht="15" customHeight="1">
      <c r="A8" s="18"/>
      <c r="B8"/>
      <c r="C8"/>
      <c r="D8"/>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s="19"/>
    </row>
    <row r="9" spans="1:63" ht="15" customHeight="1">
      <c r="A9" s="18"/>
      <c r="B9"/>
      <c r="C9"/>
      <c r="D9"/>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s="19"/>
    </row>
    <row r="10" spans="1:63" ht="15" customHeight="1">
      <c r="A10" s="18"/>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s="19"/>
    </row>
    <row r="11" spans="1:63" ht="15" customHeight="1">
      <c r="A11" s="18"/>
      <c r="B11"/>
      <c r="C11"/>
      <c r="D11"/>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s="19"/>
    </row>
    <row r="12" spans="1:63" ht="15" customHeight="1">
      <c r="A12" s="18"/>
      <c r="B12"/>
      <c r="C12"/>
      <c r="D12"/>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s="19"/>
    </row>
    <row r="13" spans="1:63" ht="15" customHeight="1">
      <c r="A13" s="18"/>
      <c r="B13"/>
      <c r="C13"/>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s="19"/>
    </row>
    <row r="14" spans="1:63" ht="15" customHeight="1" thickBot="1">
      <c r="A14" s="18"/>
      <c r="B14"/>
      <c r="C14"/>
      <c r="D14"/>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s="19"/>
    </row>
    <row r="15" spans="1:63" ht="15" customHeight="1" thickTop="1">
      <c r="A15" s="18"/>
      <c r="B15"/>
      <c r="C15"/>
      <c r="D15"/>
      <c r="E15"/>
      <c r="F15"/>
      <c r="G15"/>
      <c r="H15"/>
      <c r="I15"/>
      <c r="J15"/>
      <c r="K15" s="26"/>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8"/>
      <c r="BB15"/>
      <c r="BC15"/>
      <c r="BD15"/>
      <c r="BE15"/>
      <c r="BF15"/>
      <c r="BG15"/>
      <c r="BH15"/>
      <c r="BI15"/>
      <c r="BJ15"/>
      <c r="BK15" s="19"/>
    </row>
    <row r="16" spans="1:63" ht="15" customHeight="1">
      <c r="A16" s="18"/>
      <c r="B16"/>
      <c r="C16"/>
      <c r="D16"/>
      <c r="E16"/>
      <c r="F16"/>
      <c r="G16"/>
      <c r="H16"/>
      <c r="I16"/>
      <c r="J16"/>
      <c r="K16" s="29"/>
      <c r="L16" s="73" t="s">
        <v>13</v>
      </c>
      <c r="M16" s="73"/>
      <c r="N16" s="73"/>
      <c r="O16" s="73"/>
      <c r="P16" s="73"/>
      <c r="Q16" s="73"/>
      <c r="R16" s="73"/>
      <c r="S16" s="73"/>
      <c r="T16" s="73"/>
      <c r="U16" s="73"/>
      <c r="V16" s="73"/>
      <c r="W16" s="73"/>
      <c r="X16" s="73"/>
      <c r="Y16" s="73"/>
      <c r="Z16" s="73"/>
      <c r="AA16" s="73"/>
      <c r="AB16" s="73"/>
      <c r="AC16" s="73"/>
      <c r="AD16" s="73"/>
      <c r="AE16" s="73"/>
      <c r="AF16" s="73"/>
      <c r="AG16" s="73"/>
      <c r="AH16" s="73"/>
      <c r="AI16" s="73"/>
      <c r="AJ16" s="73"/>
      <c r="AK16" s="73"/>
      <c r="AL16" s="73"/>
      <c r="AM16" s="73"/>
      <c r="AN16" s="73"/>
      <c r="AO16" s="73"/>
      <c r="AP16" s="73"/>
      <c r="AQ16" s="73"/>
      <c r="AR16" s="73"/>
      <c r="AS16" s="73"/>
      <c r="AT16" s="73"/>
      <c r="AU16" s="73"/>
      <c r="AV16" s="73"/>
      <c r="AW16" s="73"/>
      <c r="AX16" s="73"/>
      <c r="AY16" s="73"/>
      <c r="AZ16" s="73"/>
      <c r="BA16" s="30"/>
      <c r="BB16"/>
      <c r="BC16"/>
      <c r="BD16"/>
      <c r="BE16"/>
      <c r="BF16"/>
      <c r="BG16"/>
      <c r="BH16"/>
      <c r="BI16"/>
      <c r="BJ16"/>
      <c r="BK16" s="19"/>
    </row>
    <row r="17" spans="1:63" ht="15" customHeight="1">
      <c r="A17" s="18"/>
      <c r="B17"/>
      <c r="C17"/>
      <c r="D17"/>
      <c r="E17"/>
      <c r="F17"/>
      <c r="G17"/>
      <c r="H17"/>
      <c r="I17"/>
      <c r="J17"/>
      <c r="K17" s="29"/>
      <c r="L17" s="73"/>
      <c r="M17" s="73"/>
      <c r="N17" s="73"/>
      <c r="O17" s="73"/>
      <c r="P17" s="73"/>
      <c r="Q17" s="73"/>
      <c r="R17" s="73"/>
      <c r="S17" s="73"/>
      <c r="T17" s="73"/>
      <c r="U17" s="73"/>
      <c r="V17" s="73"/>
      <c r="W17" s="73"/>
      <c r="X17" s="73"/>
      <c r="Y17" s="73"/>
      <c r="Z17" s="73"/>
      <c r="AA17" s="73"/>
      <c r="AB17" s="73"/>
      <c r="AC17" s="73"/>
      <c r="AD17" s="73"/>
      <c r="AE17" s="73"/>
      <c r="AF17" s="73"/>
      <c r="AG17" s="73"/>
      <c r="AH17" s="73"/>
      <c r="AI17" s="73"/>
      <c r="AJ17" s="73"/>
      <c r="AK17" s="73"/>
      <c r="AL17" s="73"/>
      <c r="AM17" s="73"/>
      <c r="AN17" s="73"/>
      <c r="AO17" s="73"/>
      <c r="AP17" s="73"/>
      <c r="AQ17" s="73"/>
      <c r="AR17" s="73"/>
      <c r="AS17" s="73"/>
      <c r="AT17" s="73"/>
      <c r="AU17" s="73"/>
      <c r="AV17" s="73"/>
      <c r="AW17" s="73"/>
      <c r="AX17" s="73"/>
      <c r="AY17" s="73"/>
      <c r="AZ17" s="73"/>
      <c r="BA17" s="30"/>
      <c r="BB17"/>
      <c r="BC17"/>
      <c r="BD17"/>
      <c r="BE17"/>
      <c r="BF17"/>
      <c r="BG17"/>
      <c r="BH17"/>
      <c r="BI17"/>
      <c r="BJ17"/>
      <c r="BK17" s="19"/>
    </row>
    <row r="18" spans="1:63" ht="15" customHeight="1">
      <c r="A18" s="18"/>
      <c r="B18"/>
      <c r="C18"/>
      <c r="D18"/>
      <c r="E18"/>
      <c r="F18"/>
      <c r="G18"/>
      <c r="H18"/>
      <c r="I18"/>
      <c r="J18"/>
      <c r="K18" s="29"/>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c r="AN18" s="73"/>
      <c r="AO18" s="73"/>
      <c r="AP18" s="73"/>
      <c r="AQ18" s="73"/>
      <c r="AR18" s="73"/>
      <c r="AS18" s="73"/>
      <c r="AT18" s="73"/>
      <c r="AU18" s="73"/>
      <c r="AV18" s="73"/>
      <c r="AW18" s="73"/>
      <c r="AX18" s="73"/>
      <c r="AY18" s="73"/>
      <c r="AZ18" s="73"/>
      <c r="BA18" s="30"/>
      <c r="BB18"/>
      <c r="BC18"/>
      <c r="BD18"/>
      <c r="BE18"/>
      <c r="BF18"/>
      <c r="BG18"/>
      <c r="BH18"/>
      <c r="BI18"/>
      <c r="BJ18"/>
      <c r="BK18" s="19"/>
    </row>
    <row r="19" spans="1:63" ht="15" customHeight="1">
      <c r="A19" s="18"/>
      <c r="B19"/>
      <c r="C19"/>
      <c r="D19"/>
      <c r="E19"/>
      <c r="F19"/>
      <c r="G19"/>
      <c r="H19"/>
      <c r="I19"/>
      <c r="J19"/>
      <c r="K19" s="29"/>
      <c r="L19" s="73"/>
      <c r="M19" s="73"/>
      <c r="N19" s="73"/>
      <c r="O19" s="73"/>
      <c r="P19" s="73"/>
      <c r="Q19" s="73"/>
      <c r="R19" s="73"/>
      <c r="S19" s="73"/>
      <c r="T19" s="73"/>
      <c r="U19" s="73"/>
      <c r="V19" s="73"/>
      <c r="W19" s="73"/>
      <c r="X19" s="73"/>
      <c r="Y19" s="73"/>
      <c r="Z19" s="73"/>
      <c r="AA19" s="73"/>
      <c r="AB19" s="73"/>
      <c r="AC19" s="73"/>
      <c r="AD19" s="73"/>
      <c r="AE19" s="73"/>
      <c r="AF19" s="73"/>
      <c r="AG19" s="73"/>
      <c r="AH19" s="73"/>
      <c r="AI19" s="73"/>
      <c r="AJ19" s="73"/>
      <c r="AK19" s="73"/>
      <c r="AL19" s="73"/>
      <c r="AM19" s="73"/>
      <c r="AN19" s="73"/>
      <c r="AO19" s="73"/>
      <c r="AP19" s="73"/>
      <c r="AQ19" s="73"/>
      <c r="AR19" s="73"/>
      <c r="AS19" s="73"/>
      <c r="AT19" s="73"/>
      <c r="AU19" s="73"/>
      <c r="AV19" s="73"/>
      <c r="AW19" s="73"/>
      <c r="AX19" s="73"/>
      <c r="AY19" s="73"/>
      <c r="AZ19" s="73"/>
      <c r="BA19" s="30"/>
      <c r="BB19"/>
      <c r="BC19"/>
      <c r="BD19"/>
      <c r="BE19"/>
      <c r="BF19"/>
      <c r="BG19"/>
      <c r="BH19"/>
      <c r="BI19"/>
      <c r="BJ19"/>
      <c r="BK19" s="19"/>
    </row>
    <row r="20" spans="1:63" ht="15" customHeight="1">
      <c r="A20" s="18"/>
      <c r="B20"/>
      <c r="C20"/>
      <c r="D20"/>
      <c r="E20"/>
      <c r="F20"/>
      <c r="G20"/>
      <c r="H20"/>
      <c r="I20"/>
      <c r="J20"/>
      <c r="K20" s="29"/>
      <c r="L20" s="73"/>
      <c r="M20" s="73"/>
      <c r="N20" s="73"/>
      <c r="O20" s="73"/>
      <c r="P20" s="73"/>
      <c r="Q20" s="73"/>
      <c r="R20" s="73"/>
      <c r="S20" s="73"/>
      <c r="T20" s="73"/>
      <c r="U20" s="73"/>
      <c r="V20" s="73"/>
      <c r="W20" s="73"/>
      <c r="X20" s="73"/>
      <c r="Y20" s="73"/>
      <c r="Z20" s="73"/>
      <c r="AA20" s="73"/>
      <c r="AB20" s="73"/>
      <c r="AC20" s="73"/>
      <c r="AD20" s="73"/>
      <c r="AE20" s="73"/>
      <c r="AF20" s="73"/>
      <c r="AG20" s="73"/>
      <c r="AH20" s="73"/>
      <c r="AI20" s="73"/>
      <c r="AJ20" s="73"/>
      <c r="AK20" s="73"/>
      <c r="AL20" s="73"/>
      <c r="AM20" s="73"/>
      <c r="AN20" s="73"/>
      <c r="AO20" s="73"/>
      <c r="AP20" s="73"/>
      <c r="AQ20" s="73"/>
      <c r="AR20" s="73"/>
      <c r="AS20" s="73"/>
      <c r="AT20" s="73"/>
      <c r="AU20" s="73"/>
      <c r="AV20" s="73"/>
      <c r="AW20" s="73"/>
      <c r="AX20" s="73"/>
      <c r="AY20" s="73"/>
      <c r="AZ20" s="73"/>
      <c r="BA20" s="30"/>
      <c r="BB20"/>
      <c r="BC20"/>
      <c r="BD20"/>
      <c r="BE20"/>
      <c r="BF20"/>
      <c r="BG20"/>
      <c r="BH20"/>
      <c r="BI20"/>
      <c r="BJ20"/>
      <c r="BK20" s="19"/>
    </row>
    <row r="21" spans="1:63" ht="15" customHeight="1">
      <c r="A21" s="18"/>
      <c r="B21"/>
      <c r="C21"/>
      <c r="D21"/>
      <c r="E21"/>
      <c r="F21"/>
      <c r="G21"/>
      <c r="H21"/>
      <c r="I21"/>
      <c r="J21"/>
      <c r="K21" s="29"/>
      <c r="L21" s="73"/>
      <c r="M21" s="73"/>
      <c r="N21" s="73"/>
      <c r="O21" s="73"/>
      <c r="P21" s="73"/>
      <c r="Q21" s="73"/>
      <c r="R21" s="73"/>
      <c r="S21" s="73"/>
      <c r="T21" s="73"/>
      <c r="U21" s="73"/>
      <c r="V21" s="73"/>
      <c r="W21" s="73"/>
      <c r="X21" s="73"/>
      <c r="Y21" s="73"/>
      <c r="Z21" s="73"/>
      <c r="AA21" s="73"/>
      <c r="AB21" s="73"/>
      <c r="AC21" s="73"/>
      <c r="AD21" s="73"/>
      <c r="AE21" s="73"/>
      <c r="AF21" s="73"/>
      <c r="AG21" s="73"/>
      <c r="AH21" s="73"/>
      <c r="AI21" s="73"/>
      <c r="AJ21" s="73"/>
      <c r="AK21" s="73"/>
      <c r="AL21" s="73"/>
      <c r="AM21" s="73"/>
      <c r="AN21" s="73"/>
      <c r="AO21" s="73"/>
      <c r="AP21" s="73"/>
      <c r="AQ21" s="73"/>
      <c r="AR21" s="73"/>
      <c r="AS21" s="73"/>
      <c r="AT21" s="73"/>
      <c r="AU21" s="73"/>
      <c r="AV21" s="73"/>
      <c r="AW21" s="73"/>
      <c r="AX21" s="73"/>
      <c r="AY21" s="73"/>
      <c r="AZ21" s="73"/>
      <c r="BA21" s="30"/>
      <c r="BB21"/>
      <c r="BC21"/>
      <c r="BD21"/>
      <c r="BE21"/>
      <c r="BF21"/>
      <c r="BG21"/>
      <c r="BH21"/>
      <c r="BI21"/>
      <c r="BJ21"/>
      <c r="BK21" s="19"/>
    </row>
    <row r="22" spans="1:63" ht="15" customHeight="1" thickBot="1">
      <c r="A22" s="18"/>
      <c r="B22"/>
      <c r="C22"/>
      <c r="D22"/>
      <c r="E22"/>
      <c r="F22"/>
      <c r="G22"/>
      <c r="H22"/>
      <c r="I22"/>
      <c r="J22"/>
      <c r="K22" s="29"/>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0"/>
      <c r="BB22"/>
      <c r="BC22"/>
      <c r="BD22"/>
      <c r="BE22"/>
      <c r="BF22"/>
      <c r="BG22"/>
      <c r="BH22"/>
      <c r="BI22"/>
      <c r="BJ22"/>
      <c r="BK22" s="19"/>
    </row>
    <row r="23" spans="1:63" ht="15" customHeight="1">
      <c r="A23" s="18"/>
      <c r="B23"/>
      <c r="C23"/>
      <c r="D23"/>
      <c r="E23"/>
      <c r="F23"/>
      <c r="G23"/>
      <c r="H23"/>
      <c r="I23"/>
      <c r="J23"/>
      <c r="K23" s="29"/>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0"/>
      <c r="BB23"/>
      <c r="BC23"/>
      <c r="BD23"/>
      <c r="BE23"/>
      <c r="BF23"/>
      <c r="BG23"/>
      <c r="BH23"/>
      <c r="BI23"/>
      <c r="BJ23"/>
      <c r="BK23" s="19"/>
    </row>
    <row r="24" spans="1:63" ht="15" customHeight="1">
      <c r="A24" s="18"/>
      <c r="B24"/>
      <c r="C24"/>
      <c r="D24"/>
      <c r="E24"/>
      <c r="F24"/>
      <c r="G24"/>
      <c r="H24"/>
      <c r="I24"/>
      <c r="J24"/>
      <c r="K24" s="29"/>
      <c r="L24" s="74" t="s">
        <v>14</v>
      </c>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c r="AN24" s="74"/>
      <c r="AO24" s="74"/>
      <c r="AP24" s="74"/>
      <c r="AQ24" s="74"/>
      <c r="AR24" s="74"/>
      <c r="AS24" s="74"/>
      <c r="AT24" s="74"/>
      <c r="AU24" s="74"/>
      <c r="AV24" s="74"/>
      <c r="AW24" s="74"/>
      <c r="AX24" s="74"/>
      <c r="AY24" s="74"/>
      <c r="AZ24" s="74"/>
      <c r="BA24" s="30"/>
      <c r="BB24"/>
      <c r="BC24"/>
      <c r="BD24"/>
      <c r="BE24"/>
      <c r="BF24"/>
      <c r="BG24"/>
      <c r="BH24"/>
      <c r="BI24"/>
      <c r="BJ24"/>
      <c r="BK24" s="19"/>
    </row>
    <row r="25" spans="1:63" ht="15" customHeight="1">
      <c r="A25" s="18"/>
      <c r="B25"/>
      <c r="C25"/>
      <c r="D25"/>
      <c r="E25"/>
      <c r="F25"/>
      <c r="G25"/>
      <c r="H25"/>
      <c r="I25"/>
      <c r="J25"/>
      <c r="K25" s="29"/>
      <c r="L25" s="74"/>
      <c r="M25" s="74"/>
      <c r="N25" s="74"/>
      <c r="O25" s="74"/>
      <c r="P25" s="74"/>
      <c r="Q25" s="74"/>
      <c r="R25" s="74"/>
      <c r="S25" s="74"/>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4"/>
      <c r="AT25" s="74"/>
      <c r="AU25" s="74"/>
      <c r="AV25" s="74"/>
      <c r="AW25" s="74"/>
      <c r="AX25" s="74"/>
      <c r="AY25" s="74"/>
      <c r="AZ25" s="74"/>
      <c r="BA25" s="30"/>
      <c r="BB25"/>
      <c r="BC25"/>
      <c r="BD25"/>
      <c r="BE25"/>
      <c r="BF25"/>
      <c r="BG25"/>
      <c r="BH25"/>
      <c r="BI25"/>
      <c r="BJ25"/>
      <c r="BK25" s="19"/>
    </row>
    <row r="26" spans="1:63" ht="15" customHeight="1">
      <c r="A26" s="18"/>
      <c r="B26"/>
      <c r="C26"/>
      <c r="D26"/>
      <c r="E26"/>
      <c r="F26"/>
      <c r="G26"/>
      <c r="H26"/>
      <c r="I26"/>
      <c r="J26"/>
      <c r="K26" s="29"/>
      <c r="L26" s="74"/>
      <c r="M26" s="74"/>
      <c r="N26" s="74"/>
      <c r="O26" s="74"/>
      <c r="P26" s="74"/>
      <c r="Q26" s="74"/>
      <c r="R26" s="74"/>
      <c r="S26" s="74"/>
      <c r="T26" s="74"/>
      <c r="U26" s="74"/>
      <c r="V26" s="74"/>
      <c r="W26" s="74"/>
      <c r="X26" s="74"/>
      <c r="Y26" s="74"/>
      <c r="Z26" s="74"/>
      <c r="AA26" s="74"/>
      <c r="AB26" s="74"/>
      <c r="AC26" s="74"/>
      <c r="AD26" s="74"/>
      <c r="AE26" s="74"/>
      <c r="AF26" s="74"/>
      <c r="AG26" s="74"/>
      <c r="AH26" s="74"/>
      <c r="AI26" s="74"/>
      <c r="AJ26" s="74"/>
      <c r="AK26" s="74"/>
      <c r="AL26" s="74"/>
      <c r="AM26" s="74"/>
      <c r="AN26" s="74"/>
      <c r="AO26" s="74"/>
      <c r="AP26" s="74"/>
      <c r="AQ26" s="74"/>
      <c r="AR26" s="74"/>
      <c r="AS26" s="74"/>
      <c r="AT26" s="74"/>
      <c r="AU26" s="74"/>
      <c r="AV26" s="74"/>
      <c r="AW26" s="74"/>
      <c r="AX26" s="74"/>
      <c r="AY26" s="74"/>
      <c r="AZ26" s="74"/>
      <c r="BA26" s="30"/>
      <c r="BB26"/>
      <c r="BC26"/>
      <c r="BD26"/>
      <c r="BE26"/>
      <c r="BF26"/>
      <c r="BG26"/>
      <c r="BH26"/>
      <c r="BI26"/>
      <c r="BJ26"/>
      <c r="BK26" s="19"/>
    </row>
    <row r="27" spans="1:63" ht="15" customHeight="1">
      <c r="A27" s="18"/>
      <c r="B27"/>
      <c r="C27"/>
      <c r="D27"/>
      <c r="E27"/>
      <c r="F27"/>
      <c r="G27"/>
      <c r="H27"/>
      <c r="I27"/>
      <c r="J27"/>
      <c r="K27" s="29"/>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4"/>
      <c r="BA27" s="30"/>
      <c r="BB27"/>
      <c r="BC27"/>
      <c r="BD27"/>
      <c r="BE27"/>
      <c r="BF27"/>
      <c r="BG27"/>
      <c r="BH27"/>
      <c r="BI27"/>
      <c r="BJ27"/>
      <c r="BK27" s="19"/>
    </row>
    <row r="28" spans="1:63" ht="15" customHeight="1">
      <c r="A28" s="18"/>
      <c r="B28"/>
      <c r="C28"/>
      <c r="D28"/>
      <c r="E28"/>
      <c r="F28"/>
      <c r="G28"/>
      <c r="H28"/>
      <c r="I28"/>
      <c r="J28"/>
      <c r="K28" s="29"/>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4"/>
      <c r="BA28" s="30"/>
      <c r="BB28"/>
      <c r="BC28"/>
      <c r="BD28"/>
      <c r="BE28"/>
      <c r="BF28"/>
      <c r="BG28"/>
      <c r="BH28"/>
      <c r="BI28"/>
      <c r="BJ28"/>
      <c r="BK28" s="19"/>
    </row>
    <row r="29" spans="1:63" ht="15" customHeight="1">
      <c r="A29" s="18"/>
      <c r="B29"/>
      <c r="C29"/>
      <c r="D29"/>
      <c r="E29"/>
      <c r="F29"/>
      <c r="G29"/>
      <c r="H29"/>
      <c r="I29"/>
      <c r="J29"/>
      <c r="K29" s="29"/>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c r="AN29" s="74"/>
      <c r="AO29" s="74"/>
      <c r="AP29" s="74"/>
      <c r="AQ29" s="74"/>
      <c r="AR29" s="74"/>
      <c r="AS29" s="74"/>
      <c r="AT29" s="74"/>
      <c r="AU29" s="74"/>
      <c r="AV29" s="74"/>
      <c r="AW29" s="74"/>
      <c r="AX29" s="74"/>
      <c r="AY29" s="74"/>
      <c r="AZ29" s="74"/>
      <c r="BA29" s="30"/>
      <c r="BB29"/>
      <c r="BC29"/>
      <c r="BD29"/>
      <c r="BE29"/>
      <c r="BF29"/>
      <c r="BG29"/>
      <c r="BH29"/>
      <c r="BI29"/>
      <c r="BJ29"/>
      <c r="BK29" s="19"/>
    </row>
    <row r="30" spans="1:63" ht="15" customHeight="1">
      <c r="A30" s="18"/>
      <c r="B30"/>
      <c r="C30"/>
      <c r="D30"/>
      <c r="E30"/>
      <c r="F30"/>
      <c r="G30"/>
      <c r="H30"/>
      <c r="I30"/>
      <c r="J30"/>
      <c r="K30" s="29"/>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c r="AN30" s="74"/>
      <c r="AO30" s="74"/>
      <c r="AP30" s="74"/>
      <c r="AQ30" s="74"/>
      <c r="AR30" s="74"/>
      <c r="AS30" s="74"/>
      <c r="AT30" s="74"/>
      <c r="AU30" s="74"/>
      <c r="AV30" s="74"/>
      <c r="AW30" s="74"/>
      <c r="AX30" s="74"/>
      <c r="AY30" s="74"/>
      <c r="AZ30" s="74"/>
      <c r="BA30" s="30"/>
      <c r="BB30"/>
      <c r="BC30"/>
      <c r="BD30"/>
      <c r="BE30"/>
      <c r="BF30"/>
      <c r="BG30"/>
      <c r="BH30"/>
      <c r="BI30"/>
      <c r="BJ30"/>
      <c r="BK30" s="19"/>
    </row>
    <row r="31" spans="1:63" ht="15" customHeight="1">
      <c r="A31" s="18"/>
      <c r="B31"/>
      <c r="C31"/>
      <c r="D31"/>
      <c r="E31"/>
      <c r="F31"/>
      <c r="G31"/>
      <c r="H31"/>
      <c r="I31"/>
      <c r="J31"/>
      <c r="K31" s="29"/>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O31" s="74"/>
      <c r="AP31" s="74"/>
      <c r="AQ31" s="74"/>
      <c r="AR31" s="74"/>
      <c r="AS31" s="74"/>
      <c r="AT31" s="74"/>
      <c r="AU31" s="74"/>
      <c r="AV31" s="74"/>
      <c r="AW31" s="74"/>
      <c r="AX31" s="74"/>
      <c r="AY31" s="74"/>
      <c r="AZ31" s="74"/>
      <c r="BA31" s="30"/>
      <c r="BB31"/>
      <c r="BC31"/>
      <c r="BD31"/>
      <c r="BE31"/>
      <c r="BF31"/>
      <c r="BG31"/>
      <c r="BH31"/>
      <c r="BI31"/>
      <c r="BJ31"/>
      <c r="BK31" s="19"/>
    </row>
    <row r="32" spans="1:63" ht="15" customHeight="1">
      <c r="A32" s="18"/>
      <c r="B32"/>
      <c r="C32"/>
      <c r="D32"/>
      <c r="E32"/>
      <c r="F32"/>
      <c r="G32"/>
      <c r="H32"/>
      <c r="I32"/>
      <c r="J32"/>
      <c r="K32" s="29"/>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c r="AN32" s="74"/>
      <c r="AO32" s="74"/>
      <c r="AP32" s="74"/>
      <c r="AQ32" s="74"/>
      <c r="AR32" s="74"/>
      <c r="AS32" s="74"/>
      <c r="AT32" s="74"/>
      <c r="AU32" s="74"/>
      <c r="AV32" s="74"/>
      <c r="AW32" s="74"/>
      <c r="AX32" s="74"/>
      <c r="AY32" s="74"/>
      <c r="AZ32" s="74"/>
      <c r="BA32" s="30"/>
      <c r="BB32"/>
      <c r="BC32"/>
      <c r="BD32"/>
      <c r="BE32"/>
      <c r="BF32"/>
      <c r="BG32"/>
      <c r="BH32"/>
      <c r="BI32"/>
      <c r="BJ32"/>
      <c r="BK32" s="19"/>
    </row>
    <row r="33" spans="1:63" ht="15" customHeight="1">
      <c r="A33" s="18"/>
      <c r="B33"/>
      <c r="C33"/>
      <c r="D33"/>
      <c r="E33"/>
      <c r="F33"/>
      <c r="G33"/>
      <c r="H33"/>
      <c r="I33"/>
      <c r="J33"/>
      <c r="K33" s="29"/>
      <c r="L33" s="74"/>
      <c r="M33" s="74"/>
      <c r="N33" s="74"/>
      <c r="O33" s="74"/>
      <c r="P33" s="74"/>
      <c r="Q33" s="74"/>
      <c r="R33" s="74"/>
      <c r="S33" s="74"/>
      <c r="T33" s="74"/>
      <c r="U33" s="74"/>
      <c r="V33" s="74"/>
      <c r="W33" s="74"/>
      <c r="X33" s="74"/>
      <c r="Y33" s="74"/>
      <c r="Z33" s="74"/>
      <c r="AA33" s="74"/>
      <c r="AB33" s="74"/>
      <c r="AC33" s="74"/>
      <c r="AD33" s="74"/>
      <c r="AE33" s="74"/>
      <c r="AF33" s="74"/>
      <c r="AG33" s="74"/>
      <c r="AH33" s="74"/>
      <c r="AI33" s="74"/>
      <c r="AJ33" s="74"/>
      <c r="AK33" s="74"/>
      <c r="AL33" s="74"/>
      <c r="AM33" s="74"/>
      <c r="AN33" s="74"/>
      <c r="AO33" s="74"/>
      <c r="AP33" s="74"/>
      <c r="AQ33" s="74"/>
      <c r="AR33" s="74"/>
      <c r="AS33" s="74"/>
      <c r="AT33" s="74"/>
      <c r="AU33" s="74"/>
      <c r="AV33" s="74"/>
      <c r="AW33" s="74"/>
      <c r="AX33" s="74"/>
      <c r="AY33" s="74"/>
      <c r="AZ33" s="74"/>
      <c r="BA33" s="30"/>
      <c r="BB33"/>
      <c r="BC33"/>
      <c r="BD33"/>
      <c r="BE33"/>
      <c r="BF33"/>
      <c r="BG33"/>
      <c r="BH33"/>
      <c r="BI33"/>
      <c r="BJ33"/>
      <c r="BK33" s="19"/>
    </row>
    <row r="34" spans="1:63" ht="15" customHeight="1">
      <c r="A34" s="18"/>
      <c r="B34"/>
      <c r="C34"/>
      <c r="D34"/>
      <c r="E34"/>
      <c r="F34"/>
      <c r="G34"/>
      <c r="H34"/>
      <c r="I34"/>
      <c r="J34"/>
      <c r="K34" s="29"/>
      <c r="L34" s="74"/>
      <c r="M34" s="74"/>
      <c r="N34" s="74"/>
      <c r="O34" s="74"/>
      <c r="P34" s="74"/>
      <c r="Q34" s="74"/>
      <c r="R34" s="74"/>
      <c r="S34" s="74"/>
      <c r="T34" s="74"/>
      <c r="U34" s="74"/>
      <c r="V34" s="74"/>
      <c r="W34" s="74"/>
      <c r="X34" s="74"/>
      <c r="Y34" s="74"/>
      <c r="Z34" s="74"/>
      <c r="AA34" s="74"/>
      <c r="AB34" s="74"/>
      <c r="AC34" s="74"/>
      <c r="AD34" s="74"/>
      <c r="AE34" s="74"/>
      <c r="AF34" s="74"/>
      <c r="AG34" s="74"/>
      <c r="AH34" s="74"/>
      <c r="AI34" s="74"/>
      <c r="AJ34" s="74"/>
      <c r="AK34" s="74"/>
      <c r="AL34" s="74"/>
      <c r="AM34" s="74"/>
      <c r="AN34" s="74"/>
      <c r="AO34" s="74"/>
      <c r="AP34" s="74"/>
      <c r="AQ34" s="74"/>
      <c r="AR34" s="74"/>
      <c r="AS34" s="74"/>
      <c r="AT34" s="74"/>
      <c r="AU34" s="74"/>
      <c r="AV34" s="74"/>
      <c r="AW34" s="74"/>
      <c r="AX34" s="74"/>
      <c r="AY34" s="74"/>
      <c r="AZ34" s="74"/>
      <c r="BA34" s="30"/>
      <c r="BB34"/>
      <c r="BC34"/>
      <c r="BD34"/>
      <c r="BE34"/>
      <c r="BF34"/>
      <c r="BG34"/>
      <c r="BH34"/>
      <c r="BI34"/>
      <c r="BJ34"/>
      <c r="BK34" s="19"/>
    </row>
    <row r="35" spans="1:63" ht="15" customHeight="1">
      <c r="A35" s="18"/>
      <c r="B35"/>
      <c r="C35"/>
      <c r="D35"/>
      <c r="E35"/>
      <c r="F35"/>
      <c r="G35"/>
      <c r="H35"/>
      <c r="I35"/>
      <c r="J35"/>
      <c r="K35" s="29"/>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c r="AN35" s="74"/>
      <c r="AO35" s="74"/>
      <c r="AP35" s="74"/>
      <c r="AQ35" s="74"/>
      <c r="AR35" s="74"/>
      <c r="AS35" s="74"/>
      <c r="AT35" s="74"/>
      <c r="AU35" s="74"/>
      <c r="AV35" s="74"/>
      <c r="AW35" s="74"/>
      <c r="AX35" s="74"/>
      <c r="AY35" s="74"/>
      <c r="AZ35" s="74"/>
      <c r="BA35" s="30"/>
      <c r="BB35"/>
      <c r="BC35"/>
      <c r="BD35"/>
      <c r="BE35"/>
      <c r="BF35"/>
      <c r="BG35"/>
      <c r="BH35"/>
      <c r="BI35"/>
      <c r="BJ35"/>
      <c r="BK35" s="19"/>
    </row>
    <row r="36" spans="1:63" ht="15" customHeight="1">
      <c r="A36" s="18"/>
      <c r="B36"/>
      <c r="C36"/>
      <c r="D36"/>
      <c r="E36"/>
      <c r="F36"/>
      <c r="G36"/>
      <c r="H36"/>
      <c r="I36"/>
      <c r="J36"/>
      <c r="K36" s="29"/>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c r="AN36" s="74"/>
      <c r="AO36" s="74"/>
      <c r="AP36" s="74"/>
      <c r="AQ36" s="74"/>
      <c r="AR36" s="74"/>
      <c r="AS36" s="74"/>
      <c r="AT36" s="74"/>
      <c r="AU36" s="74"/>
      <c r="AV36" s="74"/>
      <c r="AW36" s="74"/>
      <c r="AX36" s="74"/>
      <c r="AY36" s="74"/>
      <c r="AZ36" s="74"/>
      <c r="BA36" s="30"/>
      <c r="BB36"/>
      <c r="BC36"/>
      <c r="BD36"/>
      <c r="BE36"/>
      <c r="BF36"/>
      <c r="BG36"/>
      <c r="BH36"/>
      <c r="BI36"/>
      <c r="BJ36"/>
      <c r="BK36" s="19"/>
    </row>
    <row r="37" spans="1:63" ht="15" customHeight="1" thickBot="1">
      <c r="A37" s="18"/>
      <c r="B37"/>
      <c r="C37"/>
      <c r="D37"/>
      <c r="E37"/>
      <c r="F37"/>
      <c r="G37"/>
      <c r="H37"/>
      <c r="I37"/>
      <c r="J37"/>
      <c r="K37" s="33"/>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c r="BA37" s="35"/>
      <c r="BB37"/>
      <c r="BC37"/>
      <c r="BD37"/>
      <c r="BE37"/>
      <c r="BF37"/>
      <c r="BG37"/>
      <c r="BH37"/>
      <c r="BI37"/>
      <c r="BJ37"/>
      <c r="BK37" s="19"/>
    </row>
    <row r="38" spans="1:63" ht="15" customHeight="1" thickTop="1">
      <c r="A38" s="1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s="19"/>
    </row>
    <row r="39" spans="1:63" ht="15" customHeight="1">
      <c r="A39" s="18"/>
      <c r="B39"/>
      <c r="C39"/>
      <c r="D39"/>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s="19"/>
    </row>
    <row r="40" spans="1:63" ht="15" customHeight="1">
      <c r="A40" s="18"/>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s="19"/>
    </row>
    <row r="41" spans="1:63" ht="15" customHeight="1">
      <c r="A41" s="18"/>
      <c r="B41"/>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s="19"/>
    </row>
    <row r="42" spans="1:63" ht="15" customHeight="1">
      <c r="A42" s="18"/>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s="19"/>
    </row>
    <row r="43" spans="1:63" ht="15" customHeight="1">
      <c r="A43" s="18"/>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s="19"/>
    </row>
    <row r="44" spans="1:63" ht="15" customHeight="1">
      <c r="A44" s="18"/>
      <c r="B44"/>
      <c r="C44"/>
      <c r="D44"/>
      <c r="E44"/>
      <c r="F44"/>
      <c r="G44"/>
      <c r="H44"/>
      <c r="I44"/>
      <c r="J44"/>
      <c r="K44"/>
      <c r="L44"/>
      <c r="M44"/>
      <c r="N44"/>
      <c r="O44"/>
      <c r="P44"/>
      <c r="Q44" s="64" t="s">
        <v>15</v>
      </c>
      <c r="R44" s="65"/>
      <c r="S44" s="65"/>
      <c r="T44" s="65"/>
      <c r="U44" s="65"/>
      <c r="V44" s="65"/>
      <c r="W44" s="65"/>
      <c r="X44" s="65"/>
      <c r="Y44" s="65"/>
      <c r="Z44" s="66"/>
      <c r="AA44" s="64" t="s">
        <v>16</v>
      </c>
      <c r="AB44" s="65"/>
      <c r="AC44" s="65"/>
      <c r="AD44" s="65"/>
      <c r="AE44" s="65"/>
      <c r="AF44" s="65"/>
      <c r="AG44" s="65"/>
      <c r="AH44" s="65"/>
      <c r="AI44" s="65"/>
      <c r="AJ44" s="65"/>
      <c r="AK44" s="65"/>
      <c r="AL44" s="65"/>
      <c r="AM44" s="65"/>
      <c r="AN44" s="65"/>
      <c r="AO44" s="65"/>
      <c r="AP44" s="66"/>
      <c r="AQ44" s="64" t="s">
        <v>7</v>
      </c>
      <c r="AR44" s="65"/>
      <c r="AS44" s="65"/>
      <c r="AT44" s="65"/>
      <c r="AU44" s="66"/>
      <c r="AV44"/>
      <c r="AW44"/>
      <c r="AX44"/>
      <c r="AY44"/>
      <c r="AZ44"/>
      <c r="BA44"/>
      <c r="BB44"/>
      <c r="BC44"/>
      <c r="BD44"/>
      <c r="BE44"/>
      <c r="BF44"/>
      <c r="BG44"/>
      <c r="BH44"/>
      <c r="BI44"/>
      <c r="BJ44"/>
      <c r="BK44" s="19"/>
    </row>
    <row r="45" spans="1:63" ht="15" customHeight="1">
      <c r="A45" s="18"/>
      <c r="B45"/>
      <c r="C45"/>
      <c r="D45"/>
      <c r="E45"/>
      <c r="F45"/>
      <c r="G45"/>
      <c r="H45"/>
      <c r="I45"/>
      <c r="J45"/>
      <c r="K45"/>
      <c r="L45"/>
      <c r="M45"/>
      <c r="N45"/>
      <c r="O45"/>
      <c r="P45"/>
      <c r="Q45" s="67"/>
      <c r="R45" s="68"/>
      <c r="S45" s="68"/>
      <c r="T45" s="68"/>
      <c r="U45" s="68"/>
      <c r="V45" s="68"/>
      <c r="W45" s="68"/>
      <c r="X45" s="68"/>
      <c r="Y45" s="68"/>
      <c r="Z45" s="69"/>
      <c r="AA45" s="67"/>
      <c r="AB45" s="68"/>
      <c r="AC45" s="68"/>
      <c r="AD45" s="68"/>
      <c r="AE45" s="68"/>
      <c r="AF45" s="68"/>
      <c r="AG45" s="68"/>
      <c r="AH45" s="68"/>
      <c r="AI45" s="68"/>
      <c r="AJ45" s="68"/>
      <c r="AK45" s="68"/>
      <c r="AL45" s="68"/>
      <c r="AM45" s="68"/>
      <c r="AN45" s="68"/>
      <c r="AO45" s="68"/>
      <c r="AP45" s="69"/>
      <c r="AQ45" s="67"/>
      <c r="AR45" s="68"/>
      <c r="AS45" s="68"/>
      <c r="AT45" s="68"/>
      <c r="AU45" s="69"/>
      <c r="AV45"/>
      <c r="AW45"/>
      <c r="AX45"/>
      <c r="AY45"/>
      <c r="AZ45"/>
      <c r="BA45"/>
      <c r="BB45"/>
      <c r="BC45"/>
      <c r="BD45"/>
      <c r="BE45"/>
      <c r="BF45"/>
      <c r="BG45"/>
      <c r="BH45"/>
      <c r="BI45"/>
      <c r="BJ45"/>
      <c r="BK45" s="19"/>
    </row>
    <row r="46" spans="1:63" ht="15" customHeight="1">
      <c r="A46" s="18"/>
      <c r="B46"/>
      <c r="C46"/>
      <c r="D46"/>
      <c r="E46"/>
      <c r="F46"/>
      <c r="G46"/>
      <c r="H46"/>
      <c r="I46"/>
      <c r="J46"/>
      <c r="K46"/>
      <c r="L46"/>
      <c r="M46"/>
      <c r="N46"/>
      <c r="O46"/>
      <c r="P46"/>
      <c r="Q46" s="55"/>
      <c r="R46" s="56"/>
      <c r="S46" s="56"/>
      <c r="T46" s="56"/>
      <c r="U46" s="56"/>
      <c r="V46" s="56"/>
      <c r="W46" s="56"/>
      <c r="X46" s="56"/>
      <c r="Y46" s="56"/>
      <c r="Z46" s="57"/>
      <c r="AA46" s="55"/>
      <c r="AB46" s="56"/>
      <c r="AC46" s="56"/>
      <c r="AD46" s="56"/>
      <c r="AE46" s="56"/>
      <c r="AF46" s="56"/>
      <c r="AG46" s="56"/>
      <c r="AH46" s="56"/>
      <c r="AI46" s="56"/>
      <c r="AJ46" s="56"/>
      <c r="AK46" s="56"/>
      <c r="AL46" s="56"/>
      <c r="AM46" s="56"/>
      <c r="AN46" s="56"/>
      <c r="AO46" s="56"/>
      <c r="AP46" s="57"/>
      <c r="AQ46" s="55"/>
      <c r="AR46" s="56"/>
      <c r="AS46" s="56"/>
      <c r="AT46" s="56"/>
      <c r="AU46" s="57"/>
      <c r="AV46"/>
      <c r="AW46"/>
      <c r="AX46"/>
      <c r="AY46"/>
      <c r="AZ46"/>
      <c r="BA46"/>
      <c r="BB46"/>
      <c r="BC46"/>
      <c r="BD46"/>
      <c r="BE46"/>
      <c r="BF46"/>
      <c r="BG46"/>
      <c r="BH46"/>
      <c r="BI46"/>
      <c r="BJ46"/>
      <c r="BK46" s="19"/>
    </row>
    <row r="47" spans="1:63" ht="15" customHeight="1">
      <c r="A47" s="18"/>
      <c r="B47"/>
      <c r="C47"/>
      <c r="D47"/>
      <c r="E47"/>
      <c r="F47"/>
      <c r="G47"/>
      <c r="H47"/>
      <c r="I47"/>
      <c r="J47"/>
      <c r="K47"/>
      <c r="L47"/>
      <c r="M47"/>
      <c r="N47"/>
      <c r="O47"/>
      <c r="P47"/>
      <c r="Q47" s="58"/>
      <c r="R47" s="59"/>
      <c r="S47" s="59"/>
      <c r="T47" s="59"/>
      <c r="U47" s="59"/>
      <c r="V47" s="59"/>
      <c r="W47" s="59"/>
      <c r="X47" s="59"/>
      <c r="Y47" s="59"/>
      <c r="Z47" s="60"/>
      <c r="AA47" s="58"/>
      <c r="AB47" s="59"/>
      <c r="AC47" s="59"/>
      <c r="AD47" s="59"/>
      <c r="AE47" s="59"/>
      <c r="AF47" s="59"/>
      <c r="AG47" s="59"/>
      <c r="AH47" s="59"/>
      <c r="AI47" s="59"/>
      <c r="AJ47" s="59"/>
      <c r="AK47" s="59"/>
      <c r="AL47" s="59"/>
      <c r="AM47" s="59"/>
      <c r="AN47" s="59"/>
      <c r="AO47" s="59"/>
      <c r="AP47" s="60"/>
      <c r="AQ47" s="58"/>
      <c r="AR47" s="59"/>
      <c r="AS47" s="59"/>
      <c r="AT47" s="59"/>
      <c r="AU47" s="60"/>
      <c r="AV47"/>
      <c r="AW47"/>
      <c r="AX47"/>
      <c r="AY47"/>
      <c r="AZ47"/>
      <c r="BA47"/>
      <c r="BB47"/>
      <c r="BC47"/>
      <c r="BD47"/>
      <c r="BE47"/>
      <c r="BF47"/>
      <c r="BG47"/>
      <c r="BH47"/>
      <c r="BI47"/>
      <c r="BJ47"/>
      <c r="BK47" s="19"/>
    </row>
    <row r="48" spans="1:63" ht="15" customHeight="1">
      <c r="A48" s="18"/>
      <c r="B48"/>
      <c r="C48"/>
      <c r="D48"/>
      <c r="E48"/>
      <c r="F48"/>
      <c r="G48"/>
      <c r="H48"/>
      <c r="I48"/>
      <c r="J48"/>
      <c r="K48"/>
      <c r="L48"/>
      <c r="M48"/>
      <c r="N48"/>
      <c r="O48"/>
      <c r="P48"/>
      <c r="Q48" s="58"/>
      <c r="R48" s="59"/>
      <c r="S48" s="59"/>
      <c r="T48" s="59"/>
      <c r="U48" s="59"/>
      <c r="V48" s="59"/>
      <c r="W48" s="59"/>
      <c r="X48" s="59"/>
      <c r="Y48" s="59"/>
      <c r="Z48" s="60"/>
      <c r="AA48" s="58"/>
      <c r="AB48" s="59"/>
      <c r="AC48" s="59"/>
      <c r="AD48" s="59"/>
      <c r="AE48" s="59"/>
      <c r="AF48" s="59"/>
      <c r="AG48" s="59"/>
      <c r="AH48" s="59"/>
      <c r="AI48" s="59"/>
      <c r="AJ48" s="59"/>
      <c r="AK48" s="59"/>
      <c r="AL48" s="59"/>
      <c r="AM48" s="59"/>
      <c r="AN48" s="59"/>
      <c r="AO48" s="59"/>
      <c r="AP48" s="60"/>
      <c r="AQ48" s="58"/>
      <c r="AR48" s="59"/>
      <c r="AS48" s="59"/>
      <c r="AT48" s="59"/>
      <c r="AU48" s="60"/>
      <c r="AV48"/>
      <c r="AW48"/>
      <c r="AX48"/>
      <c r="AY48"/>
      <c r="AZ48"/>
      <c r="BA48"/>
      <c r="BB48"/>
      <c r="BC48"/>
      <c r="BD48"/>
      <c r="BE48"/>
      <c r="BF48"/>
      <c r="BG48"/>
      <c r="BH48"/>
      <c r="BI48"/>
      <c r="BJ48"/>
      <c r="BK48" s="19"/>
    </row>
    <row r="49" spans="1:63" ht="15" customHeight="1">
      <c r="A49" s="18"/>
      <c r="B49"/>
      <c r="C49"/>
      <c r="D49"/>
      <c r="E49"/>
      <c r="F49"/>
      <c r="G49"/>
      <c r="H49"/>
      <c r="I49"/>
      <c r="J49"/>
      <c r="K49"/>
      <c r="L49"/>
      <c r="M49"/>
      <c r="N49"/>
      <c r="O49"/>
      <c r="P49"/>
      <c r="Q49" s="61"/>
      <c r="R49" s="62"/>
      <c r="S49" s="62"/>
      <c r="T49" s="62"/>
      <c r="U49" s="62"/>
      <c r="V49" s="62"/>
      <c r="W49" s="62"/>
      <c r="X49" s="62"/>
      <c r="Y49" s="62"/>
      <c r="Z49" s="63"/>
      <c r="AA49" s="61"/>
      <c r="AB49" s="62"/>
      <c r="AC49" s="62"/>
      <c r="AD49" s="62"/>
      <c r="AE49" s="62"/>
      <c r="AF49" s="62"/>
      <c r="AG49" s="62"/>
      <c r="AH49" s="62"/>
      <c r="AI49" s="62"/>
      <c r="AJ49" s="62"/>
      <c r="AK49" s="62"/>
      <c r="AL49" s="62"/>
      <c r="AM49" s="62"/>
      <c r="AN49" s="62"/>
      <c r="AO49" s="62"/>
      <c r="AP49" s="63"/>
      <c r="AQ49" s="61"/>
      <c r="AR49" s="62"/>
      <c r="AS49" s="62"/>
      <c r="AT49" s="62"/>
      <c r="AU49" s="63"/>
      <c r="AV49"/>
      <c r="AW49"/>
      <c r="AX49"/>
      <c r="AY49"/>
      <c r="AZ49"/>
      <c r="BA49"/>
      <c r="BB49"/>
      <c r="BC49"/>
      <c r="BD49"/>
      <c r="BE49"/>
      <c r="BF49"/>
      <c r="BG49"/>
      <c r="BH49"/>
      <c r="BI49"/>
      <c r="BJ49"/>
      <c r="BK49" s="19"/>
    </row>
    <row r="50" spans="1:63" ht="15" customHeight="1">
      <c r="A50" s="18"/>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s="19"/>
    </row>
    <row r="51" spans="1:63" ht="15" customHeight="1">
      <c r="A51" s="18"/>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s="19"/>
    </row>
    <row r="52" spans="1:63" ht="15" customHeight="1">
      <c r="A52" s="18"/>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s="19"/>
    </row>
    <row r="53" spans="1:63" ht="15" customHeight="1">
      <c r="A53" s="18"/>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s="19"/>
    </row>
    <row r="54" spans="1:63" ht="15" customHeight="1">
      <c r="A54" s="18"/>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s="19"/>
    </row>
    <row r="55" spans="1:63" ht="15" customHeight="1">
      <c r="A55" s="15"/>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7"/>
    </row>
  </sheetData>
  <mergeCells count="28">
    <mergeCell ref="A4:G4"/>
    <mergeCell ref="K2:V3"/>
    <mergeCell ref="A2:J3"/>
    <mergeCell ref="W1:AO3"/>
    <mergeCell ref="K1:V1"/>
    <mergeCell ref="A1:J1"/>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Q46:AU49"/>
    <mergeCell ref="AA46:AP49"/>
    <mergeCell ref="Q46:Z49"/>
    <mergeCell ref="AQ44:AU45"/>
    <mergeCell ref="AA44:AP45"/>
    <mergeCell ref="Q44:Z45"/>
  </mergeCells>
  <phoneticPr fontId="13"/>
  <printOptions horizontalCentered="1" verticalCentered="1"/>
  <pageMargins left="0.59055118110236204" right="0.59055118110236204" top="0.39370078740157499" bottom="0.39370078740157499" header="0.31496062992126" footer="0.31496062992126"/>
  <pageSetup paperSize="9" scale="63"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pageSetUpPr fitToPage="1"/>
  </sheetPr>
  <dimension ref="A1:BK57"/>
  <sheetViews>
    <sheetView view="pageBreakPreview" zoomScaleNormal="75" zoomScaleSheetLayoutView="100" workbookViewId="0">
      <selection activeCell="S40" sqref="S40:AW40"/>
    </sheetView>
  </sheetViews>
  <sheetFormatPr defaultColWidth="2.6640625" defaultRowHeight="15" customHeight="1"/>
  <cols>
    <col min="1" max="16384" width="2.6640625" style="2"/>
  </cols>
  <sheetData>
    <row r="1" spans="1:63" ht="24.95" customHeight="1">
      <c r="A1" s="70" t="s">
        <v>0</v>
      </c>
      <c r="B1" s="71"/>
      <c r="C1" s="71"/>
      <c r="D1" s="71"/>
      <c r="E1" s="71"/>
      <c r="F1" s="71"/>
      <c r="G1" s="71"/>
      <c r="H1" s="71"/>
      <c r="I1" s="71"/>
      <c r="J1" s="72"/>
      <c r="K1" s="70" t="s">
        <v>1</v>
      </c>
      <c r="L1" s="71"/>
      <c r="M1" s="71"/>
      <c r="N1" s="71"/>
      <c r="O1" s="71"/>
      <c r="P1" s="71"/>
      <c r="Q1" s="71"/>
      <c r="R1" s="71"/>
      <c r="S1" s="71"/>
      <c r="T1" s="71"/>
      <c r="U1" s="71"/>
      <c r="V1" s="72"/>
      <c r="W1" s="90" t="e">
        <f ca="1">IF( che [11]phủ!W1="","", che [11]phủ!W1)</f>
        <v>#NAME?</v>
      </c>
      <c r="X1" s="91"/>
      <c r="Y1" s="91"/>
      <c r="Z1" s="91"/>
      <c r="AA1" s="91"/>
      <c r="AB1" s="91"/>
      <c r="AC1" s="91"/>
      <c r="AD1" s="91"/>
      <c r="AE1" s="91"/>
      <c r="AF1" s="91"/>
      <c r="AG1" s="91"/>
      <c r="AH1" s="91"/>
      <c r="AI1" s="91"/>
      <c r="AJ1" s="91"/>
      <c r="AK1" s="91"/>
      <c r="AL1" s="91"/>
      <c r="AM1" s="91"/>
      <c r="AN1" s="91"/>
      <c r="AO1" s="92"/>
      <c r="AP1" s="70" t="s">
        <v>3</v>
      </c>
      <c r="AQ1" s="71"/>
      <c r="AR1" s="71"/>
      <c r="AS1" s="72"/>
      <c r="AT1" s="70" t="s">
        <v>4</v>
      </c>
      <c r="AU1" s="71"/>
      <c r="AV1" s="71"/>
      <c r="AW1" s="71"/>
      <c r="AX1" s="72"/>
      <c r="AY1" s="70" t="s">
        <v>5</v>
      </c>
      <c r="AZ1" s="71"/>
      <c r="BA1" s="71"/>
      <c r="BB1" s="72"/>
      <c r="BC1" s="70" t="s">
        <v>6</v>
      </c>
      <c r="BD1" s="71"/>
      <c r="BE1" s="71"/>
      <c r="BF1" s="71"/>
      <c r="BG1" s="72"/>
      <c r="BH1" s="70" t="s">
        <v>7</v>
      </c>
      <c r="BI1" s="71"/>
      <c r="BJ1" s="71"/>
      <c r="BK1" s="72"/>
    </row>
    <row r="2" spans="1:63" ht="24.95" customHeight="1">
      <c r="A2" s="55" t="e">
        <f ca="1">IF( che [11]phủ!A2="","", che [11]phủ!A2)</f>
        <v>#NAME?</v>
      </c>
      <c r="B2" s="56"/>
      <c r="C2" s="56"/>
      <c r="D2" s="56"/>
      <c r="E2" s="56"/>
      <c r="F2" s="56"/>
      <c r="G2" s="56"/>
      <c r="H2" s="56"/>
      <c r="I2" s="56"/>
      <c r="J2" s="57"/>
      <c r="K2" s="55" t="e">
        <f ca="1">IF( che [11]phủ!K2="","", che [11]phủ!K2)</f>
        <v>#NAME?</v>
      </c>
      <c r="L2" s="56"/>
      <c r="M2" s="56"/>
      <c r="N2" s="56"/>
      <c r="O2" s="56"/>
      <c r="P2" s="56"/>
      <c r="Q2" s="56"/>
      <c r="R2" s="56"/>
      <c r="S2" s="56"/>
      <c r="T2" s="56"/>
      <c r="U2" s="56"/>
      <c r="V2" s="57"/>
      <c r="W2" s="93"/>
      <c r="X2" s="94"/>
      <c r="Y2" s="94"/>
      <c r="Z2" s="94"/>
      <c r="AA2" s="94"/>
      <c r="AB2" s="94"/>
      <c r="AC2" s="94"/>
      <c r="AD2" s="94"/>
      <c r="AE2" s="94"/>
      <c r="AF2" s="94"/>
      <c r="AG2" s="94"/>
      <c r="AH2" s="94"/>
      <c r="AI2" s="94"/>
      <c r="AJ2" s="94"/>
      <c r="AK2" s="94"/>
      <c r="AL2" s="94"/>
      <c r="AM2" s="94"/>
      <c r="AN2" s="94"/>
      <c r="AO2" s="95"/>
      <c r="AP2" s="55" t="e">
        <f ca="1">IF( che [11]phủ!AP2="","", che [11]phủ!AP2)</f>
        <v>#NAME?</v>
      </c>
      <c r="AQ2" s="56"/>
      <c r="AR2" s="56"/>
      <c r="AS2" s="57"/>
      <c r="AT2" s="84" t="e">
        <f ca="1">IF( che [11]phủ!AT2="","", che [11]phủ!AT2)</f>
        <v>#NAME?</v>
      </c>
      <c r="AU2" s="85"/>
      <c r="AV2" s="85"/>
      <c r="AW2" s="85"/>
      <c r="AX2" s="86"/>
      <c r="AY2" s="55" t="e">
        <f ca="1">IF( che [11]phủ!AY2="","", che [11]phủ!AY2)</f>
        <v>#NAME?</v>
      </c>
      <c r="AZ2" s="56"/>
      <c r="BA2" s="56"/>
      <c r="BB2" s="57"/>
      <c r="BC2" s="84" t="e">
        <f ca="1">IF( che [11]phủ!BC2="","", che [11]phủ!BC2)</f>
        <v>#NAME?</v>
      </c>
      <c r="BD2" s="85"/>
      <c r="BE2" s="85"/>
      <c r="BF2" s="85"/>
      <c r="BG2" s="86"/>
      <c r="BH2" s="55" t="e">
        <f ca="1">IF( che [11]phủ!BH2="","", che [11]phủ!BH2)</f>
        <v>#NAME?</v>
      </c>
      <c r="BI2" s="56"/>
      <c r="BJ2" s="56"/>
      <c r="BK2" s="57"/>
    </row>
    <row r="3" spans="1:63" ht="24.95" customHeight="1">
      <c r="A3" s="61"/>
      <c r="B3" s="62"/>
      <c r="C3" s="62"/>
      <c r="D3" s="62"/>
      <c r="E3" s="62"/>
      <c r="F3" s="62"/>
      <c r="G3" s="62"/>
      <c r="H3" s="62"/>
      <c r="I3" s="62"/>
      <c r="J3" s="63"/>
      <c r="K3" s="61"/>
      <c r="L3" s="62"/>
      <c r="M3" s="62"/>
      <c r="N3" s="62"/>
      <c r="O3" s="62"/>
      <c r="P3" s="62"/>
      <c r="Q3" s="62"/>
      <c r="R3" s="62"/>
      <c r="S3" s="62"/>
      <c r="T3" s="62"/>
      <c r="U3" s="62"/>
      <c r="V3" s="63"/>
      <c r="W3" s="96"/>
      <c r="X3" s="97"/>
      <c r="Y3" s="97"/>
      <c r="Z3" s="97"/>
      <c r="AA3" s="97"/>
      <c r="AB3" s="97"/>
      <c r="AC3" s="97"/>
      <c r="AD3" s="97"/>
      <c r="AE3" s="97"/>
      <c r="AF3" s="97"/>
      <c r="AG3" s="97"/>
      <c r="AH3" s="97"/>
      <c r="AI3" s="97"/>
      <c r="AJ3" s="97"/>
      <c r="AK3" s="97"/>
      <c r="AL3" s="97"/>
      <c r="AM3" s="97"/>
      <c r="AN3" s="97"/>
      <c r="AO3" s="98"/>
      <c r="AP3" s="61"/>
      <c r="AQ3" s="62"/>
      <c r="AR3" s="62"/>
      <c r="AS3" s="63"/>
      <c r="AT3" s="87"/>
      <c r="AU3" s="88"/>
      <c r="AV3" s="88"/>
      <c r="AW3" s="88"/>
      <c r="AX3" s="89"/>
      <c r="AY3" s="61"/>
      <c r="AZ3" s="62"/>
      <c r="BA3" s="62"/>
      <c r="BB3" s="63"/>
      <c r="BC3" s="87"/>
      <c r="BD3" s="88"/>
      <c r="BE3" s="88"/>
      <c r="BF3" s="88"/>
      <c r="BG3" s="89"/>
      <c r="BH3" s="61"/>
      <c r="BI3" s="62"/>
      <c r="BJ3" s="62"/>
      <c r="BK3" s="63"/>
    </row>
    <row r="4" spans="1:63" ht="24.95" customHeight="1">
      <c r="A4" s="70" t="s">
        <v>10</v>
      </c>
      <c r="B4" s="71"/>
      <c r="C4" s="71"/>
      <c r="D4" s="71"/>
      <c r="E4" s="71"/>
      <c r="F4" s="71"/>
      <c r="G4" s="72"/>
      <c r="H4" s="75" t="e">
        <f ca="1">IF( che [11]phủ!H4="","", che [11]phủ!H4)</f>
        <v>#NAME?</v>
      </c>
      <c r="I4" s="76"/>
      <c r="J4" s="76"/>
      <c r="K4" s="76"/>
      <c r="L4" s="76"/>
      <c r="M4" s="76"/>
      <c r="N4" s="76"/>
      <c r="O4" s="76"/>
      <c r="P4" s="76"/>
      <c r="Q4" s="76"/>
      <c r="R4" s="76"/>
      <c r="S4" s="76"/>
      <c r="T4" s="77"/>
      <c r="U4" s="70" t="s">
        <v>12</v>
      </c>
      <c r="V4" s="71"/>
      <c r="W4" s="71"/>
      <c r="X4" s="71"/>
      <c r="Y4" s="72"/>
      <c r="Z4" s="75" t="e">
        <f ca="1">IF( che [11]phủ!Z4="","", che [11]phủ!Z4)</f>
        <v>#NAME?</v>
      </c>
      <c r="AA4" s="76"/>
      <c r="AB4" s="76"/>
      <c r="AC4" s="76"/>
      <c r="AD4" s="76"/>
      <c r="AE4" s="76"/>
      <c r="AF4" s="76"/>
      <c r="AG4" s="76"/>
      <c r="AH4" s="76"/>
      <c r="AI4" s="76"/>
      <c r="AJ4" s="76"/>
      <c r="AK4" s="76"/>
      <c r="AL4" s="76"/>
      <c r="AM4" s="76"/>
      <c r="AN4" s="76"/>
      <c r="AO4" s="77"/>
      <c r="AP4" s="75" t="e" cm="1">
        <f t="array" aca="1" ref="AP4" ca="1">RIGHT(CELL("filename",$A$1),LEN(CELL("filename",$A$1))-FIND("]",CELL("filename",$A$1)))</f>
        <v>#VALUE!</v>
      </c>
      <c r="AQ4" s="76"/>
      <c r="AR4" s="76"/>
      <c r="AS4" s="76"/>
      <c r="AT4" s="76"/>
      <c r="AU4" s="76"/>
      <c r="AV4" s="76"/>
      <c r="AW4" s="76"/>
      <c r="AX4" s="76"/>
      <c r="AY4" s="76"/>
      <c r="AZ4" s="76"/>
      <c r="BA4" s="76"/>
      <c r="BB4" s="76"/>
      <c r="BC4" s="76"/>
      <c r="BD4" s="76"/>
      <c r="BE4" s="76"/>
      <c r="BF4" s="76"/>
      <c r="BG4" s="76"/>
      <c r="BH4" s="76"/>
      <c r="BI4" s="76"/>
      <c r="BJ4" s="76"/>
      <c r="BK4" s="77"/>
    </row>
    <row r="5" spans="1:63" ht="5.0999999999999996" customHeight="1">
      <c r="A5" s="20"/>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2"/>
    </row>
    <row r="6" spans="1:63" ht="15" customHeight="1">
      <c r="A6" s="18"/>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s="19"/>
    </row>
    <row r="7" spans="1:63" ht="15" customHeight="1">
      <c r="A7" s="18"/>
      <c r="B7"/>
      <c r="C7"/>
      <c r="D7"/>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s="19"/>
    </row>
    <row r="8" spans="1:63" ht="15" customHeight="1">
      <c r="A8" s="18"/>
      <c r="B8" t="s">
        <v>17</v>
      </c>
      <c r="C8"/>
      <c r="D8"/>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s="19"/>
    </row>
    <row r="9" spans="1:63" ht="15" customHeight="1">
      <c r="A9" s="18"/>
      <c r="B9"/>
      <c r="C9"/>
      <c r="D9"/>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s="19"/>
    </row>
    <row r="10" spans="1:63" ht="15" customHeight="1">
      <c r="A10" s="18"/>
      <c r="B10" s="220" t="s">
        <v>6</v>
      </c>
      <c r="C10" s="220"/>
      <c r="D10" s="220"/>
      <c r="E10" s="220"/>
      <c r="F10" s="220"/>
      <c r="G10" s="220"/>
      <c r="H10" s="220" t="s">
        <v>5</v>
      </c>
      <c r="I10" s="220"/>
      <c r="J10" s="220"/>
      <c r="K10" s="220"/>
      <c r="L10" s="220"/>
      <c r="M10" s="220"/>
      <c r="N10" s="220"/>
      <c r="O10" s="220" t="s">
        <v>7</v>
      </c>
      <c r="P10" s="220"/>
      <c r="Q10" s="220"/>
      <c r="R10" s="220"/>
      <c r="S10" s="220" t="s">
        <v>18</v>
      </c>
      <c r="T10" s="220"/>
      <c r="U10" s="220"/>
      <c r="V10" s="220"/>
      <c r="W10" s="220"/>
      <c r="X10" s="220"/>
      <c r="Y10" s="220"/>
      <c r="Z10" s="220"/>
      <c r="AA10" s="220"/>
      <c r="AB10" s="220"/>
      <c r="AC10" s="220"/>
      <c r="AD10" s="220"/>
      <c r="AE10" s="220"/>
      <c r="AF10" s="220"/>
      <c r="AG10" s="220"/>
      <c r="AH10" s="220"/>
      <c r="AI10" s="220"/>
      <c r="AJ10" s="220"/>
      <c r="AK10" s="220"/>
      <c r="AL10" s="220"/>
      <c r="AM10" s="220"/>
      <c r="AN10" s="220"/>
      <c r="AO10" s="220"/>
      <c r="AP10" s="220"/>
      <c r="AQ10" s="220"/>
      <c r="AR10" s="220"/>
      <c r="AS10" s="220"/>
      <c r="AT10" s="220"/>
      <c r="AU10" s="220"/>
      <c r="AV10" s="220"/>
      <c r="AW10" s="220"/>
      <c r="AX10" s="220" t="s">
        <v>15</v>
      </c>
      <c r="AY10" s="220"/>
      <c r="AZ10" s="220"/>
      <c r="BA10" s="220"/>
      <c r="BB10" s="220"/>
      <c r="BC10" s="220"/>
      <c r="BD10" s="220" t="s">
        <v>16</v>
      </c>
      <c r="BE10" s="220"/>
      <c r="BF10" s="220"/>
      <c r="BG10" s="220"/>
      <c r="BH10" s="220"/>
      <c r="BI10" s="220"/>
      <c r="BJ10" s="220"/>
      <c r="BK10" s="19"/>
    </row>
    <row r="11" spans="1:63" ht="15" customHeight="1">
      <c r="A11" s="18"/>
      <c r="B11" s="99">
        <v>45817</v>
      </c>
      <c r="C11" s="100"/>
      <c r="D11" s="100"/>
      <c r="E11" s="100"/>
      <c r="F11" s="100"/>
      <c r="G11" s="101"/>
      <c r="H11" s="105" t="s">
        <v>19</v>
      </c>
      <c r="I11" s="106"/>
      <c r="J11" s="106"/>
      <c r="K11" s="106"/>
      <c r="L11" s="106"/>
      <c r="M11" s="106"/>
      <c r="N11" s="107"/>
      <c r="O11" s="55">
        <v>0.1</v>
      </c>
      <c r="P11" s="56"/>
      <c r="Q11" s="56"/>
      <c r="R11" s="56"/>
      <c r="S11" s="221" t="s">
        <v>20</v>
      </c>
      <c r="T11" s="222"/>
      <c r="U11" s="222"/>
      <c r="V11" s="222"/>
      <c r="W11" s="222"/>
      <c r="X11" s="222"/>
      <c r="Y11" s="222"/>
      <c r="Z11" s="222"/>
      <c r="AA11" s="222"/>
      <c r="AB11" s="222"/>
      <c r="AC11" s="222"/>
      <c r="AD11" s="222"/>
      <c r="AE11" s="222"/>
      <c r="AF11" s="222"/>
      <c r="AG11" s="222"/>
      <c r="AH11" s="222"/>
      <c r="AI11" s="222"/>
      <c r="AJ11" s="222"/>
      <c r="AK11" s="222"/>
      <c r="AL11" s="222"/>
      <c r="AM11" s="222"/>
      <c r="AN11" s="222"/>
      <c r="AO11" s="222"/>
      <c r="AP11" s="222"/>
      <c r="AQ11" s="222"/>
      <c r="AR11" s="222"/>
      <c r="AS11" s="222"/>
      <c r="AT11" s="222"/>
      <c r="AU11" s="222"/>
      <c r="AV11" s="222"/>
      <c r="AW11" s="223"/>
      <c r="AX11" s="224"/>
      <c r="AY11" s="224"/>
      <c r="AZ11" s="224"/>
      <c r="BA11" s="224"/>
      <c r="BB11" s="224"/>
      <c r="BC11" s="225"/>
      <c r="BD11" s="226"/>
      <c r="BE11" s="224"/>
      <c r="BF11" s="224"/>
      <c r="BG11" s="224"/>
      <c r="BH11" s="224"/>
      <c r="BI11" s="224"/>
      <c r="BJ11" s="225"/>
      <c r="BK11" s="19"/>
    </row>
    <row r="12" spans="1:63" ht="15" customHeight="1">
      <c r="A12" s="18"/>
      <c r="B12" s="102"/>
      <c r="C12" s="103"/>
      <c r="D12" s="103"/>
      <c r="E12" s="103"/>
      <c r="F12" s="103"/>
      <c r="G12" s="104"/>
      <c r="H12" s="108"/>
      <c r="I12" s="109"/>
      <c r="J12" s="109"/>
      <c r="K12" s="109"/>
      <c r="L12" s="109"/>
      <c r="M12" s="109"/>
      <c r="N12" s="110"/>
      <c r="O12" s="61"/>
      <c r="P12" s="62"/>
      <c r="Q12" s="62"/>
      <c r="R12" s="62"/>
      <c r="S12" s="227"/>
      <c r="T12" s="228"/>
      <c r="U12" s="228"/>
      <c r="V12" s="228"/>
      <c r="W12" s="228"/>
      <c r="X12" s="228"/>
      <c r="Y12" s="228"/>
      <c r="Z12" s="228"/>
      <c r="AA12" s="228"/>
      <c r="AB12" s="228"/>
      <c r="AC12" s="228"/>
      <c r="AD12" s="228"/>
      <c r="AE12" s="228"/>
      <c r="AF12" s="228"/>
      <c r="AG12" s="228"/>
      <c r="AH12" s="228"/>
      <c r="AI12" s="228"/>
      <c r="AJ12" s="228"/>
      <c r="AK12" s="228"/>
      <c r="AL12" s="228"/>
      <c r="AM12" s="228"/>
      <c r="AN12" s="228"/>
      <c r="AO12" s="228"/>
      <c r="AP12" s="228"/>
      <c r="AQ12" s="228"/>
      <c r="AR12" s="228"/>
      <c r="AS12" s="228"/>
      <c r="AT12" s="228"/>
      <c r="AU12" s="228"/>
      <c r="AV12" s="228"/>
      <c r="AW12" s="229"/>
      <c r="AX12" s="230"/>
      <c r="AY12" s="230"/>
      <c r="AZ12" s="230"/>
      <c r="BA12" s="230"/>
      <c r="BB12" s="230"/>
      <c r="BC12" s="231"/>
      <c r="BD12" s="232"/>
      <c r="BE12" s="230"/>
      <c r="BF12" s="230"/>
      <c r="BG12" s="230"/>
      <c r="BH12" s="230"/>
      <c r="BI12" s="230"/>
      <c r="BJ12" s="231"/>
      <c r="BK12" s="19"/>
    </row>
    <row r="13" spans="1:63" ht="15" customHeight="1">
      <c r="A13" s="18"/>
      <c r="B13" s="99">
        <v>45818</v>
      </c>
      <c r="C13" s="100"/>
      <c r="D13" s="100"/>
      <c r="E13" s="100"/>
      <c r="F13" s="100"/>
      <c r="G13" s="101"/>
      <c r="H13" s="105" t="s">
        <v>19</v>
      </c>
      <c r="I13" s="106"/>
      <c r="J13" s="106"/>
      <c r="K13" s="106"/>
      <c r="L13" s="106"/>
      <c r="M13" s="106"/>
      <c r="N13" s="107"/>
      <c r="O13" s="55">
        <v>0.2</v>
      </c>
      <c r="P13" s="56"/>
      <c r="Q13" s="56"/>
      <c r="R13" s="56"/>
      <c r="S13" s="233" t="s">
        <v>21</v>
      </c>
      <c r="T13" s="222"/>
      <c r="U13" s="222"/>
      <c r="V13" s="222"/>
      <c r="W13" s="222"/>
      <c r="X13" s="222"/>
      <c r="Y13" s="222"/>
      <c r="Z13" s="222"/>
      <c r="AA13" s="222"/>
      <c r="AB13" s="222"/>
      <c r="AC13" s="222"/>
      <c r="AD13" s="222"/>
      <c r="AE13" s="222"/>
      <c r="AF13" s="222"/>
      <c r="AG13" s="222"/>
      <c r="AH13" s="222"/>
      <c r="AI13" s="222"/>
      <c r="AJ13" s="222"/>
      <c r="AK13" s="222"/>
      <c r="AL13" s="222"/>
      <c r="AM13" s="222"/>
      <c r="AN13" s="222"/>
      <c r="AO13" s="222"/>
      <c r="AP13" s="222"/>
      <c r="AQ13" s="222"/>
      <c r="AR13" s="222"/>
      <c r="AS13" s="222"/>
      <c r="AT13" s="222"/>
      <c r="AU13" s="222"/>
      <c r="AV13" s="222"/>
      <c r="AW13" s="223"/>
      <c r="AX13" s="224"/>
      <c r="AY13" s="224"/>
      <c r="AZ13" s="224"/>
      <c r="BA13" s="224"/>
      <c r="BB13" s="224"/>
      <c r="BC13" s="225"/>
      <c r="BD13" s="226"/>
      <c r="BE13" s="224"/>
      <c r="BF13" s="224"/>
      <c r="BG13" s="224"/>
      <c r="BH13" s="224"/>
      <c r="BI13" s="224"/>
      <c r="BJ13" s="225"/>
      <c r="BK13" s="19"/>
    </row>
    <row r="14" spans="1:63" ht="15" customHeight="1">
      <c r="A14" s="18"/>
      <c r="B14" s="102"/>
      <c r="C14" s="103"/>
      <c r="D14" s="103"/>
      <c r="E14" s="103"/>
      <c r="F14" s="103"/>
      <c r="G14" s="104"/>
      <c r="H14" s="108"/>
      <c r="I14" s="109"/>
      <c r="J14" s="109"/>
      <c r="K14" s="109"/>
      <c r="L14" s="109"/>
      <c r="M14" s="109"/>
      <c r="N14" s="110"/>
      <c r="O14" s="61"/>
      <c r="P14" s="62"/>
      <c r="Q14" s="62"/>
      <c r="R14" s="62"/>
      <c r="S14" s="227"/>
      <c r="T14" s="228"/>
      <c r="U14" s="228"/>
      <c r="V14" s="228"/>
      <c r="W14" s="228"/>
      <c r="X14" s="228"/>
      <c r="Y14" s="228"/>
      <c r="Z14" s="228"/>
      <c r="AA14" s="228"/>
      <c r="AB14" s="228"/>
      <c r="AC14" s="228"/>
      <c r="AD14" s="228"/>
      <c r="AE14" s="228"/>
      <c r="AF14" s="228"/>
      <c r="AG14" s="228"/>
      <c r="AH14" s="228"/>
      <c r="AI14" s="228"/>
      <c r="AJ14" s="228"/>
      <c r="AK14" s="228"/>
      <c r="AL14" s="228"/>
      <c r="AM14" s="228"/>
      <c r="AN14" s="228"/>
      <c r="AO14" s="228"/>
      <c r="AP14" s="228"/>
      <c r="AQ14" s="228"/>
      <c r="AR14" s="228"/>
      <c r="AS14" s="228"/>
      <c r="AT14" s="228"/>
      <c r="AU14" s="228"/>
      <c r="AV14" s="228"/>
      <c r="AW14" s="229"/>
      <c r="AX14" s="230"/>
      <c r="AY14" s="230"/>
      <c r="AZ14" s="230"/>
      <c r="BA14" s="230"/>
      <c r="BB14" s="230"/>
      <c r="BC14" s="231"/>
      <c r="BD14" s="232"/>
      <c r="BE14" s="230"/>
      <c r="BF14" s="230"/>
      <c r="BG14" s="230"/>
      <c r="BH14" s="230"/>
      <c r="BI14" s="230"/>
      <c r="BJ14" s="231"/>
      <c r="BK14" s="19"/>
    </row>
    <row r="15" spans="1:63" ht="15" customHeight="1">
      <c r="A15" s="18"/>
      <c r="B15" s="99">
        <v>45828</v>
      </c>
      <c r="C15" s="100"/>
      <c r="D15" s="100"/>
      <c r="E15" s="100"/>
      <c r="F15" s="100"/>
      <c r="G15" s="101"/>
      <c r="H15" s="105" t="s">
        <v>19</v>
      </c>
      <c r="I15" s="106"/>
      <c r="J15" s="106"/>
      <c r="K15" s="106"/>
      <c r="L15" s="106"/>
      <c r="M15" s="106"/>
      <c r="N15" s="107"/>
      <c r="O15" s="55">
        <v>0.3</v>
      </c>
      <c r="P15" s="56"/>
      <c r="Q15" s="56"/>
      <c r="R15" s="56"/>
      <c r="S15" s="233" t="s">
        <v>22</v>
      </c>
      <c r="T15" s="222"/>
      <c r="U15" s="222"/>
      <c r="V15" s="222"/>
      <c r="W15" s="222"/>
      <c r="X15" s="222"/>
      <c r="Y15" s="222"/>
      <c r="Z15" s="222"/>
      <c r="AA15" s="222"/>
      <c r="AB15" s="222"/>
      <c r="AC15" s="222"/>
      <c r="AD15" s="222"/>
      <c r="AE15" s="222"/>
      <c r="AF15" s="222"/>
      <c r="AG15" s="222"/>
      <c r="AH15" s="222"/>
      <c r="AI15" s="222"/>
      <c r="AJ15" s="222"/>
      <c r="AK15" s="222"/>
      <c r="AL15" s="222"/>
      <c r="AM15" s="222"/>
      <c r="AN15" s="222"/>
      <c r="AO15" s="222"/>
      <c r="AP15" s="222"/>
      <c r="AQ15" s="222"/>
      <c r="AR15" s="222"/>
      <c r="AS15" s="222"/>
      <c r="AT15" s="222"/>
      <c r="AU15" s="222"/>
      <c r="AV15" s="222"/>
      <c r="AW15" s="223"/>
      <c r="AX15" s="224"/>
      <c r="AY15" s="224"/>
      <c r="AZ15" s="224"/>
      <c r="BA15" s="224"/>
      <c r="BB15" s="224"/>
      <c r="BC15" s="225"/>
      <c r="BD15" s="226"/>
      <c r="BE15" s="224"/>
      <c r="BF15" s="224"/>
      <c r="BG15" s="224"/>
      <c r="BH15" s="224"/>
      <c r="BI15" s="224"/>
      <c r="BJ15" s="225"/>
      <c r="BK15" s="19"/>
    </row>
    <row r="16" spans="1:63" ht="15" customHeight="1">
      <c r="A16" s="18"/>
      <c r="B16" s="102"/>
      <c r="C16" s="103"/>
      <c r="D16" s="103"/>
      <c r="E16" s="103"/>
      <c r="F16" s="103"/>
      <c r="G16" s="104"/>
      <c r="H16" s="108"/>
      <c r="I16" s="109"/>
      <c r="J16" s="109"/>
      <c r="K16" s="109"/>
      <c r="L16" s="109"/>
      <c r="M16" s="109"/>
      <c r="N16" s="110"/>
      <c r="O16" s="61"/>
      <c r="P16" s="62"/>
      <c r="Q16" s="62"/>
      <c r="R16" s="62"/>
      <c r="S16" s="227"/>
      <c r="T16" s="228"/>
      <c r="U16" s="228"/>
      <c r="V16" s="228"/>
      <c r="W16" s="228"/>
      <c r="X16" s="228"/>
      <c r="Y16" s="228"/>
      <c r="Z16" s="228"/>
      <c r="AA16" s="228"/>
      <c r="AB16" s="228"/>
      <c r="AC16" s="228"/>
      <c r="AD16" s="228"/>
      <c r="AE16" s="228"/>
      <c r="AF16" s="228"/>
      <c r="AG16" s="228"/>
      <c r="AH16" s="228"/>
      <c r="AI16" s="228"/>
      <c r="AJ16" s="228"/>
      <c r="AK16" s="228"/>
      <c r="AL16" s="228"/>
      <c r="AM16" s="228"/>
      <c r="AN16" s="228"/>
      <c r="AO16" s="228"/>
      <c r="AP16" s="228"/>
      <c r="AQ16" s="228"/>
      <c r="AR16" s="228"/>
      <c r="AS16" s="228"/>
      <c r="AT16" s="228"/>
      <c r="AU16" s="228"/>
      <c r="AV16" s="228"/>
      <c r="AW16" s="229"/>
      <c r="AX16" s="230"/>
      <c r="AY16" s="230"/>
      <c r="AZ16" s="230"/>
      <c r="BA16" s="230"/>
      <c r="BB16" s="230"/>
      <c r="BC16" s="231"/>
      <c r="BD16" s="232"/>
      <c r="BE16" s="230"/>
      <c r="BF16" s="230"/>
      <c r="BG16" s="230"/>
      <c r="BH16" s="230"/>
      <c r="BI16" s="230"/>
      <c r="BJ16" s="231"/>
      <c r="BK16" s="19"/>
    </row>
    <row r="17" spans="1:63" ht="15" customHeight="1">
      <c r="A17" s="18"/>
      <c r="B17" s="99">
        <v>45832</v>
      </c>
      <c r="C17" s="100"/>
      <c r="D17" s="100"/>
      <c r="E17" s="100"/>
      <c r="F17" s="100"/>
      <c r="G17" s="101"/>
      <c r="H17" s="105" t="s">
        <v>19</v>
      </c>
      <c r="I17" s="106"/>
      <c r="J17" s="106"/>
      <c r="K17" s="106"/>
      <c r="L17" s="106"/>
      <c r="M17" s="106"/>
      <c r="N17" s="107"/>
      <c r="O17" s="55">
        <v>0.4</v>
      </c>
      <c r="P17" s="56"/>
      <c r="Q17" s="56"/>
      <c r="R17" s="56"/>
      <c r="S17" s="233" t="s">
        <v>23</v>
      </c>
      <c r="T17" s="222"/>
      <c r="U17" s="222"/>
      <c r="V17" s="222"/>
      <c r="W17" s="222"/>
      <c r="X17" s="222"/>
      <c r="Y17" s="222"/>
      <c r="Z17" s="222"/>
      <c r="AA17" s="222"/>
      <c r="AB17" s="222"/>
      <c r="AC17" s="222"/>
      <c r="AD17" s="222"/>
      <c r="AE17" s="222"/>
      <c r="AF17" s="222"/>
      <c r="AG17" s="222"/>
      <c r="AH17" s="222"/>
      <c r="AI17" s="222"/>
      <c r="AJ17" s="222"/>
      <c r="AK17" s="222"/>
      <c r="AL17" s="222"/>
      <c r="AM17" s="222"/>
      <c r="AN17" s="222"/>
      <c r="AO17" s="222"/>
      <c r="AP17" s="222"/>
      <c r="AQ17" s="222"/>
      <c r="AR17" s="222"/>
      <c r="AS17" s="222"/>
      <c r="AT17" s="222"/>
      <c r="AU17" s="222"/>
      <c r="AV17" s="222"/>
      <c r="AW17" s="223"/>
      <c r="AX17" s="224"/>
      <c r="AY17" s="224"/>
      <c r="AZ17" s="224"/>
      <c r="BA17" s="224"/>
      <c r="BB17" s="224"/>
      <c r="BC17" s="225"/>
      <c r="BD17" s="226"/>
      <c r="BE17" s="224"/>
      <c r="BF17" s="224"/>
      <c r="BG17" s="224"/>
      <c r="BH17" s="224"/>
      <c r="BI17" s="224"/>
      <c r="BJ17" s="225"/>
      <c r="BK17" s="19"/>
    </row>
    <row r="18" spans="1:63" ht="15" customHeight="1">
      <c r="A18" s="18"/>
      <c r="B18" s="102"/>
      <c r="C18" s="103"/>
      <c r="D18" s="103"/>
      <c r="E18" s="103"/>
      <c r="F18" s="103"/>
      <c r="G18" s="104"/>
      <c r="H18" s="108"/>
      <c r="I18" s="109"/>
      <c r="J18" s="109"/>
      <c r="K18" s="109"/>
      <c r="L18" s="109"/>
      <c r="M18" s="109"/>
      <c r="N18" s="110"/>
      <c r="O18" s="61"/>
      <c r="P18" s="62"/>
      <c r="Q18" s="62"/>
      <c r="R18" s="62"/>
      <c r="S18" s="227"/>
      <c r="T18" s="228"/>
      <c r="U18" s="228"/>
      <c r="V18" s="228"/>
      <c r="W18" s="228"/>
      <c r="X18" s="228"/>
      <c r="Y18" s="228"/>
      <c r="Z18" s="228"/>
      <c r="AA18" s="228"/>
      <c r="AB18" s="228"/>
      <c r="AC18" s="228"/>
      <c r="AD18" s="228"/>
      <c r="AE18" s="228"/>
      <c r="AF18" s="228"/>
      <c r="AG18" s="228"/>
      <c r="AH18" s="228"/>
      <c r="AI18" s="228"/>
      <c r="AJ18" s="228"/>
      <c r="AK18" s="228"/>
      <c r="AL18" s="228"/>
      <c r="AM18" s="228"/>
      <c r="AN18" s="228"/>
      <c r="AO18" s="228"/>
      <c r="AP18" s="228"/>
      <c r="AQ18" s="228"/>
      <c r="AR18" s="228"/>
      <c r="AS18" s="228"/>
      <c r="AT18" s="228"/>
      <c r="AU18" s="228"/>
      <c r="AV18" s="228"/>
      <c r="AW18" s="229"/>
      <c r="AX18" s="230"/>
      <c r="AY18" s="230"/>
      <c r="AZ18" s="230"/>
      <c r="BA18" s="230"/>
      <c r="BB18" s="230"/>
      <c r="BC18" s="231"/>
      <c r="BD18" s="232"/>
      <c r="BE18" s="230"/>
      <c r="BF18" s="230"/>
      <c r="BG18" s="230"/>
      <c r="BH18" s="230"/>
      <c r="BI18" s="230"/>
      <c r="BJ18" s="231"/>
      <c r="BK18" s="19"/>
    </row>
    <row r="19" spans="1:63" ht="15" customHeight="1">
      <c r="A19" s="18"/>
      <c r="B19" s="99">
        <v>45838</v>
      </c>
      <c r="C19" s="100"/>
      <c r="D19" s="100"/>
      <c r="E19" s="100"/>
      <c r="F19" s="100"/>
      <c r="G19" s="101"/>
      <c r="H19" s="105" t="s">
        <v>19</v>
      </c>
      <c r="I19" s="106"/>
      <c r="J19" s="106"/>
      <c r="K19" s="106"/>
      <c r="L19" s="106"/>
      <c r="M19" s="106"/>
      <c r="N19" s="107"/>
      <c r="O19" s="55">
        <v>0.5</v>
      </c>
      <c r="P19" s="56"/>
      <c r="Q19" s="56"/>
      <c r="R19" s="56"/>
      <c r="S19" s="233" t="s">
        <v>24</v>
      </c>
      <c r="T19" s="222"/>
      <c r="U19" s="222"/>
      <c r="V19" s="222"/>
      <c r="W19" s="222"/>
      <c r="X19" s="222"/>
      <c r="Y19" s="222"/>
      <c r="Z19" s="222"/>
      <c r="AA19" s="222"/>
      <c r="AB19" s="222"/>
      <c r="AC19" s="222"/>
      <c r="AD19" s="222"/>
      <c r="AE19" s="222"/>
      <c r="AF19" s="222"/>
      <c r="AG19" s="222"/>
      <c r="AH19" s="222"/>
      <c r="AI19" s="222"/>
      <c r="AJ19" s="222"/>
      <c r="AK19" s="222"/>
      <c r="AL19" s="222"/>
      <c r="AM19" s="222"/>
      <c r="AN19" s="222"/>
      <c r="AO19" s="222"/>
      <c r="AP19" s="222"/>
      <c r="AQ19" s="222"/>
      <c r="AR19" s="222"/>
      <c r="AS19" s="222"/>
      <c r="AT19" s="222"/>
      <c r="AU19" s="222"/>
      <c r="AV19" s="222"/>
      <c r="AW19" s="223"/>
      <c r="AX19" s="224"/>
      <c r="AY19" s="224"/>
      <c r="AZ19" s="224"/>
      <c r="BA19" s="224"/>
      <c r="BB19" s="224"/>
      <c r="BC19" s="225"/>
      <c r="BD19" s="226"/>
      <c r="BE19" s="224"/>
      <c r="BF19" s="224"/>
      <c r="BG19" s="224"/>
      <c r="BH19" s="224"/>
      <c r="BI19" s="224"/>
      <c r="BJ19" s="225"/>
      <c r="BK19" s="19"/>
    </row>
    <row r="20" spans="1:63" ht="15" customHeight="1">
      <c r="A20" s="18"/>
      <c r="B20" s="102"/>
      <c r="C20" s="103"/>
      <c r="D20" s="103"/>
      <c r="E20" s="103"/>
      <c r="F20" s="103"/>
      <c r="G20" s="104"/>
      <c r="H20" s="108"/>
      <c r="I20" s="109"/>
      <c r="J20" s="109"/>
      <c r="K20" s="109"/>
      <c r="L20" s="109"/>
      <c r="M20" s="109"/>
      <c r="N20" s="110"/>
      <c r="O20" s="61"/>
      <c r="P20" s="62"/>
      <c r="Q20" s="62"/>
      <c r="R20" s="62"/>
      <c r="S20" s="227"/>
      <c r="T20" s="228"/>
      <c r="U20" s="228"/>
      <c r="V20" s="228"/>
      <c r="W20" s="228"/>
      <c r="X20" s="228"/>
      <c r="Y20" s="228"/>
      <c r="Z20" s="228"/>
      <c r="AA20" s="228"/>
      <c r="AB20" s="228"/>
      <c r="AC20" s="228"/>
      <c r="AD20" s="228"/>
      <c r="AE20" s="228"/>
      <c r="AF20" s="228"/>
      <c r="AG20" s="228"/>
      <c r="AH20" s="228"/>
      <c r="AI20" s="228"/>
      <c r="AJ20" s="228"/>
      <c r="AK20" s="228"/>
      <c r="AL20" s="228"/>
      <c r="AM20" s="228"/>
      <c r="AN20" s="228"/>
      <c r="AO20" s="228"/>
      <c r="AP20" s="228"/>
      <c r="AQ20" s="228"/>
      <c r="AR20" s="228"/>
      <c r="AS20" s="228"/>
      <c r="AT20" s="228"/>
      <c r="AU20" s="228"/>
      <c r="AV20" s="228"/>
      <c r="AW20" s="229"/>
      <c r="AX20" s="230"/>
      <c r="AY20" s="230"/>
      <c r="AZ20" s="230"/>
      <c r="BA20" s="230"/>
      <c r="BB20" s="230"/>
      <c r="BC20" s="231"/>
      <c r="BD20" s="232"/>
      <c r="BE20" s="230"/>
      <c r="BF20" s="230"/>
      <c r="BG20" s="230"/>
      <c r="BH20" s="230"/>
      <c r="BI20" s="230"/>
      <c r="BJ20" s="231"/>
      <c r="BK20" s="19"/>
    </row>
    <row r="21" spans="1:63" ht="15" customHeight="1">
      <c r="A21" s="18"/>
      <c r="B21" s="99">
        <v>45849</v>
      </c>
      <c r="C21" s="100"/>
      <c r="D21" s="100"/>
      <c r="E21" s="100"/>
      <c r="F21" s="100"/>
      <c r="G21" s="101"/>
      <c r="H21" s="105" t="s">
        <v>19</v>
      </c>
      <c r="I21" s="106"/>
      <c r="J21" s="106"/>
      <c r="K21" s="106"/>
      <c r="L21" s="106"/>
      <c r="M21" s="106"/>
      <c r="N21" s="107"/>
      <c r="O21" s="55">
        <v>0.6</v>
      </c>
      <c r="P21" s="56"/>
      <c r="Q21" s="56"/>
      <c r="R21" s="56"/>
      <c r="S21" s="221" t="s">
        <v>25</v>
      </c>
      <c r="T21" s="222"/>
      <c r="U21" s="222"/>
      <c r="V21" s="222"/>
      <c r="W21" s="222"/>
      <c r="X21" s="222"/>
      <c r="Y21" s="222"/>
      <c r="Z21" s="222"/>
      <c r="AA21" s="222"/>
      <c r="AB21" s="222"/>
      <c r="AC21" s="222"/>
      <c r="AD21" s="222"/>
      <c r="AE21" s="222"/>
      <c r="AF21" s="222"/>
      <c r="AG21" s="222"/>
      <c r="AH21" s="222"/>
      <c r="AI21" s="222"/>
      <c r="AJ21" s="222"/>
      <c r="AK21" s="222"/>
      <c r="AL21" s="222"/>
      <c r="AM21" s="222"/>
      <c r="AN21" s="222"/>
      <c r="AO21" s="222"/>
      <c r="AP21" s="222"/>
      <c r="AQ21" s="222"/>
      <c r="AR21" s="222"/>
      <c r="AS21" s="222"/>
      <c r="AT21" s="222"/>
      <c r="AU21" s="222"/>
      <c r="AV21" s="222"/>
      <c r="AW21" s="223"/>
      <c r="AX21" s="224"/>
      <c r="AY21" s="224"/>
      <c r="AZ21" s="224"/>
      <c r="BA21" s="224"/>
      <c r="BB21" s="224"/>
      <c r="BC21" s="225"/>
      <c r="BD21" s="226"/>
      <c r="BE21" s="224"/>
      <c r="BF21" s="224"/>
      <c r="BG21" s="224"/>
      <c r="BH21" s="224"/>
      <c r="BI21" s="224"/>
      <c r="BJ21" s="225"/>
      <c r="BK21" s="19"/>
    </row>
    <row r="22" spans="1:63" ht="15" customHeight="1">
      <c r="A22" s="18"/>
      <c r="B22" s="102"/>
      <c r="C22" s="103"/>
      <c r="D22" s="103"/>
      <c r="E22" s="103"/>
      <c r="F22" s="103"/>
      <c r="G22" s="104"/>
      <c r="H22" s="108"/>
      <c r="I22" s="109"/>
      <c r="J22" s="109"/>
      <c r="K22" s="109"/>
      <c r="L22" s="109"/>
      <c r="M22" s="109"/>
      <c r="N22" s="110"/>
      <c r="O22" s="61"/>
      <c r="P22" s="62"/>
      <c r="Q22" s="62"/>
      <c r="R22" s="62"/>
      <c r="S22" s="227"/>
      <c r="T22" s="228"/>
      <c r="U22" s="228"/>
      <c r="V22" s="228"/>
      <c r="W22" s="228"/>
      <c r="X22" s="228"/>
      <c r="Y22" s="228"/>
      <c r="Z22" s="228"/>
      <c r="AA22" s="228"/>
      <c r="AB22" s="228"/>
      <c r="AC22" s="228"/>
      <c r="AD22" s="228"/>
      <c r="AE22" s="228"/>
      <c r="AF22" s="228"/>
      <c r="AG22" s="228"/>
      <c r="AH22" s="228"/>
      <c r="AI22" s="228"/>
      <c r="AJ22" s="228"/>
      <c r="AK22" s="228"/>
      <c r="AL22" s="228"/>
      <c r="AM22" s="228"/>
      <c r="AN22" s="228"/>
      <c r="AO22" s="228"/>
      <c r="AP22" s="228"/>
      <c r="AQ22" s="228"/>
      <c r="AR22" s="228"/>
      <c r="AS22" s="228"/>
      <c r="AT22" s="228"/>
      <c r="AU22" s="228"/>
      <c r="AV22" s="228"/>
      <c r="AW22" s="229"/>
      <c r="AX22" s="230"/>
      <c r="AY22" s="230"/>
      <c r="AZ22" s="230"/>
      <c r="BA22" s="230"/>
      <c r="BB22" s="230"/>
      <c r="BC22" s="231"/>
      <c r="BD22" s="232"/>
      <c r="BE22" s="230"/>
      <c r="BF22" s="230"/>
      <c r="BG22" s="230"/>
      <c r="BH22" s="230"/>
      <c r="BI22" s="230"/>
      <c r="BJ22" s="231"/>
      <c r="BK22" s="19"/>
    </row>
    <row r="23" spans="1:63" ht="15" customHeight="1">
      <c r="A23" s="18"/>
      <c r="B23" s="99">
        <v>45862</v>
      </c>
      <c r="C23" s="100"/>
      <c r="D23" s="100"/>
      <c r="E23" s="100"/>
      <c r="F23" s="100"/>
      <c r="G23" s="101"/>
      <c r="H23" s="105" t="s">
        <v>19</v>
      </c>
      <c r="I23" s="106"/>
      <c r="J23" s="106"/>
      <c r="K23" s="106"/>
      <c r="L23" s="106"/>
      <c r="M23" s="106"/>
      <c r="N23" s="107"/>
      <c r="O23" s="55">
        <v>0.7</v>
      </c>
      <c r="P23" s="56"/>
      <c r="Q23" s="56"/>
      <c r="R23" s="56"/>
      <c r="S23" s="221" t="s">
        <v>26</v>
      </c>
      <c r="T23" s="222"/>
      <c r="U23" s="222"/>
      <c r="V23" s="222"/>
      <c r="W23" s="222"/>
      <c r="X23" s="222"/>
      <c r="Y23" s="222"/>
      <c r="Z23" s="222"/>
      <c r="AA23" s="222"/>
      <c r="AB23" s="222"/>
      <c r="AC23" s="222"/>
      <c r="AD23" s="222"/>
      <c r="AE23" s="222"/>
      <c r="AF23" s="222"/>
      <c r="AG23" s="222"/>
      <c r="AH23" s="222"/>
      <c r="AI23" s="222"/>
      <c r="AJ23" s="222"/>
      <c r="AK23" s="222"/>
      <c r="AL23" s="222"/>
      <c r="AM23" s="222"/>
      <c r="AN23" s="222"/>
      <c r="AO23" s="222"/>
      <c r="AP23" s="222"/>
      <c r="AQ23" s="222"/>
      <c r="AR23" s="222"/>
      <c r="AS23" s="222"/>
      <c r="AT23" s="222"/>
      <c r="AU23" s="222"/>
      <c r="AV23" s="222"/>
      <c r="AW23" s="223"/>
      <c r="AX23" s="224"/>
      <c r="AY23" s="224"/>
      <c r="AZ23" s="224"/>
      <c r="BA23" s="224"/>
      <c r="BB23" s="224"/>
      <c r="BC23" s="225"/>
      <c r="BD23" s="226"/>
      <c r="BE23" s="224"/>
      <c r="BF23" s="224"/>
      <c r="BG23" s="224"/>
      <c r="BH23" s="224"/>
      <c r="BI23" s="224"/>
      <c r="BJ23" s="225"/>
      <c r="BK23" s="19"/>
    </row>
    <row r="24" spans="1:63" ht="15" customHeight="1">
      <c r="A24" s="18"/>
      <c r="B24" s="102"/>
      <c r="C24" s="103"/>
      <c r="D24" s="103"/>
      <c r="E24" s="103"/>
      <c r="F24" s="103"/>
      <c r="G24" s="104"/>
      <c r="H24" s="108"/>
      <c r="I24" s="109"/>
      <c r="J24" s="109"/>
      <c r="K24" s="109"/>
      <c r="L24" s="109"/>
      <c r="M24" s="109"/>
      <c r="N24" s="110"/>
      <c r="O24" s="61"/>
      <c r="P24" s="62"/>
      <c r="Q24" s="62"/>
      <c r="R24" s="62"/>
      <c r="S24" s="227" t="s">
        <v>27</v>
      </c>
      <c r="T24" s="228"/>
      <c r="U24" s="228"/>
      <c r="V24" s="228"/>
      <c r="W24" s="228"/>
      <c r="X24" s="228"/>
      <c r="Y24" s="228"/>
      <c r="Z24" s="228"/>
      <c r="AA24" s="228"/>
      <c r="AB24" s="228"/>
      <c r="AC24" s="228"/>
      <c r="AD24" s="228"/>
      <c r="AE24" s="228"/>
      <c r="AF24" s="228"/>
      <c r="AG24" s="228"/>
      <c r="AH24" s="228"/>
      <c r="AI24" s="228"/>
      <c r="AJ24" s="228"/>
      <c r="AK24" s="228"/>
      <c r="AL24" s="228"/>
      <c r="AM24" s="228"/>
      <c r="AN24" s="228"/>
      <c r="AO24" s="228"/>
      <c r="AP24" s="228"/>
      <c r="AQ24" s="228"/>
      <c r="AR24" s="228"/>
      <c r="AS24" s="228"/>
      <c r="AT24" s="228"/>
      <c r="AU24" s="228"/>
      <c r="AV24" s="228"/>
      <c r="AW24" s="229"/>
      <c r="AX24" s="230"/>
      <c r="AY24" s="230"/>
      <c r="AZ24" s="230"/>
      <c r="BA24" s="230"/>
      <c r="BB24" s="230"/>
      <c r="BC24" s="231"/>
      <c r="BD24" s="232"/>
      <c r="BE24" s="230"/>
      <c r="BF24" s="230"/>
      <c r="BG24" s="230"/>
      <c r="BH24" s="230"/>
      <c r="BI24" s="230"/>
      <c r="BJ24" s="231"/>
      <c r="BK24" s="19"/>
    </row>
    <row r="25" spans="1:63" ht="15" customHeight="1">
      <c r="A25" s="18"/>
      <c r="B25" s="99">
        <v>45945</v>
      </c>
      <c r="C25" s="100"/>
      <c r="D25" s="100"/>
      <c r="E25" s="100"/>
      <c r="F25" s="100"/>
      <c r="G25" s="101"/>
      <c r="H25" s="105" t="s">
        <v>19</v>
      </c>
      <c r="I25" s="106"/>
      <c r="J25" s="106"/>
      <c r="K25" s="106"/>
      <c r="L25" s="106"/>
      <c r="M25" s="106"/>
      <c r="N25" s="107"/>
      <c r="O25" s="55">
        <v>0.8</v>
      </c>
      <c r="P25" s="56"/>
      <c r="Q25" s="56"/>
      <c r="R25" s="56"/>
      <c r="S25" s="221" t="s">
        <v>26</v>
      </c>
      <c r="T25" s="222"/>
      <c r="U25" s="222"/>
      <c r="V25" s="222"/>
      <c r="W25" s="222"/>
      <c r="X25" s="222"/>
      <c r="Y25" s="222"/>
      <c r="Z25" s="222"/>
      <c r="AA25" s="222"/>
      <c r="AB25" s="222"/>
      <c r="AC25" s="222"/>
      <c r="AD25" s="222"/>
      <c r="AE25" s="222"/>
      <c r="AF25" s="222"/>
      <c r="AG25" s="222"/>
      <c r="AH25" s="222"/>
      <c r="AI25" s="222"/>
      <c r="AJ25" s="222"/>
      <c r="AK25" s="222"/>
      <c r="AL25" s="222"/>
      <c r="AM25" s="222"/>
      <c r="AN25" s="222"/>
      <c r="AO25" s="222"/>
      <c r="AP25" s="222"/>
      <c r="AQ25" s="222"/>
      <c r="AR25" s="222"/>
      <c r="AS25" s="222"/>
      <c r="AT25" s="222"/>
      <c r="AU25" s="222"/>
      <c r="AV25" s="222"/>
      <c r="AW25" s="223"/>
      <c r="AX25" s="224"/>
      <c r="AY25" s="224"/>
      <c r="AZ25" s="224"/>
      <c r="BA25" s="224"/>
      <c r="BB25" s="224"/>
      <c r="BC25" s="225"/>
      <c r="BD25" s="226"/>
      <c r="BE25" s="224"/>
      <c r="BF25" s="224"/>
      <c r="BG25" s="224"/>
      <c r="BH25" s="224"/>
      <c r="BI25" s="224"/>
      <c r="BJ25" s="225"/>
      <c r="BK25" s="19"/>
    </row>
    <row r="26" spans="1:63" ht="15" customHeight="1">
      <c r="A26" s="18"/>
      <c r="B26" s="102"/>
      <c r="C26" s="103"/>
      <c r="D26" s="103"/>
      <c r="E26" s="103"/>
      <c r="F26" s="103"/>
      <c r="G26" s="104"/>
      <c r="H26" s="108"/>
      <c r="I26" s="109"/>
      <c r="J26" s="109"/>
      <c r="K26" s="109"/>
      <c r="L26" s="109"/>
      <c r="M26" s="109"/>
      <c r="N26" s="110"/>
      <c r="O26" s="61"/>
      <c r="P26" s="62"/>
      <c r="Q26" s="62"/>
      <c r="R26" s="62"/>
      <c r="S26" s="227" t="s">
        <v>28</v>
      </c>
      <c r="T26" s="228"/>
      <c r="U26" s="228"/>
      <c r="V26" s="228"/>
      <c r="W26" s="228"/>
      <c r="X26" s="228"/>
      <c r="Y26" s="228"/>
      <c r="Z26" s="228"/>
      <c r="AA26" s="228"/>
      <c r="AB26" s="228"/>
      <c r="AC26" s="228"/>
      <c r="AD26" s="228"/>
      <c r="AE26" s="228"/>
      <c r="AF26" s="228"/>
      <c r="AG26" s="228"/>
      <c r="AH26" s="228"/>
      <c r="AI26" s="228"/>
      <c r="AJ26" s="228"/>
      <c r="AK26" s="228"/>
      <c r="AL26" s="228"/>
      <c r="AM26" s="228"/>
      <c r="AN26" s="228"/>
      <c r="AO26" s="228"/>
      <c r="AP26" s="228"/>
      <c r="AQ26" s="228"/>
      <c r="AR26" s="228"/>
      <c r="AS26" s="228"/>
      <c r="AT26" s="228"/>
      <c r="AU26" s="228"/>
      <c r="AV26" s="228"/>
      <c r="AW26" s="229"/>
      <c r="AX26" s="230"/>
      <c r="AY26" s="230"/>
      <c r="AZ26" s="230"/>
      <c r="BA26" s="230"/>
      <c r="BB26" s="230"/>
      <c r="BC26" s="231"/>
      <c r="BD26" s="232"/>
      <c r="BE26" s="230"/>
      <c r="BF26" s="230"/>
      <c r="BG26" s="230"/>
      <c r="BH26" s="230"/>
      <c r="BI26" s="230"/>
      <c r="BJ26" s="231"/>
      <c r="BK26" s="19"/>
    </row>
    <row r="27" spans="1:63" ht="15" customHeight="1">
      <c r="A27" s="18"/>
      <c r="B27" s="99"/>
      <c r="C27" s="100"/>
      <c r="D27" s="100"/>
      <c r="E27" s="100"/>
      <c r="F27" s="100"/>
      <c r="G27" s="101"/>
      <c r="H27" s="105"/>
      <c r="I27" s="106"/>
      <c r="J27" s="106"/>
      <c r="K27" s="106"/>
      <c r="L27" s="106"/>
      <c r="M27" s="106"/>
      <c r="N27" s="107"/>
      <c r="O27" s="55"/>
      <c r="P27" s="56"/>
      <c r="Q27" s="56"/>
      <c r="R27" s="56"/>
      <c r="S27" s="221"/>
      <c r="T27" s="222"/>
      <c r="U27" s="222"/>
      <c r="V27" s="222"/>
      <c r="W27" s="222"/>
      <c r="X27" s="222"/>
      <c r="Y27" s="222"/>
      <c r="Z27" s="222"/>
      <c r="AA27" s="222"/>
      <c r="AB27" s="222"/>
      <c r="AC27" s="222"/>
      <c r="AD27" s="222"/>
      <c r="AE27" s="222"/>
      <c r="AF27" s="222"/>
      <c r="AG27" s="222"/>
      <c r="AH27" s="222"/>
      <c r="AI27" s="222"/>
      <c r="AJ27" s="222"/>
      <c r="AK27" s="222"/>
      <c r="AL27" s="222"/>
      <c r="AM27" s="222"/>
      <c r="AN27" s="222"/>
      <c r="AO27" s="222"/>
      <c r="AP27" s="222"/>
      <c r="AQ27" s="222"/>
      <c r="AR27" s="222"/>
      <c r="AS27" s="222"/>
      <c r="AT27" s="222"/>
      <c r="AU27" s="222"/>
      <c r="AV27" s="222"/>
      <c r="AW27" s="223"/>
      <c r="AX27" s="224"/>
      <c r="AY27" s="224"/>
      <c r="AZ27" s="224"/>
      <c r="BA27" s="224"/>
      <c r="BB27" s="224"/>
      <c r="BC27" s="225"/>
      <c r="BD27" s="226"/>
      <c r="BE27" s="224"/>
      <c r="BF27" s="224"/>
      <c r="BG27" s="224"/>
      <c r="BH27" s="224"/>
      <c r="BI27" s="224"/>
      <c r="BJ27" s="225"/>
      <c r="BK27" s="19"/>
    </row>
    <row r="28" spans="1:63" ht="15" customHeight="1">
      <c r="A28" s="18"/>
      <c r="B28" s="102"/>
      <c r="C28" s="103"/>
      <c r="D28" s="103"/>
      <c r="E28" s="103"/>
      <c r="F28" s="103"/>
      <c r="G28" s="104"/>
      <c r="H28" s="108"/>
      <c r="I28" s="109"/>
      <c r="J28" s="109"/>
      <c r="K28" s="109"/>
      <c r="L28" s="109"/>
      <c r="M28" s="109"/>
      <c r="N28" s="110"/>
      <c r="O28" s="61"/>
      <c r="P28" s="62"/>
      <c r="Q28" s="62"/>
      <c r="R28" s="62"/>
      <c r="S28" s="227"/>
      <c r="T28" s="228"/>
      <c r="U28" s="228"/>
      <c r="V28" s="228"/>
      <c r="W28" s="228"/>
      <c r="X28" s="228"/>
      <c r="Y28" s="228"/>
      <c r="Z28" s="228"/>
      <c r="AA28" s="228"/>
      <c r="AB28" s="228"/>
      <c r="AC28" s="228"/>
      <c r="AD28" s="228"/>
      <c r="AE28" s="228"/>
      <c r="AF28" s="228"/>
      <c r="AG28" s="228"/>
      <c r="AH28" s="228"/>
      <c r="AI28" s="228"/>
      <c r="AJ28" s="228"/>
      <c r="AK28" s="228"/>
      <c r="AL28" s="228"/>
      <c r="AM28" s="228"/>
      <c r="AN28" s="228"/>
      <c r="AO28" s="228"/>
      <c r="AP28" s="228"/>
      <c r="AQ28" s="228"/>
      <c r="AR28" s="228"/>
      <c r="AS28" s="228"/>
      <c r="AT28" s="228"/>
      <c r="AU28" s="228"/>
      <c r="AV28" s="228"/>
      <c r="AW28" s="229"/>
      <c r="AX28" s="230"/>
      <c r="AY28" s="230"/>
      <c r="AZ28" s="230"/>
      <c r="BA28" s="230"/>
      <c r="BB28" s="230"/>
      <c r="BC28" s="231"/>
      <c r="BD28" s="232"/>
      <c r="BE28" s="230"/>
      <c r="BF28" s="230"/>
      <c r="BG28" s="230"/>
      <c r="BH28" s="230"/>
      <c r="BI28" s="230"/>
      <c r="BJ28" s="231"/>
      <c r="BK28" s="19"/>
    </row>
    <row r="29" spans="1:63" ht="15" customHeight="1">
      <c r="A29" s="18"/>
      <c r="B29" s="99"/>
      <c r="C29" s="100"/>
      <c r="D29" s="100"/>
      <c r="E29" s="100"/>
      <c r="F29" s="100"/>
      <c r="G29" s="101"/>
      <c r="H29" s="105"/>
      <c r="I29" s="106"/>
      <c r="J29" s="106"/>
      <c r="K29" s="106"/>
      <c r="L29" s="106"/>
      <c r="M29" s="106"/>
      <c r="N29" s="107"/>
      <c r="O29" s="55"/>
      <c r="P29" s="56"/>
      <c r="Q29" s="56"/>
      <c r="R29" s="56"/>
      <c r="S29" s="221"/>
      <c r="T29" s="222"/>
      <c r="U29" s="222"/>
      <c r="V29" s="222"/>
      <c r="W29" s="222"/>
      <c r="X29" s="222"/>
      <c r="Y29" s="222"/>
      <c r="Z29" s="222"/>
      <c r="AA29" s="222"/>
      <c r="AB29" s="222"/>
      <c r="AC29" s="222"/>
      <c r="AD29" s="222"/>
      <c r="AE29" s="222"/>
      <c r="AF29" s="222"/>
      <c r="AG29" s="222"/>
      <c r="AH29" s="222"/>
      <c r="AI29" s="222"/>
      <c r="AJ29" s="222"/>
      <c r="AK29" s="222"/>
      <c r="AL29" s="222"/>
      <c r="AM29" s="222"/>
      <c r="AN29" s="222"/>
      <c r="AO29" s="222"/>
      <c r="AP29" s="222"/>
      <c r="AQ29" s="222"/>
      <c r="AR29" s="222"/>
      <c r="AS29" s="222"/>
      <c r="AT29" s="222"/>
      <c r="AU29" s="222"/>
      <c r="AV29" s="222"/>
      <c r="AW29" s="223"/>
      <c r="AX29" s="224"/>
      <c r="AY29" s="224"/>
      <c r="AZ29" s="224"/>
      <c r="BA29" s="224"/>
      <c r="BB29" s="224"/>
      <c r="BC29" s="225"/>
      <c r="BD29" s="226"/>
      <c r="BE29" s="224"/>
      <c r="BF29" s="224"/>
      <c r="BG29" s="224"/>
      <c r="BH29" s="224"/>
      <c r="BI29" s="224"/>
      <c r="BJ29" s="225"/>
      <c r="BK29" s="19"/>
    </row>
    <row r="30" spans="1:63" ht="15" customHeight="1">
      <c r="A30" s="18"/>
      <c r="B30" s="102"/>
      <c r="C30" s="103"/>
      <c r="D30" s="103"/>
      <c r="E30" s="103"/>
      <c r="F30" s="103"/>
      <c r="G30" s="104"/>
      <c r="H30" s="108"/>
      <c r="I30" s="109"/>
      <c r="J30" s="109"/>
      <c r="K30" s="109"/>
      <c r="L30" s="109"/>
      <c r="M30" s="109"/>
      <c r="N30" s="110"/>
      <c r="O30" s="61"/>
      <c r="P30" s="62"/>
      <c r="Q30" s="62"/>
      <c r="R30" s="62"/>
      <c r="S30" s="227"/>
      <c r="T30" s="228"/>
      <c r="U30" s="228"/>
      <c r="V30" s="228"/>
      <c r="W30" s="228"/>
      <c r="X30" s="228"/>
      <c r="Y30" s="228"/>
      <c r="Z30" s="228"/>
      <c r="AA30" s="228"/>
      <c r="AB30" s="228"/>
      <c r="AC30" s="228"/>
      <c r="AD30" s="228"/>
      <c r="AE30" s="228"/>
      <c r="AF30" s="228"/>
      <c r="AG30" s="228"/>
      <c r="AH30" s="228"/>
      <c r="AI30" s="228"/>
      <c r="AJ30" s="228"/>
      <c r="AK30" s="228"/>
      <c r="AL30" s="228"/>
      <c r="AM30" s="228"/>
      <c r="AN30" s="228"/>
      <c r="AO30" s="228"/>
      <c r="AP30" s="228"/>
      <c r="AQ30" s="228"/>
      <c r="AR30" s="228"/>
      <c r="AS30" s="228"/>
      <c r="AT30" s="228"/>
      <c r="AU30" s="228"/>
      <c r="AV30" s="228"/>
      <c r="AW30" s="229"/>
      <c r="AX30" s="230"/>
      <c r="AY30" s="230"/>
      <c r="AZ30" s="230"/>
      <c r="BA30" s="230"/>
      <c r="BB30" s="230"/>
      <c r="BC30" s="231"/>
      <c r="BD30" s="232"/>
      <c r="BE30" s="230"/>
      <c r="BF30" s="230"/>
      <c r="BG30" s="230"/>
      <c r="BH30" s="230"/>
      <c r="BI30" s="230"/>
      <c r="BJ30" s="231"/>
      <c r="BK30" s="19"/>
    </row>
    <row r="31" spans="1:63" ht="15" customHeight="1">
      <c r="A31" s="18"/>
      <c r="B31" s="99"/>
      <c r="C31" s="100"/>
      <c r="D31" s="100"/>
      <c r="E31" s="100"/>
      <c r="F31" s="100"/>
      <c r="G31" s="101"/>
      <c r="H31" s="105"/>
      <c r="I31" s="106"/>
      <c r="J31" s="106"/>
      <c r="K31" s="106"/>
      <c r="L31" s="106"/>
      <c r="M31" s="106"/>
      <c r="N31" s="107"/>
      <c r="O31" s="55"/>
      <c r="P31" s="56"/>
      <c r="Q31" s="56"/>
      <c r="R31" s="56"/>
      <c r="S31" s="221"/>
      <c r="T31" s="222"/>
      <c r="U31" s="222"/>
      <c r="V31" s="222"/>
      <c r="W31" s="222"/>
      <c r="X31" s="222"/>
      <c r="Y31" s="222"/>
      <c r="Z31" s="222"/>
      <c r="AA31" s="222"/>
      <c r="AB31" s="222"/>
      <c r="AC31" s="222"/>
      <c r="AD31" s="222"/>
      <c r="AE31" s="222"/>
      <c r="AF31" s="222"/>
      <c r="AG31" s="222"/>
      <c r="AH31" s="222"/>
      <c r="AI31" s="222"/>
      <c r="AJ31" s="222"/>
      <c r="AK31" s="222"/>
      <c r="AL31" s="222"/>
      <c r="AM31" s="222"/>
      <c r="AN31" s="222"/>
      <c r="AO31" s="222"/>
      <c r="AP31" s="222"/>
      <c r="AQ31" s="222"/>
      <c r="AR31" s="222"/>
      <c r="AS31" s="222"/>
      <c r="AT31" s="222"/>
      <c r="AU31" s="222"/>
      <c r="AV31" s="222"/>
      <c r="AW31" s="223"/>
      <c r="AX31" s="224"/>
      <c r="AY31" s="224"/>
      <c r="AZ31" s="224"/>
      <c r="BA31" s="224"/>
      <c r="BB31" s="224"/>
      <c r="BC31" s="225"/>
      <c r="BD31" s="226"/>
      <c r="BE31" s="224"/>
      <c r="BF31" s="224"/>
      <c r="BG31" s="224"/>
      <c r="BH31" s="224"/>
      <c r="BI31" s="224"/>
      <c r="BJ31" s="225"/>
      <c r="BK31" s="19"/>
    </row>
    <row r="32" spans="1:63" ht="15" customHeight="1">
      <c r="A32" s="18"/>
      <c r="B32" s="102"/>
      <c r="C32" s="103"/>
      <c r="D32" s="103"/>
      <c r="E32" s="103"/>
      <c r="F32" s="103"/>
      <c r="G32" s="104"/>
      <c r="H32" s="108"/>
      <c r="I32" s="109"/>
      <c r="J32" s="109"/>
      <c r="K32" s="109"/>
      <c r="L32" s="109"/>
      <c r="M32" s="109"/>
      <c r="N32" s="110"/>
      <c r="O32" s="61"/>
      <c r="P32" s="62"/>
      <c r="Q32" s="62"/>
      <c r="R32" s="62"/>
      <c r="S32" s="227"/>
      <c r="T32" s="228"/>
      <c r="U32" s="228"/>
      <c r="V32" s="228"/>
      <c r="W32" s="228"/>
      <c r="X32" s="228"/>
      <c r="Y32" s="228"/>
      <c r="Z32" s="228"/>
      <c r="AA32" s="228"/>
      <c r="AB32" s="228"/>
      <c r="AC32" s="228"/>
      <c r="AD32" s="228"/>
      <c r="AE32" s="228"/>
      <c r="AF32" s="228"/>
      <c r="AG32" s="228"/>
      <c r="AH32" s="228"/>
      <c r="AI32" s="228"/>
      <c r="AJ32" s="228"/>
      <c r="AK32" s="228"/>
      <c r="AL32" s="228"/>
      <c r="AM32" s="228"/>
      <c r="AN32" s="228"/>
      <c r="AO32" s="228"/>
      <c r="AP32" s="228"/>
      <c r="AQ32" s="228"/>
      <c r="AR32" s="228"/>
      <c r="AS32" s="228"/>
      <c r="AT32" s="228"/>
      <c r="AU32" s="228"/>
      <c r="AV32" s="228"/>
      <c r="AW32" s="229"/>
      <c r="AX32" s="230"/>
      <c r="AY32" s="230"/>
      <c r="AZ32" s="230"/>
      <c r="BA32" s="230"/>
      <c r="BB32" s="230"/>
      <c r="BC32" s="231"/>
      <c r="BD32" s="232"/>
      <c r="BE32" s="230"/>
      <c r="BF32" s="230"/>
      <c r="BG32" s="230"/>
      <c r="BH32" s="230"/>
      <c r="BI32" s="230"/>
      <c r="BJ32" s="231"/>
      <c r="BK32" s="19"/>
    </row>
    <row r="33" spans="1:63" ht="15" customHeight="1">
      <c r="A33" s="18"/>
      <c r="B33" s="99"/>
      <c r="C33" s="100"/>
      <c r="D33" s="100"/>
      <c r="E33" s="100"/>
      <c r="F33" s="100"/>
      <c r="G33" s="101"/>
      <c r="H33" s="105"/>
      <c r="I33" s="106"/>
      <c r="J33" s="106"/>
      <c r="K33" s="106"/>
      <c r="L33" s="106"/>
      <c r="M33" s="106"/>
      <c r="N33" s="107"/>
      <c r="O33" s="55"/>
      <c r="P33" s="56"/>
      <c r="Q33" s="56"/>
      <c r="R33" s="56"/>
      <c r="S33" s="221"/>
      <c r="T33" s="222"/>
      <c r="U33" s="222"/>
      <c r="V33" s="222"/>
      <c r="W33" s="222"/>
      <c r="X33" s="222"/>
      <c r="Y33" s="222"/>
      <c r="Z33" s="222"/>
      <c r="AA33" s="222"/>
      <c r="AB33" s="222"/>
      <c r="AC33" s="222"/>
      <c r="AD33" s="222"/>
      <c r="AE33" s="222"/>
      <c r="AF33" s="222"/>
      <c r="AG33" s="222"/>
      <c r="AH33" s="222"/>
      <c r="AI33" s="222"/>
      <c r="AJ33" s="222"/>
      <c r="AK33" s="222"/>
      <c r="AL33" s="222"/>
      <c r="AM33" s="222"/>
      <c r="AN33" s="222"/>
      <c r="AO33" s="222"/>
      <c r="AP33" s="222"/>
      <c r="AQ33" s="222"/>
      <c r="AR33" s="222"/>
      <c r="AS33" s="222"/>
      <c r="AT33" s="222"/>
      <c r="AU33" s="222"/>
      <c r="AV33" s="222"/>
      <c r="AW33" s="223"/>
      <c r="AX33" s="224"/>
      <c r="AY33" s="224"/>
      <c r="AZ33" s="224"/>
      <c r="BA33" s="224"/>
      <c r="BB33" s="224"/>
      <c r="BC33" s="225"/>
      <c r="BD33" s="226"/>
      <c r="BE33" s="224"/>
      <c r="BF33" s="224"/>
      <c r="BG33" s="224"/>
      <c r="BH33" s="224"/>
      <c r="BI33" s="224"/>
      <c r="BJ33" s="225"/>
      <c r="BK33" s="19"/>
    </row>
    <row r="34" spans="1:63" ht="15" customHeight="1">
      <c r="A34" s="18"/>
      <c r="B34" s="102"/>
      <c r="C34" s="103"/>
      <c r="D34" s="103"/>
      <c r="E34" s="103"/>
      <c r="F34" s="103"/>
      <c r="G34" s="104"/>
      <c r="H34" s="108"/>
      <c r="I34" s="109"/>
      <c r="J34" s="109"/>
      <c r="K34" s="109"/>
      <c r="L34" s="109"/>
      <c r="M34" s="109"/>
      <c r="N34" s="110"/>
      <c r="O34" s="61"/>
      <c r="P34" s="62"/>
      <c r="Q34" s="62"/>
      <c r="R34" s="62"/>
      <c r="S34" s="227"/>
      <c r="T34" s="228"/>
      <c r="U34" s="228"/>
      <c r="V34" s="228"/>
      <c r="W34" s="228"/>
      <c r="X34" s="228"/>
      <c r="Y34" s="228"/>
      <c r="Z34" s="228"/>
      <c r="AA34" s="228"/>
      <c r="AB34" s="228"/>
      <c r="AC34" s="228"/>
      <c r="AD34" s="228"/>
      <c r="AE34" s="228"/>
      <c r="AF34" s="228"/>
      <c r="AG34" s="228"/>
      <c r="AH34" s="228"/>
      <c r="AI34" s="228"/>
      <c r="AJ34" s="228"/>
      <c r="AK34" s="228"/>
      <c r="AL34" s="228"/>
      <c r="AM34" s="228"/>
      <c r="AN34" s="228"/>
      <c r="AO34" s="228"/>
      <c r="AP34" s="228"/>
      <c r="AQ34" s="228"/>
      <c r="AR34" s="228"/>
      <c r="AS34" s="228"/>
      <c r="AT34" s="228"/>
      <c r="AU34" s="228"/>
      <c r="AV34" s="228"/>
      <c r="AW34" s="229"/>
      <c r="AX34" s="230"/>
      <c r="AY34" s="230"/>
      <c r="AZ34" s="230"/>
      <c r="BA34" s="230"/>
      <c r="BB34" s="230"/>
      <c r="BC34" s="231"/>
      <c r="BD34" s="232"/>
      <c r="BE34" s="230"/>
      <c r="BF34" s="230"/>
      <c r="BG34" s="230"/>
      <c r="BH34" s="230"/>
      <c r="BI34" s="230"/>
      <c r="BJ34" s="231"/>
      <c r="BK34" s="19"/>
    </row>
    <row r="35" spans="1:63" ht="15" customHeight="1">
      <c r="A35" s="18"/>
      <c r="B35" s="99"/>
      <c r="C35" s="100"/>
      <c r="D35" s="100"/>
      <c r="E35" s="100"/>
      <c r="F35" s="100"/>
      <c r="G35" s="101"/>
      <c r="H35" s="105"/>
      <c r="I35" s="106"/>
      <c r="J35" s="106"/>
      <c r="K35" s="106"/>
      <c r="L35" s="106"/>
      <c r="M35" s="106"/>
      <c r="N35" s="107"/>
      <c r="O35" s="55"/>
      <c r="P35" s="56"/>
      <c r="Q35" s="56"/>
      <c r="R35" s="56"/>
      <c r="S35" s="221"/>
      <c r="T35" s="222"/>
      <c r="U35" s="222"/>
      <c r="V35" s="222"/>
      <c r="W35" s="222"/>
      <c r="X35" s="222"/>
      <c r="Y35" s="222"/>
      <c r="Z35" s="222"/>
      <c r="AA35" s="222"/>
      <c r="AB35" s="222"/>
      <c r="AC35" s="222"/>
      <c r="AD35" s="222"/>
      <c r="AE35" s="222"/>
      <c r="AF35" s="222"/>
      <c r="AG35" s="222"/>
      <c r="AH35" s="222"/>
      <c r="AI35" s="222"/>
      <c r="AJ35" s="222"/>
      <c r="AK35" s="222"/>
      <c r="AL35" s="222"/>
      <c r="AM35" s="222"/>
      <c r="AN35" s="222"/>
      <c r="AO35" s="222"/>
      <c r="AP35" s="222"/>
      <c r="AQ35" s="222"/>
      <c r="AR35" s="222"/>
      <c r="AS35" s="222"/>
      <c r="AT35" s="222"/>
      <c r="AU35" s="222"/>
      <c r="AV35" s="222"/>
      <c r="AW35" s="223"/>
      <c r="AX35" s="224"/>
      <c r="AY35" s="224"/>
      <c r="AZ35" s="224"/>
      <c r="BA35" s="224"/>
      <c r="BB35" s="224"/>
      <c r="BC35" s="225"/>
      <c r="BD35" s="226"/>
      <c r="BE35" s="224"/>
      <c r="BF35" s="224"/>
      <c r="BG35" s="224"/>
      <c r="BH35" s="224"/>
      <c r="BI35" s="224"/>
      <c r="BJ35" s="225"/>
      <c r="BK35" s="19"/>
    </row>
    <row r="36" spans="1:63" ht="15" customHeight="1">
      <c r="A36" s="18"/>
      <c r="B36" s="102"/>
      <c r="C36" s="103"/>
      <c r="D36" s="103"/>
      <c r="E36" s="103"/>
      <c r="F36" s="103"/>
      <c r="G36" s="104"/>
      <c r="H36" s="108"/>
      <c r="I36" s="109"/>
      <c r="J36" s="109"/>
      <c r="K36" s="109"/>
      <c r="L36" s="109"/>
      <c r="M36" s="109"/>
      <c r="N36" s="110"/>
      <c r="O36" s="61"/>
      <c r="P36" s="62"/>
      <c r="Q36" s="62"/>
      <c r="R36" s="62"/>
      <c r="S36" s="227"/>
      <c r="T36" s="228"/>
      <c r="U36" s="228"/>
      <c r="V36" s="228"/>
      <c r="W36" s="228"/>
      <c r="X36" s="228"/>
      <c r="Y36" s="228"/>
      <c r="Z36" s="228"/>
      <c r="AA36" s="228"/>
      <c r="AB36" s="228"/>
      <c r="AC36" s="228"/>
      <c r="AD36" s="228"/>
      <c r="AE36" s="228"/>
      <c r="AF36" s="228"/>
      <c r="AG36" s="228"/>
      <c r="AH36" s="228"/>
      <c r="AI36" s="228"/>
      <c r="AJ36" s="228"/>
      <c r="AK36" s="228"/>
      <c r="AL36" s="228"/>
      <c r="AM36" s="228"/>
      <c r="AN36" s="228"/>
      <c r="AO36" s="228"/>
      <c r="AP36" s="228"/>
      <c r="AQ36" s="228"/>
      <c r="AR36" s="228"/>
      <c r="AS36" s="228"/>
      <c r="AT36" s="228"/>
      <c r="AU36" s="228"/>
      <c r="AV36" s="228"/>
      <c r="AW36" s="229"/>
      <c r="AX36" s="230"/>
      <c r="AY36" s="230"/>
      <c r="AZ36" s="230"/>
      <c r="BA36" s="230"/>
      <c r="BB36" s="230"/>
      <c r="BC36" s="231"/>
      <c r="BD36" s="232"/>
      <c r="BE36" s="230"/>
      <c r="BF36" s="230"/>
      <c r="BG36" s="230"/>
      <c r="BH36" s="230"/>
      <c r="BI36" s="230"/>
      <c r="BJ36" s="231"/>
      <c r="BK36" s="19"/>
    </row>
    <row r="37" spans="1:63" ht="15" customHeight="1">
      <c r="A37" s="18"/>
      <c r="B37" s="99"/>
      <c r="C37" s="100"/>
      <c r="D37" s="100"/>
      <c r="E37" s="100"/>
      <c r="F37" s="100"/>
      <c r="G37" s="101"/>
      <c r="H37" s="105"/>
      <c r="I37" s="106"/>
      <c r="J37" s="106"/>
      <c r="K37" s="106"/>
      <c r="L37" s="106"/>
      <c r="M37" s="106"/>
      <c r="N37" s="107"/>
      <c r="O37" s="55"/>
      <c r="P37" s="56"/>
      <c r="Q37" s="56"/>
      <c r="R37" s="56"/>
      <c r="S37" s="221"/>
      <c r="T37" s="222"/>
      <c r="U37" s="222"/>
      <c r="V37" s="222"/>
      <c r="W37" s="222"/>
      <c r="X37" s="222"/>
      <c r="Y37" s="222"/>
      <c r="Z37" s="222"/>
      <c r="AA37" s="222"/>
      <c r="AB37" s="222"/>
      <c r="AC37" s="222"/>
      <c r="AD37" s="222"/>
      <c r="AE37" s="222"/>
      <c r="AF37" s="222"/>
      <c r="AG37" s="222"/>
      <c r="AH37" s="222"/>
      <c r="AI37" s="222"/>
      <c r="AJ37" s="222"/>
      <c r="AK37" s="222"/>
      <c r="AL37" s="222"/>
      <c r="AM37" s="222"/>
      <c r="AN37" s="222"/>
      <c r="AO37" s="222"/>
      <c r="AP37" s="222"/>
      <c r="AQ37" s="222"/>
      <c r="AR37" s="222"/>
      <c r="AS37" s="222"/>
      <c r="AT37" s="222"/>
      <c r="AU37" s="222"/>
      <c r="AV37" s="222"/>
      <c r="AW37" s="223"/>
      <c r="AX37" s="224"/>
      <c r="AY37" s="224"/>
      <c r="AZ37" s="224"/>
      <c r="BA37" s="224"/>
      <c r="BB37" s="224"/>
      <c r="BC37" s="225"/>
      <c r="BD37" s="226"/>
      <c r="BE37" s="224"/>
      <c r="BF37" s="224"/>
      <c r="BG37" s="224"/>
      <c r="BH37" s="224"/>
      <c r="BI37" s="224"/>
      <c r="BJ37" s="225"/>
      <c r="BK37" s="19"/>
    </row>
    <row r="38" spans="1:63" ht="15" customHeight="1">
      <c r="A38" s="18"/>
      <c r="B38" s="102"/>
      <c r="C38" s="103"/>
      <c r="D38" s="103"/>
      <c r="E38" s="103"/>
      <c r="F38" s="103"/>
      <c r="G38" s="104"/>
      <c r="H38" s="108"/>
      <c r="I38" s="109"/>
      <c r="J38" s="109"/>
      <c r="K38" s="109"/>
      <c r="L38" s="109"/>
      <c r="M38" s="109"/>
      <c r="N38" s="110"/>
      <c r="O38" s="61"/>
      <c r="P38" s="62"/>
      <c r="Q38" s="62"/>
      <c r="R38" s="62"/>
      <c r="S38" s="227"/>
      <c r="T38" s="228"/>
      <c r="U38" s="228"/>
      <c r="V38" s="228"/>
      <c r="W38" s="228"/>
      <c r="X38" s="228"/>
      <c r="Y38" s="228"/>
      <c r="Z38" s="228"/>
      <c r="AA38" s="228"/>
      <c r="AB38" s="228"/>
      <c r="AC38" s="228"/>
      <c r="AD38" s="228"/>
      <c r="AE38" s="228"/>
      <c r="AF38" s="228"/>
      <c r="AG38" s="228"/>
      <c r="AH38" s="228"/>
      <c r="AI38" s="228"/>
      <c r="AJ38" s="228"/>
      <c r="AK38" s="228"/>
      <c r="AL38" s="228"/>
      <c r="AM38" s="228"/>
      <c r="AN38" s="228"/>
      <c r="AO38" s="228"/>
      <c r="AP38" s="228"/>
      <c r="AQ38" s="228"/>
      <c r="AR38" s="228"/>
      <c r="AS38" s="228"/>
      <c r="AT38" s="228"/>
      <c r="AU38" s="228"/>
      <c r="AV38" s="228"/>
      <c r="AW38" s="229"/>
      <c r="AX38" s="230"/>
      <c r="AY38" s="230"/>
      <c r="AZ38" s="230"/>
      <c r="BA38" s="230"/>
      <c r="BB38" s="230"/>
      <c r="BC38" s="231"/>
      <c r="BD38" s="232"/>
      <c r="BE38" s="230"/>
      <c r="BF38" s="230"/>
      <c r="BG38" s="230"/>
      <c r="BH38" s="230"/>
      <c r="BI38" s="230"/>
      <c r="BJ38" s="231"/>
      <c r="BK38" s="19"/>
    </row>
    <row r="39" spans="1:63" ht="15" customHeight="1">
      <c r="A39" s="18"/>
      <c r="B39" s="99"/>
      <c r="C39" s="100"/>
      <c r="D39" s="100"/>
      <c r="E39" s="100"/>
      <c r="F39" s="100"/>
      <c r="G39" s="101"/>
      <c r="H39" s="105"/>
      <c r="I39" s="106"/>
      <c r="J39" s="106"/>
      <c r="K39" s="106"/>
      <c r="L39" s="106"/>
      <c r="M39" s="106"/>
      <c r="N39" s="107"/>
      <c r="O39" s="55"/>
      <c r="P39" s="56"/>
      <c r="Q39" s="56"/>
      <c r="R39" s="56"/>
      <c r="S39" s="221"/>
      <c r="T39" s="222"/>
      <c r="U39" s="222"/>
      <c r="V39" s="222"/>
      <c r="W39" s="222"/>
      <c r="X39" s="222"/>
      <c r="Y39" s="222"/>
      <c r="Z39" s="222"/>
      <c r="AA39" s="222"/>
      <c r="AB39" s="222"/>
      <c r="AC39" s="222"/>
      <c r="AD39" s="222"/>
      <c r="AE39" s="222"/>
      <c r="AF39" s="222"/>
      <c r="AG39" s="222"/>
      <c r="AH39" s="222"/>
      <c r="AI39" s="222"/>
      <c r="AJ39" s="222"/>
      <c r="AK39" s="222"/>
      <c r="AL39" s="222"/>
      <c r="AM39" s="222"/>
      <c r="AN39" s="222"/>
      <c r="AO39" s="222"/>
      <c r="AP39" s="222"/>
      <c r="AQ39" s="222"/>
      <c r="AR39" s="222"/>
      <c r="AS39" s="222"/>
      <c r="AT39" s="222"/>
      <c r="AU39" s="222"/>
      <c r="AV39" s="222"/>
      <c r="AW39" s="223"/>
      <c r="AX39" s="224"/>
      <c r="AY39" s="224"/>
      <c r="AZ39" s="224"/>
      <c r="BA39" s="224"/>
      <c r="BB39" s="224"/>
      <c r="BC39" s="225"/>
      <c r="BD39" s="226"/>
      <c r="BE39" s="224"/>
      <c r="BF39" s="224"/>
      <c r="BG39" s="224"/>
      <c r="BH39" s="224"/>
      <c r="BI39" s="224"/>
      <c r="BJ39" s="225"/>
      <c r="BK39" s="19"/>
    </row>
    <row r="40" spans="1:63" ht="15" customHeight="1">
      <c r="A40" s="18"/>
      <c r="B40" s="102"/>
      <c r="C40" s="103"/>
      <c r="D40" s="103"/>
      <c r="E40" s="103"/>
      <c r="F40" s="103"/>
      <c r="G40" s="104"/>
      <c r="H40" s="108"/>
      <c r="I40" s="109"/>
      <c r="J40" s="109"/>
      <c r="K40" s="109"/>
      <c r="L40" s="109"/>
      <c r="M40" s="109"/>
      <c r="N40" s="110"/>
      <c r="O40" s="61"/>
      <c r="P40" s="62"/>
      <c r="Q40" s="62"/>
      <c r="R40" s="62"/>
      <c r="S40" s="227"/>
      <c r="T40" s="228"/>
      <c r="U40" s="228"/>
      <c r="V40" s="228"/>
      <c r="W40" s="228"/>
      <c r="X40" s="228"/>
      <c r="Y40" s="228"/>
      <c r="Z40" s="228"/>
      <c r="AA40" s="228"/>
      <c r="AB40" s="228"/>
      <c r="AC40" s="228"/>
      <c r="AD40" s="228"/>
      <c r="AE40" s="228"/>
      <c r="AF40" s="228"/>
      <c r="AG40" s="228"/>
      <c r="AH40" s="228"/>
      <c r="AI40" s="228"/>
      <c r="AJ40" s="228"/>
      <c r="AK40" s="228"/>
      <c r="AL40" s="228"/>
      <c r="AM40" s="228"/>
      <c r="AN40" s="228"/>
      <c r="AO40" s="228"/>
      <c r="AP40" s="228"/>
      <c r="AQ40" s="228"/>
      <c r="AR40" s="228"/>
      <c r="AS40" s="228"/>
      <c r="AT40" s="228"/>
      <c r="AU40" s="228"/>
      <c r="AV40" s="228"/>
      <c r="AW40" s="229"/>
      <c r="AX40" s="230"/>
      <c r="AY40" s="230"/>
      <c r="AZ40" s="230"/>
      <c r="BA40" s="230"/>
      <c r="BB40" s="230"/>
      <c r="BC40" s="231"/>
      <c r="BD40" s="232"/>
      <c r="BE40" s="230"/>
      <c r="BF40" s="230"/>
      <c r="BG40" s="230"/>
      <c r="BH40" s="230"/>
      <c r="BI40" s="230"/>
      <c r="BJ40" s="231"/>
      <c r="BK40" s="19"/>
    </row>
    <row r="41" spans="1:63" ht="15" customHeight="1">
      <c r="A41" s="18"/>
      <c r="B41" s="99"/>
      <c r="C41" s="100"/>
      <c r="D41" s="100"/>
      <c r="E41" s="100"/>
      <c r="F41" s="100"/>
      <c r="G41" s="101"/>
      <c r="H41" s="105"/>
      <c r="I41" s="106"/>
      <c r="J41" s="106"/>
      <c r="K41" s="106"/>
      <c r="L41" s="106"/>
      <c r="M41" s="106"/>
      <c r="N41" s="107"/>
      <c r="O41" s="55"/>
      <c r="P41" s="56"/>
      <c r="Q41" s="56"/>
      <c r="R41" s="56"/>
      <c r="S41" s="221"/>
      <c r="T41" s="222"/>
      <c r="U41" s="222"/>
      <c r="V41" s="222"/>
      <c r="W41" s="222"/>
      <c r="X41" s="222"/>
      <c r="Y41" s="222"/>
      <c r="Z41" s="222"/>
      <c r="AA41" s="222"/>
      <c r="AB41" s="222"/>
      <c r="AC41" s="222"/>
      <c r="AD41" s="222"/>
      <c r="AE41" s="222"/>
      <c r="AF41" s="222"/>
      <c r="AG41" s="222"/>
      <c r="AH41" s="222"/>
      <c r="AI41" s="222"/>
      <c r="AJ41" s="222"/>
      <c r="AK41" s="222"/>
      <c r="AL41" s="222"/>
      <c r="AM41" s="222"/>
      <c r="AN41" s="222"/>
      <c r="AO41" s="222"/>
      <c r="AP41" s="222"/>
      <c r="AQ41" s="222"/>
      <c r="AR41" s="222"/>
      <c r="AS41" s="222"/>
      <c r="AT41" s="222"/>
      <c r="AU41" s="222"/>
      <c r="AV41" s="222"/>
      <c r="AW41" s="223"/>
      <c r="AX41" s="224"/>
      <c r="AY41" s="224"/>
      <c r="AZ41" s="224"/>
      <c r="BA41" s="224"/>
      <c r="BB41" s="224"/>
      <c r="BC41" s="225"/>
      <c r="BD41" s="226"/>
      <c r="BE41" s="224"/>
      <c r="BF41" s="224"/>
      <c r="BG41" s="224"/>
      <c r="BH41" s="224"/>
      <c r="BI41" s="224"/>
      <c r="BJ41" s="225"/>
      <c r="BK41" s="19"/>
    </row>
    <row r="42" spans="1:63" ht="15" customHeight="1">
      <c r="A42" s="18"/>
      <c r="B42" s="102"/>
      <c r="C42" s="103"/>
      <c r="D42" s="103"/>
      <c r="E42" s="103"/>
      <c r="F42" s="103"/>
      <c r="G42" s="104"/>
      <c r="H42" s="108"/>
      <c r="I42" s="109"/>
      <c r="J42" s="109"/>
      <c r="K42" s="109"/>
      <c r="L42" s="109"/>
      <c r="M42" s="109"/>
      <c r="N42" s="110"/>
      <c r="O42" s="61"/>
      <c r="P42" s="62"/>
      <c r="Q42" s="62"/>
      <c r="R42" s="62"/>
      <c r="S42" s="227"/>
      <c r="T42" s="228"/>
      <c r="U42" s="228"/>
      <c r="V42" s="228"/>
      <c r="W42" s="228"/>
      <c r="X42" s="228"/>
      <c r="Y42" s="228"/>
      <c r="Z42" s="228"/>
      <c r="AA42" s="228"/>
      <c r="AB42" s="228"/>
      <c r="AC42" s="228"/>
      <c r="AD42" s="228"/>
      <c r="AE42" s="228"/>
      <c r="AF42" s="228"/>
      <c r="AG42" s="228"/>
      <c r="AH42" s="228"/>
      <c r="AI42" s="228"/>
      <c r="AJ42" s="228"/>
      <c r="AK42" s="228"/>
      <c r="AL42" s="228"/>
      <c r="AM42" s="228"/>
      <c r="AN42" s="228"/>
      <c r="AO42" s="228"/>
      <c r="AP42" s="228"/>
      <c r="AQ42" s="228"/>
      <c r="AR42" s="228"/>
      <c r="AS42" s="228"/>
      <c r="AT42" s="228"/>
      <c r="AU42" s="228"/>
      <c r="AV42" s="228"/>
      <c r="AW42" s="229"/>
      <c r="AX42" s="230"/>
      <c r="AY42" s="230"/>
      <c r="AZ42" s="230"/>
      <c r="BA42" s="230"/>
      <c r="BB42" s="230"/>
      <c r="BC42" s="231"/>
      <c r="BD42" s="232"/>
      <c r="BE42" s="230"/>
      <c r="BF42" s="230"/>
      <c r="BG42" s="230"/>
      <c r="BH42" s="230"/>
      <c r="BI42" s="230"/>
      <c r="BJ42" s="231"/>
      <c r="BK42" s="19"/>
    </row>
    <row r="43" spans="1:63" ht="15" customHeight="1">
      <c r="A43" s="18"/>
      <c r="B43" s="99"/>
      <c r="C43" s="100"/>
      <c r="D43" s="100"/>
      <c r="E43" s="100"/>
      <c r="F43" s="100"/>
      <c r="G43" s="101"/>
      <c r="H43" s="105"/>
      <c r="I43" s="106"/>
      <c r="J43" s="106"/>
      <c r="K43" s="106"/>
      <c r="L43" s="106"/>
      <c r="M43" s="106"/>
      <c r="N43" s="107"/>
      <c r="O43" s="55"/>
      <c r="P43" s="56"/>
      <c r="Q43" s="56"/>
      <c r="R43" s="56"/>
      <c r="S43" s="221"/>
      <c r="T43" s="222"/>
      <c r="U43" s="222"/>
      <c r="V43" s="222"/>
      <c r="W43" s="222"/>
      <c r="X43" s="222"/>
      <c r="Y43" s="222"/>
      <c r="Z43" s="222"/>
      <c r="AA43" s="222"/>
      <c r="AB43" s="222"/>
      <c r="AC43" s="222"/>
      <c r="AD43" s="222"/>
      <c r="AE43" s="222"/>
      <c r="AF43" s="222"/>
      <c r="AG43" s="222"/>
      <c r="AH43" s="222"/>
      <c r="AI43" s="222"/>
      <c r="AJ43" s="222"/>
      <c r="AK43" s="222"/>
      <c r="AL43" s="222"/>
      <c r="AM43" s="222"/>
      <c r="AN43" s="222"/>
      <c r="AO43" s="222"/>
      <c r="AP43" s="222"/>
      <c r="AQ43" s="222"/>
      <c r="AR43" s="222"/>
      <c r="AS43" s="222"/>
      <c r="AT43" s="222"/>
      <c r="AU43" s="222"/>
      <c r="AV43" s="222"/>
      <c r="AW43" s="223"/>
      <c r="AX43" s="224"/>
      <c r="AY43" s="224"/>
      <c r="AZ43" s="224"/>
      <c r="BA43" s="224"/>
      <c r="BB43" s="224"/>
      <c r="BC43" s="225"/>
      <c r="BD43" s="226"/>
      <c r="BE43" s="224"/>
      <c r="BF43" s="224"/>
      <c r="BG43" s="224"/>
      <c r="BH43" s="224"/>
      <c r="BI43" s="224"/>
      <c r="BJ43" s="225"/>
      <c r="BK43" s="19"/>
    </row>
    <row r="44" spans="1:63" ht="15" customHeight="1">
      <c r="A44" s="18"/>
      <c r="B44" s="102"/>
      <c r="C44" s="103"/>
      <c r="D44" s="103"/>
      <c r="E44" s="103"/>
      <c r="F44" s="103"/>
      <c r="G44" s="104"/>
      <c r="H44" s="108"/>
      <c r="I44" s="109"/>
      <c r="J44" s="109"/>
      <c r="K44" s="109"/>
      <c r="L44" s="109"/>
      <c r="M44" s="109"/>
      <c r="N44" s="110"/>
      <c r="O44" s="61"/>
      <c r="P44" s="62"/>
      <c r="Q44" s="62"/>
      <c r="R44" s="62"/>
      <c r="S44" s="227"/>
      <c r="T44" s="228"/>
      <c r="U44" s="228"/>
      <c r="V44" s="228"/>
      <c r="W44" s="228"/>
      <c r="X44" s="228"/>
      <c r="Y44" s="228"/>
      <c r="Z44" s="228"/>
      <c r="AA44" s="228"/>
      <c r="AB44" s="228"/>
      <c r="AC44" s="228"/>
      <c r="AD44" s="228"/>
      <c r="AE44" s="228"/>
      <c r="AF44" s="228"/>
      <c r="AG44" s="228"/>
      <c r="AH44" s="228"/>
      <c r="AI44" s="228"/>
      <c r="AJ44" s="228"/>
      <c r="AK44" s="228"/>
      <c r="AL44" s="228"/>
      <c r="AM44" s="228"/>
      <c r="AN44" s="228"/>
      <c r="AO44" s="228"/>
      <c r="AP44" s="228"/>
      <c r="AQ44" s="228"/>
      <c r="AR44" s="228"/>
      <c r="AS44" s="228"/>
      <c r="AT44" s="228"/>
      <c r="AU44" s="228"/>
      <c r="AV44" s="228"/>
      <c r="AW44" s="229"/>
      <c r="AX44" s="230"/>
      <c r="AY44" s="230"/>
      <c r="AZ44" s="230"/>
      <c r="BA44" s="230"/>
      <c r="BB44" s="230"/>
      <c r="BC44" s="231"/>
      <c r="BD44" s="232"/>
      <c r="BE44" s="230"/>
      <c r="BF44" s="230"/>
      <c r="BG44" s="230"/>
      <c r="BH44" s="230"/>
      <c r="BI44" s="230"/>
      <c r="BJ44" s="231"/>
      <c r="BK44" s="19"/>
    </row>
    <row r="45" spans="1:63" ht="15" customHeight="1">
      <c r="A45" s="18"/>
      <c r="B45" s="99"/>
      <c r="C45" s="100"/>
      <c r="D45" s="100"/>
      <c r="E45" s="100"/>
      <c r="F45" s="100"/>
      <c r="G45" s="101"/>
      <c r="H45" s="105"/>
      <c r="I45" s="106"/>
      <c r="J45" s="106"/>
      <c r="K45" s="106"/>
      <c r="L45" s="106"/>
      <c r="M45" s="106"/>
      <c r="N45" s="107"/>
      <c r="O45" s="55"/>
      <c r="P45" s="56"/>
      <c r="Q45" s="56"/>
      <c r="R45" s="56"/>
      <c r="S45" s="221"/>
      <c r="T45" s="222"/>
      <c r="U45" s="222"/>
      <c r="V45" s="222"/>
      <c r="W45" s="222"/>
      <c r="X45" s="222"/>
      <c r="Y45" s="222"/>
      <c r="Z45" s="222"/>
      <c r="AA45" s="222"/>
      <c r="AB45" s="222"/>
      <c r="AC45" s="222"/>
      <c r="AD45" s="222"/>
      <c r="AE45" s="222"/>
      <c r="AF45" s="222"/>
      <c r="AG45" s="222"/>
      <c r="AH45" s="222"/>
      <c r="AI45" s="222"/>
      <c r="AJ45" s="222"/>
      <c r="AK45" s="222"/>
      <c r="AL45" s="222"/>
      <c r="AM45" s="222"/>
      <c r="AN45" s="222"/>
      <c r="AO45" s="222"/>
      <c r="AP45" s="222"/>
      <c r="AQ45" s="222"/>
      <c r="AR45" s="222"/>
      <c r="AS45" s="222"/>
      <c r="AT45" s="222"/>
      <c r="AU45" s="222"/>
      <c r="AV45" s="222"/>
      <c r="AW45" s="223"/>
      <c r="AX45" s="224"/>
      <c r="AY45" s="224"/>
      <c r="AZ45" s="224"/>
      <c r="BA45" s="224"/>
      <c r="BB45" s="224"/>
      <c r="BC45" s="225"/>
      <c r="BD45" s="226"/>
      <c r="BE45" s="224"/>
      <c r="BF45" s="224"/>
      <c r="BG45" s="224"/>
      <c r="BH45" s="224"/>
      <c r="BI45" s="224"/>
      <c r="BJ45" s="225"/>
      <c r="BK45" s="19"/>
    </row>
    <row r="46" spans="1:63" ht="15" customHeight="1">
      <c r="A46" s="18"/>
      <c r="B46" s="102"/>
      <c r="C46" s="103"/>
      <c r="D46" s="103"/>
      <c r="E46" s="103"/>
      <c r="F46" s="103"/>
      <c r="G46" s="104"/>
      <c r="H46" s="108"/>
      <c r="I46" s="109"/>
      <c r="J46" s="109"/>
      <c r="K46" s="109"/>
      <c r="L46" s="109"/>
      <c r="M46" s="109"/>
      <c r="N46" s="110"/>
      <c r="O46" s="61"/>
      <c r="P46" s="62"/>
      <c r="Q46" s="62"/>
      <c r="R46" s="62"/>
      <c r="S46" s="227"/>
      <c r="T46" s="228"/>
      <c r="U46" s="228"/>
      <c r="V46" s="228"/>
      <c r="W46" s="228"/>
      <c r="X46" s="228"/>
      <c r="Y46" s="228"/>
      <c r="Z46" s="228"/>
      <c r="AA46" s="228"/>
      <c r="AB46" s="228"/>
      <c r="AC46" s="228"/>
      <c r="AD46" s="228"/>
      <c r="AE46" s="228"/>
      <c r="AF46" s="228"/>
      <c r="AG46" s="228"/>
      <c r="AH46" s="228"/>
      <c r="AI46" s="228"/>
      <c r="AJ46" s="228"/>
      <c r="AK46" s="228"/>
      <c r="AL46" s="228"/>
      <c r="AM46" s="228"/>
      <c r="AN46" s="228"/>
      <c r="AO46" s="228"/>
      <c r="AP46" s="228"/>
      <c r="AQ46" s="228"/>
      <c r="AR46" s="228"/>
      <c r="AS46" s="228"/>
      <c r="AT46" s="228"/>
      <c r="AU46" s="228"/>
      <c r="AV46" s="228"/>
      <c r="AW46" s="229"/>
      <c r="AX46" s="230"/>
      <c r="AY46" s="230"/>
      <c r="AZ46" s="230"/>
      <c r="BA46" s="230"/>
      <c r="BB46" s="230"/>
      <c r="BC46" s="231"/>
      <c r="BD46" s="232"/>
      <c r="BE46" s="230"/>
      <c r="BF46" s="230"/>
      <c r="BG46" s="230"/>
      <c r="BH46" s="230"/>
      <c r="BI46" s="230"/>
      <c r="BJ46" s="231"/>
      <c r="BK46" s="19"/>
    </row>
    <row r="47" spans="1:63" ht="15" customHeight="1">
      <c r="A47" s="18"/>
      <c r="B47" s="99"/>
      <c r="C47" s="100"/>
      <c r="D47" s="100"/>
      <c r="E47" s="100"/>
      <c r="F47" s="100"/>
      <c r="G47" s="101"/>
      <c r="H47" s="105"/>
      <c r="I47" s="106"/>
      <c r="J47" s="106"/>
      <c r="K47" s="106"/>
      <c r="L47" s="106"/>
      <c r="M47" s="106"/>
      <c r="N47" s="107"/>
      <c r="O47" s="55"/>
      <c r="P47" s="56"/>
      <c r="Q47" s="56"/>
      <c r="R47" s="56"/>
      <c r="S47" s="221"/>
      <c r="T47" s="222"/>
      <c r="U47" s="222"/>
      <c r="V47" s="222"/>
      <c r="W47" s="222"/>
      <c r="X47" s="222"/>
      <c r="Y47" s="222"/>
      <c r="Z47" s="222"/>
      <c r="AA47" s="222"/>
      <c r="AB47" s="222"/>
      <c r="AC47" s="222"/>
      <c r="AD47" s="222"/>
      <c r="AE47" s="222"/>
      <c r="AF47" s="222"/>
      <c r="AG47" s="222"/>
      <c r="AH47" s="222"/>
      <c r="AI47" s="222"/>
      <c r="AJ47" s="222"/>
      <c r="AK47" s="222"/>
      <c r="AL47" s="222"/>
      <c r="AM47" s="222"/>
      <c r="AN47" s="222"/>
      <c r="AO47" s="222"/>
      <c r="AP47" s="222"/>
      <c r="AQ47" s="222"/>
      <c r="AR47" s="222"/>
      <c r="AS47" s="222"/>
      <c r="AT47" s="222"/>
      <c r="AU47" s="222"/>
      <c r="AV47" s="222"/>
      <c r="AW47" s="223"/>
      <c r="AX47" s="224"/>
      <c r="AY47" s="224"/>
      <c r="AZ47" s="224"/>
      <c r="BA47" s="224"/>
      <c r="BB47" s="224"/>
      <c r="BC47" s="225"/>
      <c r="BD47" s="226"/>
      <c r="BE47" s="224"/>
      <c r="BF47" s="224"/>
      <c r="BG47" s="224"/>
      <c r="BH47" s="224"/>
      <c r="BI47" s="224"/>
      <c r="BJ47" s="225"/>
      <c r="BK47" s="19"/>
    </row>
    <row r="48" spans="1:63" ht="15" customHeight="1">
      <c r="A48" s="18"/>
      <c r="B48" s="102"/>
      <c r="C48" s="103"/>
      <c r="D48" s="103"/>
      <c r="E48" s="103"/>
      <c r="F48" s="103"/>
      <c r="G48" s="104"/>
      <c r="H48" s="108"/>
      <c r="I48" s="109"/>
      <c r="J48" s="109"/>
      <c r="K48" s="109"/>
      <c r="L48" s="109"/>
      <c r="M48" s="109"/>
      <c r="N48" s="110"/>
      <c r="O48" s="61"/>
      <c r="P48" s="62"/>
      <c r="Q48" s="62"/>
      <c r="R48" s="62"/>
      <c r="S48" s="227"/>
      <c r="T48" s="228"/>
      <c r="U48" s="228"/>
      <c r="V48" s="228"/>
      <c r="W48" s="228"/>
      <c r="X48" s="228"/>
      <c r="Y48" s="228"/>
      <c r="Z48" s="228"/>
      <c r="AA48" s="228"/>
      <c r="AB48" s="228"/>
      <c r="AC48" s="228"/>
      <c r="AD48" s="228"/>
      <c r="AE48" s="228"/>
      <c r="AF48" s="228"/>
      <c r="AG48" s="228"/>
      <c r="AH48" s="228"/>
      <c r="AI48" s="228"/>
      <c r="AJ48" s="228"/>
      <c r="AK48" s="228"/>
      <c r="AL48" s="228"/>
      <c r="AM48" s="228"/>
      <c r="AN48" s="228"/>
      <c r="AO48" s="228"/>
      <c r="AP48" s="228"/>
      <c r="AQ48" s="228"/>
      <c r="AR48" s="228"/>
      <c r="AS48" s="228"/>
      <c r="AT48" s="228"/>
      <c r="AU48" s="228"/>
      <c r="AV48" s="228"/>
      <c r="AW48" s="229"/>
      <c r="AX48" s="230"/>
      <c r="AY48" s="230"/>
      <c r="AZ48" s="230"/>
      <c r="BA48" s="230"/>
      <c r="BB48" s="230"/>
      <c r="BC48" s="231"/>
      <c r="BD48" s="232"/>
      <c r="BE48" s="230"/>
      <c r="BF48" s="230"/>
      <c r="BG48" s="230"/>
      <c r="BH48" s="230"/>
      <c r="BI48" s="230"/>
      <c r="BJ48" s="231"/>
      <c r="BK48" s="19"/>
    </row>
    <row r="49" spans="1:63" ht="15" customHeight="1">
      <c r="A49" s="18"/>
      <c r="B49" s="99"/>
      <c r="C49" s="100"/>
      <c r="D49" s="100"/>
      <c r="E49" s="100"/>
      <c r="F49" s="100"/>
      <c r="G49" s="101"/>
      <c r="H49" s="105"/>
      <c r="I49" s="106"/>
      <c r="J49" s="106"/>
      <c r="K49" s="106"/>
      <c r="L49" s="106"/>
      <c r="M49" s="106"/>
      <c r="N49" s="107"/>
      <c r="O49" s="55"/>
      <c r="P49" s="56"/>
      <c r="Q49" s="56"/>
      <c r="R49" s="56"/>
      <c r="S49" s="221"/>
      <c r="T49" s="222"/>
      <c r="U49" s="222"/>
      <c r="V49" s="222"/>
      <c r="W49" s="222"/>
      <c r="X49" s="222"/>
      <c r="Y49" s="222"/>
      <c r="Z49" s="222"/>
      <c r="AA49" s="222"/>
      <c r="AB49" s="222"/>
      <c r="AC49" s="222"/>
      <c r="AD49" s="222"/>
      <c r="AE49" s="222"/>
      <c r="AF49" s="222"/>
      <c r="AG49" s="222"/>
      <c r="AH49" s="222"/>
      <c r="AI49" s="222"/>
      <c r="AJ49" s="222"/>
      <c r="AK49" s="222"/>
      <c r="AL49" s="222"/>
      <c r="AM49" s="222"/>
      <c r="AN49" s="222"/>
      <c r="AO49" s="222"/>
      <c r="AP49" s="222"/>
      <c r="AQ49" s="222"/>
      <c r="AR49" s="222"/>
      <c r="AS49" s="222"/>
      <c r="AT49" s="222"/>
      <c r="AU49" s="222"/>
      <c r="AV49" s="222"/>
      <c r="AW49" s="223"/>
      <c r="AX49" s="224"/>
      <c r="AY49" s="224"/>
      <c r="AZ49" s="224"/>
      <c r="BA49" s="224"/>
      <c r="BB49" s="224"/>
      <c r="BC49" s="225"/>
      <c r="BD49" s="226"/>
      <c r="BE49" s="224"/>
      <c r="BF49" s="224"/>
      <c r="BG49" s="224"/>
      <c r="BH49" s="224"/>
      <c r="BI49" s="224"/>
      <c r="BJ49" s="225"/>
      <c r="BK49" s="19"/>
    </row>
    <row r="50" spans="1:63" ht="15" customHeight="1">
      <c r="A50" s="18"/>
      <c r="B50" s="102"/>
      <c r="C50" s="103"/>
      <c r="D50" s="103"/>
      <c r="E50" s="103"/>
      <c r="F50" s="103"/>
      <c r="G50" s="104"/>
      <c r="H50" s="108"/>
      <c r="I50" s="109"/>
      <c r="J50" s="109"/>
      <c r="K50" s="109"/>
      <c r="L50" s="109"/>
      <c r="M50" s="109"/>
      <c r="N50" s="110"/>
      <c r="O50" s="61"/>
      <c r="P50" s="62"/>
      <c r="Q50" s="62"/>
      <c r="R50" s="62"/>
      <c r="S50" s="227"/>
      <c r="T50" s="228"/>
      <c r="U50" s="228"/>
      <c r="V50" s="228"/>
      <c r="W50" s="228"/>
      <c r="X50" s="228"/>
      <c r="Y50" s="228"/>
      <c r="Z50" s="228"/>
      <c r="AA50" s="228"/>
      <c r="AB50" s="228"/>
      <c r="AC50" s="228"/>
      <c r="AD50" s="228"/>
      <c r="AE50" s="228"/>
      <c r="AF50" s="228"/>
      <c r="AG50" s="228"/>
      <c r="AH50" s="228"/>
      <c r="AI50" s="228"/>
      <c r="AJ50" s="228"/>
      <c r="AK50" s="228"/>
      <c r="AL50" s="228"/>
      <c r="AM50" s="228"/>
      <c r="AN50" s="228"/>
      <c r="AO50" s="228"/>
      <c r="AP50" s="228"/>
      <c r="AQ50" s="228"/>
      <c r="AR50" s="228"/>
      <c r="AS50" s="228"/>
      <c r="AT50" s="228"/>
      <c r="AU50" s="228"/>
      <c r="AV50" s="228"/>
      <c r="AW50" s="229"/>
      <c r="AX50" s="230"/>
      <c r="AY50" s="230"/>
      <c r="AZ50" s="230"/>
      <c r="BA50" s="230"/>
      <c r="BB50" s="230"/>
      <c r="BC50" s="231"/>
      <c r="BD50" s="232"/>
      <c r="BE50" s="230"/>
      <c r="BF50" s="230"/>
      <c r="BG50" s="230"/>
      <c r="BH50" s="230"/>
      <c r="BI50" s="230"/>
      <c r="BJ50" s="231"/>
      <c r="BK50" s="19"/>
    </row>
    <row r="51" spans="1:63" ht="15" customHeight="1">
      <c r="A51" s="18"/>
      <c r="B51" s="99"/>
      <c r="C51" s="100"/>
      <c r="D51" s="100"/>
      <c r="E51" s="100"/>
      <c r="F51" s="100"/>
      <c r="G51" s="101"/>
      <c r="H51" s="105"/>
      <c r="I51" s="106"/>
      <c r="J51" s="106"/>
      <c r="K51" s="106"/>
      <c r="L51" s="106"/>
      <c r="M51" s="106"/>
      <c r="N51" s="107"/>
      <c r="O51" s="55"/>
      <c r="P51" s="56"/>
      <c r="Q51" s="56"/>
      <c r="R51" s="56"/>
      <c r="S51" s="221"/>
      <c r="T51" s="222"/>
      <c r="U51" s="222"/>
      <c r="V51" s="222"/>
      <c r="W51" s="222"/>
      <c r="X51" s="222"/>
      <c r="Y51" s="222"/>
      <c r="Z51" s="222"/>
      <c r="AA51" s="222"/>
      <c r="AB51" s="222"/>
      <c r="AC51" s="222"/>
      <c r="AD51" s="222"/>
      <c r="AE51" s="222"/>
      <c r="AF51" s="222"/>
      <c r="AG51" s="222"/>
      <c r="AH51" s="222"/>
      <c r="AI51" s="222"/>
      <c r="AJ51" s="222"/>
      <c r="AK51" s="222"/>
      <c r="AL51" s="222"/>
      <c r="AM51" s="222"/>
      <c r="AN51" s="222"/>
      <c r="AO51" s="222"/>
      <c r="AP51" s="222"/>
      <c r="AQ51" s="222"/>
      <c r="AR51" s="222"/>
      <c r="AS51" s="222"/>
      <c r="AT51" s="222"/>
      <c r="AU51" s="222"/>
      <c r="AV51" s="222"/>
      <c r="AW51" s="223"/>
      <c r="AX51" s="224"/>
      <c r="AY51" s="224"/>
      <c r="AZ51" s="224"/>
      <c r="BA51" s="224"/>
      <c r="BB51" s="224"/>
      <c r="BC51" s="225"/>
      <c r="BD51" s="226"/>
      <c r="BE51" s="224"/>
      <c r="BF51" s="224"/>
      <c r="BG51" s="224"/>
      <c r="BH51" s="224"/>
      <c r="BI51" s="224"/>
      <c r="BJ51" s="225"/>
      <c r="BK51" s="19"/>
    </row>
    <row r="52" spans="1:63" ht="15" customHeight="1">
      <c r="A52" s="18"/>
      <c r="B52" s="102"/>
      <c r="C52" s="103"/>
      <c r="D52" s="103"/>
      <c r="E52" s="103"/>
      <c r="F52" s="103"/>
      <c r="G52" s="104"/>
      <c r="H52" s="108"/>
      <c r="I52" s="109"/>
      <c r="J52" s="109"/>
      <c r="K52" s="109"/>
      <c r="L52" s="109"/>
      <c r="M52" s="109"/>
      <c r="N52" s="110"/>
      <c r="O52" s="61"/>
      <c r="P52" s="62"/>
      <c r="Q52" s="62"/>
      <c r="R52" s="62"/>
      <c r="S52" s="227"/>
      <c r="T52" s="228"/>
      <c r="U52" s="228"/>
      <c r="V52" s="228"/>
      <c r="W52" s="228"/>
      <c r="X52" s="228"/>
      <c r="Y52" s="228"/>
      <c r="Z52" s="228"/>
      <c r="AA52" s="228"/>
      <c r="AB52" s="228"/>
      <c r="AC52" s="228"/>
      <c r="AD52" s="228"/>
      <c r="AE52" s="228"/>
      <c r="AF52" s="228"/>
      <c r="AG52" s="228"/>
      <c r="AH52" s="228"/>
      <c r="AI52" s="228"/>
      <c r="AJ52" s="228"/>
      <c r="AK52" s="228"/>
      <c r="AL52" s="228"/>
      <c r="AM52" s="228"/>
      <c r="AN52" s="228"/>
      <c r="AO52" s="228"/>
      <c r="AP52" s="228"/>
      <c r="AQ52" s="228"/>
      <c r="AR52" s="228"/>
      <c r="AS52" s="228"/>
      <c r="AT52" s="228"/>
      <c r="AU52" s="228"/>
      <c r="AV52" s="228"/>
      <c r="AW52" s="229"/>
      <c r="AX52" s="230"/>
      <c r="AY52" s="230"/>
      <c r="AZ52" s="230"/>
      <c r="BA52" s="230"/>
      <c r="BB52" s="230"/>
      <c r="BC52" s="231"/>
      <c r="BD52" s="232"/>
      <c r="BE52" s="230"/>
      <c r="BF52" s="230"/>
      <c r="BG52" s="230"/>
      <c r="BH52" s="230"/>
      <c r="BI52" s="230"/>
      <c r="BJ52" s="231"/>
      <c r="BK52" s="19"/>
    </row>
    <row r="53" spans="1:63" ht="15" customHeight="1">
      <c r="A53" s="18"/>
      <c r="B53" s="99"/>
      <c r="C53" s="100"/>
      <c r="D53" s="100"/>
      <c r="E53" s="100"/>
      <c r="F53" s="100"/>
      <c r="G53" s="101"/>
      <c r="H53" s="105"/>
      <c r="I53" s="106"/>
      <c r="J53" s="106"/>
      <c r="K53" s="106"/>
      <c r="L53" s="106"/>
      <c r="M53" s="106"/>
      <c r="N53" s="107"/>
      <c r="O53" s="55"/>
      <c r="P53" s="56"/>
      <c r="Q53" s="56"/>
      <c r="R53" s="56"/>
      <c r="S53" s="221"/>
      <c r="T53" s="222"/>
      <c r="U53" s="222"/>
      <c r="V53" s="222"/>
      <c r="W53" s="222"/>
      <c r="X53" s="222"/>
      <c r="Y53" s="222"/>
      <c r="Z53" s="222"/>
      <c r="AA53" s="222"/>
      <c r="AB53" s="222"/>
      <c r="AC53" s="222"/>
      <c r="AD53" s="222"/>
      <c r="AE53" s="222"/>
      <c r="AF53" s="222"/>
      <c r="AG53" s="222"/>
      <c r="AH53" s="222"/>
      <c r="AI53" s="222"/>
      <c r="AJ53" s="222"/>
      <c r="AK53" s="222"/>
      <c r="AL53" s="222"/>
      <c r="AM53" s="222"/>
      <c r="AN53" s="222"/>
      <c r="AO53" s="222"/>
      <c r="AP53" s="222"/>
      <c r="AQ53" s="222"/>
      <c r="AR53" s="222"/>
      <c r="AS53" s="222"/>
      <c r="AT53" s="222"/>
      <c r="AU53" s="222"/>
      <c r="AV53" s="222"/>
      <c r="AW53" s="223"/>
      <c r="AX53" s="224"/>
      <c r="AY53" s="224"/>
      <c r="AZ53" s="224"/>
      <c r="BA53" s="224"/>
      <c r="BB53" s="224"/>
      <c r="BC53" s="225"/>
      <c r="BD53" s="226"/>
      <c r="BE53" s="224"/>
      <c r="BF53" s="224"/>
      <c r="BG53" s="224"/>
      <c r="BH53" s="224"/>
      <c r="BI53" s="224"/>
      <c r="BJ53" s="225"/>
      <c r="BK53" s="19"/>
    </row>
    <row r="54" spans="1:63" ht="15" customHeight="1">
      <c r="A54" s="18"/>
      <c r="B54" s="102"/>
      <c r="C54" s="103"/>
      <c r="D54" s="103"/>
      <c r="E54" s="103"/>
      <c r="F54" s="103"/>
      <c r="G54" s="104"/>
      <c r="H54" s="108"/>
      <c r="I54" s="109"/>
      <c r="J54" s="109"/>
      <c r="K54" s="109"/>
      <c r="L54" s="109"/>
      <c r="M54" s="109"/>
      <c r="N54" s="110"/>
      <c r="O54" s="61"/>
      <c r="P54" s="62"/>
      <c r="Q54" s="62"/>
      <c r="R54" s="62"/>
      <c r="S54" s="227"/>
      <c r="T54" s="228"/>
      <c r="U54" s="228"/>
      <c r="V54" s="228"/>
      <c r="W54" s="228"/>
      <c r="X54" s="228"/>
      <c r="Y54" s="228"/>
      <c r="Z54" s="228"/>
      <c r="AA54" s="228"/>
      <c r="AB54" s="228"/>
      <c r="AC54" s="228"/>
      <c r="AD54" s="228"/>
      <c r="AE54" s="228"/>
      <c r="AF54" s="228"/>
      <c r="AG54" s="228"/>
      <c r="AH54" s="228"/>
      <c r="AI54" s="228"/>
      <c r="AJ54" s="228"/>
      <c r="AK54" s="228"/>
      <c r="AL54" s="228"/>
      <c r="AM54" s="228"/>
      <c r="AN54" s="228"/>
      <c r="AO54" s="228"/>
      <c r="AP54" s="228"/>
      <c r="AQ54" s="228"/>
      <c r="AR54" s="228"/>
      <c r="AS54" s="228"/>
      <c r="AT54" s="228"/>
      <c r="AU54" s="228"/>
      <c r="AV54" s="228"/>
      <c r="AW54" s="229"/>
      <c r="AX54" s="230"/>
      <c r="AY54" s="230"/>
      <c r="AZ54" s="230"/>
      <c r="BA54" s="230"/>
      <c r="BB54" s="230"/>
      <c r="BC54" s="231"/>
      <c r="BD54" s="232"/>
      <c r="BE54" s="230"/>
      <c r="BF54" s="230"/>
      <c r="BG54" s="230"/>
      <c r="BH54" s="230"/>
      <c r="BI54" s="230"/>
      <c r="BJ54" s="231"/>
      <c r="BK54" s="19"/>
    </row>
    <row r="55" spans="1:63" ht="15" customHeight="1">
      <c r="A55" s="15"/>
      <c r="B55" s="23"/>
      <c r="C55" s="24"/>
      <c r="D55" s="24"/>
      <c r="E55" s="24"/>
      <c r="F55" s="24"/>
      <c r="G55" s="25"/>
      <c r="H55" s="23"/>
      <c r="I55" s="24"/>
      <c r="J55" s="24"/>
      <c r="K55" s="24"/>
      <c r="L55" s="24"/>
      <c r="M55" s="24"/>
      <c r="N55" s="25"/>
      <c r="O55" s="23"/>
      <c r="P55" s="24"/>
      <c r="Q55" s="24"/>
      <c r="R55" s="24"/>
      <c r="S55" s="20"/>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2"/>
      <c r="AX55" s="21"/>
      <c r="AY55" s="21"/>
      <c r="AZ55" s="21"/>
      <c r="BA55" s="21"/>
      <c r="BB55" s="21"/>
      <c r="BC55" s="22"/>
      <c r="BD55" s="20"/>
      <c r="BE55" s="21"/>
      <c r="BF55" s="21"/>
      <c r="BG55" s="21"/>
      <c r="BH55" s="21"/>
      <c r="BI55" s="21"/>
      <c r="BJ55" s="22"/>
      <c r="BK55" s="17"/>
    </row>
    <row r="56" spans="1:63" ht="15" customHeight="1">
      <c r="A56" s="15"/>
      <c r="B56" s="12"/>
      <c r="C56" s="13"/>
      <c r="D56" s="13"/>
      <c r="E56" s="13"/>
      <c r="F56" s="13"/>
      <c r="G56" s="14"/>
      <c r="H56" s="12"/>
      <c r="I56" s="13"/>
      <c r="J56" s="13"/>
      <c r="K56" s="13"/>
      <c r="L56" s="13"/>
      <c r="M56" s="13"/>
      <c r="N56" s="14"/>
      <c r="O56" s="12"/>
      <c r="P56" s="13"/>
      <c r="Q56" s="13"/>
      <c r="R56" s="13"/>
      <c r="S56" s="15"/>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7"/>
      <c r="AX56" s="16"/>
      <c r="AY56" s="16"/>
      <c r="AZ56" s="16"/>
      <c r="BA56" s="16"/>
      <c r="BB56" s="16"/>
      <c r="BC56" s="17"/>
      <c r="BD56" s="15"/>
      <c r="BE56" s="16"/>
      <c r="BF56" s="16"/>
      <c r="BG56" s="16"/>
      <c r="BH56" s="16"/>
      <c r="BI56" s="16"/>
      <c r="BJ56" s="17"/>
      <c r="BK56" s="17"/>
    </row>
    <row r="57" spans="1:63" ht="15" customHeight="1">
      <c r="A57" s="3"/>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5"/>
    </row>
  </sheetData>
  <mergeCells count="180">
    <mergeCell ref="A1:J1"/>
    <mergeCell ref="AP4:BK4"/>
    <mergeCell ref="AY2:BB3"/>
    <mergeCell ref="AT2:AX3"/>
    <mergeCell ref="AP2:AS3"/>
    <mergeCell ref="S16:AW16"/>
    <mergeCell ref="S17:AW17"/>
    <mergeCell ref="S18:AW18"/>
    <mergeCell ref="BH1:BK1"/>
    <mergeCell ref="BC1:BG1"/>
    <mergeCell ref="AY1:BB1"/>
    <mergeCell ref="AT1:AX1"/>
    <mergeCell ref="AP1:AS1"/>
    <mergeCell ref="W1:AO3"/>
    <mergeCell ref="K1:V1"/>
    <mergeCell ref="BD10:BJ10"/>
    <mergeCell ref="AX10:BC10"/>
    <mergeCell ref="S10:AW10"/>
    <mergeCell ref="O10:R10"/>
    <mergeCell ref="H10:N10"/>
    <mergeCell ref="AX13:BC14"/>
    <mergeCell ref="BD11:BJ12"/>
    <mergeCell ref="AX11:BC12"/>
    <mergeCell ref="B10:G10"/>
    <mergeCell ref="K2:V3"/>
    <mergeCell ref="A2:J3"/>
    <mergeCell ref="B19:G20"/>
    <mergeCell ref="H19:N20"/>
    <mergeCell ref="O19:R20"/>
    <mergeCell ref="S19:AW19"/>
    <mergeCell ref="Z4:AO4"/>
    <mergeCell ref="U4:Y4"/>
    <mergeCell ref="H4:T4"/>
    <mergeCell ref="A4:G4"/>
    <mergeCell ref="H11:N12"/>
    <mergeCell ref="B25:G26"/>
    <mergeCell ref="H25:N26"/>
    <mergeCell ref="O25:R26"/>
    <mergeCell ref="S25:AW25"/>
    <mergeCell ref="AX25:BC26"/>
    <mergeCell ref="BD25:BJ26"/>
    <mergeCell ref="S26:AW26"/>
    <mergeCell ref="BD13:BJ14"/>
    <mergeCell ref="S14:AW14"/>
    <mergeCell ref="S15:AW15"/>
    <mergeCell ref="B13:G14"/>
    <mergeCell ref="H13:N14"/>
    <mergeCell ref="O13:R14"/>
    <mergeCell ref="S13:AW13"/>
    <mergeCell ref="AX17:BC18"/>
    <mergeCell ref="BD17:BJ18"/>
    <mergeCell ref="H15:N16"/>
    <mergeCell ref="O15:R16"/>
    <mergeCell ref="AX15:BC16"/>
    <mergeCell ref="BD15:BJ16"/>
    <mergeCell ref="B17:G18"/>
    <mergeCell ref="H17:N18"/>
    <mergeCell ref="O17:R18"/>
    <mergeCell ref="BH2:BK3"/>
    <mergeCell ref="BC2:BG3"/>
    <mergeCell ref="B23:G24"/>
    <mergeCell ref="H23:N24"/>
    <mergeCell ref="O23:R24"/>
    <mergeCell ref="S23:AW23"/>
    <mergeCell ref="AX23:BC24"/>
    <mergeCell ref="BD23:BJ24"/>
    <mergeCell ref="S24:AW24"/>
    <mergeCell ref="B21:G22"/>
    <mergeCell ref="H21:N22"/>
    <mergeCell ref="O21:R22"/>
    <mergeCell ref="S21:AW21"/>
    <mergeCell ref="AX21:BC22"/>
    <mergeCell ref="BD21:BJ22"/>
    <mergeCell ref="S22:AW22"/>
    <mergeCell ref="B15:G16"/>
    <mergeCell ref="AX19:BC20"/>
    <mergeCell ref="BD19:BJ20"/>
    <mergeCell ref="S20:AW20"/>
    <mergeCell ref="B11:G12"/>
    <mergeCell ref="S12:AW12"/>
    <mergeCell ref="S11:AW11"/>
    <mergeCell ref="O11:R12"/>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s>
  <phoneticPr fontId="13"/>
  <printOptions horizontalCentered="1" verticalCentered="1"/>
  <pageMargins left="0.59055118110236204" right="0.59055118110236204" top="0.39370078740157499" bottom="0.39370078740157499" header="0.31496062992126" footer="0.31496062992126"/>
  <pageSetup paperSize="9" scale="60"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97DED-7046-7B4B-BB56-DE6C9B0FC09A}">
  <sheetPr>
    <tabColor rgb="FFFF0000"/>
    <pageSetUpPr fitToPage="1"/>
  </sheetPr>
  <dimension ref="A1:BK55"/>
  <sheetViews>
    <sheetView tabSelected="1" view="pageBreakPreview" zoomScaleNormal="75" zoomScaleSheetLayoutView="100" workbookViewId="0">
      <selection activeCell="K14" sqref="K14:AE14"/>
    </sheetView>
  </sheetViews>
  <sheetFormatPr defaultColWidth="2.6640625" defaultRowHeight="15" customHeight="1"/>
  <cols>
    <col min="1" max="45" width="2.6640625" style="11"/>
    <col min="46" max="46" width="6.88671875" style="11" bestFit="1" customWidth="1"/>
    <col min="47" max="54" width="2.6640625" style="11"/>
    <col min="55" max="55" width="6.88671875" style="11" bestFit="1" customWidth="1"/>
    <col min="56" max="59" width="2.6640625" style="11"/>
    <col min="60" max="60" width="4.88671875" style="11" bestFit="1" customWidth="1"/>
    <col min="61" max="16384" width="2.6640625" style="11"/>
  </cols>
  <sheetData>
    <row r="1" spans="1:63" customFormat="1" ht="24.95" customHeight="1">
      <c r="A1" s="70" t="s">
        <v>0</v>
      </c>
      <c r="B1" s="71"/>
      <c r="C1" s="71"/>
      <c r="D1" s="71"/>
      <c r="E1" s="71"/>
      <c r="F1" s="71"/>
      <c r="G1" s="71"/>
      <c r="H1" s="71"/>
      <c r="I1" s="71"/>
      <c r="J1" s="72"/>
      <c r="K1" s="70" t="s">
        <v>1</v>
      </c>
      <c r="L1" s="71"/>
      <c r="M1" s="71"/>
      <c r="N1" s="71"/>
      <c r="O1" s="71"/>
      <c r="P1" s="71"/>
      <c r="Q1" s="71"/>
      <c r="R1" s="71"/>
      <c r="S1" s="71"/>
      <c r="T1" s="71"/>
      <c r="U1" s="71"/>
      <c r="V1" s="72"/>
      <c r="W1" s="90" t="e">
        <f ca="1">IF( che [11]phủ!W1="","", che [11]phủ!W1)</f>
        <v>#NAME?</v>
      </c>
      <c r="X1" s="91"/>
      <c r="Y1" s="91"/>
      <c r="Z1" s="91"/>
      <c r="AA1" s="91"/>
      <c r="AB1" s="91"/>
      <c r="AC1" s="91"/>
      <c r="AD1" s="91"/>
      <c r="AE1" s="91"/>
      <c r="AF1" s="91"/>
      <c r="AG1" s="91"/>
      <c r="AH1" s="91"/>
      <c r="AI1" s="91"/>
      <c r="AJ1" s="91"/>
      <c r="AK1" s="91"/>
      <c r="AL1" s="91"/>
      <c r="AM1" s="91"/>
      <c r="AN1" s="91"/>
      <c r="AO1" s="92"/>
      <c r="AP1" s="70" t="s">
        <v>3</v>
      </c>
      <c r="AQ1" s="71"/>
      <c r="AR1" s="71"/>
      <c r="AS1" s="72"/>
      <c r="AT1" s="70" t="s">
        <v>4</v>
      </c>
      <c r="AU1" s="71"/>
      <c r="AV1" s="71"/>
      <c r="AW1" s="71"/>
      <c r="AX1" s="72"/>
      <c r="AY1" s="70" t="s">
        <v>5</v>
      </c>
      <c r="AZ1" s="71"/>
      <c r="BA1" s="71"/>
      <c r="BB1" s="72"/>
      <c r="BC1" s="70" t="s">
        <v>6</v>
      </c>
      <c r="BD1" s="71"/>
      <c r="BE1" s="71"/>
      <c r="BF1" s="71"/>
      <c r="BG1" s="72"/>
      <c r="BH1" s="70" t="s">
        <v>7</v>
      </c>
      <c r="BI1" s="71"/>
      <c r="BJ1" s="71"/>
      <c r="BK1" s="72"/>
    </row>
    <row r="2" spans="1:63" customFormat="1" ht="15" customHeight="1">
      <c r="A2" s="55" t="e">
        <f ca="1">IF( che [11]phủ!A2="","", che [11]phủ!A2)</f>
        <v>#NAME?</v>
      </c>
      <c r="B2" s="56"/>
      <c r="C2" s="56"/>
      <c r="D2" s="56"/>
      <c r="E2" s="56"/>
      <c r="F2" s="56"/>
      <c r="G2" s="56"/>
      <c r="H2" s="56"/>
      <c r="I2" s="56"/>
      <c r="J2" s="57"/>
      <c r="K2" s="55" t="e">
        <f ca="1">IF( che [11]phủ!K2="","", che [11]phủ!K2)</f>
        <v>#NAME?</v>
      </c>
      <c r="L2" s="56"/>
      <c r="M2" s="56"/>
      <c r="N2" s="56"/>
      <c r="O2" s="56"/>
      <c r="P2" s="56"/>
      <c r="Q2" s="56"/>
      <c r="R2" s="56"/>
      <c r="S2" s="56"/>
      <c r="T2" s="56"/>
      <c r="U2" s="56"/>
      <c r="V2" s="57"/>
      <c r="W2" s="93"/>
      <c r="X2" s="94"/>
      <c r="Y2" s="94"/>
      <c r="Z2" s="94"/>
      <c r="AA2" s="94"/>
      <c r="AB2" s="94"/>
      <c r="AC2" s="94"/>
      <c r="AD2" s="94"/>
      <c r="AE2" s="94"/>
      <c r="AF2" s="94"/>
      <c r="AG2" s="94"/>
      <c r="AH2" s="94"/>
      <c r="AI2" s="94"/>
      <c r="AJ2" s="94"/>
      <c r="AK2" s="94"/>
      <c r="AL2" s="94"/>
      <c r="AM2" s="94"/>
      <c r="AN2" s="94"/>
      <c r="AO2" s="95"/>
      <c r="AP2" s="55" t="e">
        <f ca="1">IF( che [11]phủ!AP2="","", che [11]phủ!AP2)</f>
        <v>#NAME?</v>
      </c>
      <c r="AQ2" s="56"/>
      <c r="AR2" s="56"/>
      <c r="AS2" s="57"/>
      <c r="AT2" s="84" t="e">
        <f ca="1">IF( che [11]phủ!AT2="","", che [11]phủ!AT2)</f>
        <v>#NAME?</v>
      </c>
      <c r="AU2" s="85"/>
      <c r="AV2" s="85"/>
      <c r="AW2" s="85"/>
      <c r="AX2" s="86"/>
      <c r="AY2" s="55" t="e">
        <f ca="1">IF( che [11]phủ!AY2="","", che [11]phủ!AY2)</f>
        <v>#NAME?</v>
      </c>
      <c r="AZ2" s="56"/>
      <c r="BA2" s="56"/>
      <c r="BB2" s="57"/>
      <c r="BC2" s="84" t="e">
        <f ca="1">IF( che [11]phủ!BC2="","", che [11]phủ!BC2)</f>
        <v>#NAME?</v>
      </c>
      <c r="BD2" s="85"/>
      <c r="BE2" s="85"/>
      <c r="BF2" s="85"/>
      <c r="BG2" s="86"/>
      <c r="BH2" s="55" t="e">
        <f ca="1">IF( che [11]phủ!BH2="","", che [11]phủ!BH2)</f>
        <v>#NAME?</v>
      </c>
      <c r="BI2" s="56"/>
      <c r="BJ2" s="56"/>
      <c r="BK2" s="57"/>
    </row>
    <row r="3" spans="1:63" customFormat="1" ht="15" customHeight="1">
      <c r="A3" s="61"/>
      <c r="B3" s="62"/>
      <c r="C3" s="62"/>
      <c r="D3" s="62"/>
      <c r="E3" s="62"/>
      <c r="F3" s="62"/>
      <c r="G3" s="62"/>
      <c r="H3" s="62"/>
      <c r="I3" s="62"/>
      <c r="J3" s="63"/>
      <c r="K3" s="61"/>
      <c r="L3" s="62"/>
      <c r="M3" s="62"/>
      <c r="N3" s="62"/>
      <c r="O3" s="62"/>
      <c r="P3" s="62"/>
      <c r="Q3" s="62"/>
      <c r="R3" s="62"/>
      <c r="S3" s="62"/>
      <c r="T3" s="62"/>
      <c r="U3" s="62"/>
      <c r="V3" s="63"/>
      <c r="W3" s="96"/>
      <c r="X3" s="97"/>
      <c r="Y3" s="97"/>
      <c r="Z3" s="97"/>
      <c r="AA3" s="97"/>
      <c r="AB3" s="97"/>
      <c r="AC3" s="97"/>
      <c r="AD3" s="97"/>
      <c r="AE3" s="97"/>
      <c r="AF3" s="97"/>
      <c r="AG3" s="97"/>
      <c r="AH3" s="97"/>
      <c r="AI3" s="97"/>
      <c r="AJ3" s="97"/>
      <c r="AK3" s="97"/>
      <c r="AL3" s="97"/>
      <c r="AM3" s="97"/>
      <c r="AN3" s="97"/>
      <c r="AO3" s="98"/>
      <c r="AP3" s="61"/>
      <c r="AQ3" s="62"/>
      <c r="AR3" s="62"/>
      <c r="AS3" s="63"/>
      <c r="AT3" s="87"/>
      <c r="AU3" s="88"/>
      <c r="AV3" s="88"/>
      <c r="AW3" s="88"/>
      <c r="AX3" s="89"/>
      <c r="AY3" s="61"/>
      <c r="AZ3" s="62"/>
      <c r="BA3" s="62"/>
      <c r="BB3" s="63"/>
      <c r="BC3" s="87"/>
      <c r="BD3" s="88"/>
      <c r="BE3" s="88"/>
      <c r="BF3" s="88"/>
      <c r="BG3" s="89"/>
      <c r="BH3" s="61"/>
      <c r="BI3" s="62"/>
      <c r="BJ3" s="62"/>
      <c r="BK3" s="63"/>
    </row>
    <row r="4" spans="1:63" customFormat="1" ht="24.95" customHeight="1">
      <c r="A4" s="70" t="s">
        <v>10</v>
      </c>
      <c r="B4" s="71"/>
      <c r="C4" s="71"/>
      <c r="D4" s="71"/>
      <c r="E4" s="71"/>
      <c r="F4" s="71"/>
      <c r="G4" s="72"/>
      <c r="H4" s="75" t="e">
        <f ca="1">IF( che [11]phủ!H4="","", che [11]phủ!H4)</f>
        <v>#NAME?</v>
      </c>
      <c r="I4" s="76"/>
      <c r="J4" s="76"/>
      <c r="K4" s="76"/>
      <c r="L4" s="76"/>
      <c r="M4" s="76"/>
      <c r="N4" s="76"/>
      <c r="O4" s="76"/>
      <c r="P4" s="76"/>
      <c r="Q4" s="76"/>
      <c r="R4" s="76"/>
      <c r="S4" s="76"/>
      <c r="T4" s="77"/>
      <c r="U4" s="70" t="s">
        <v>12</v>
      </c>
      <c r="V4" s="71"/>
      <c r="W4" s="71"/>
      <c r="X4" s="71"/>
      <c r="Y4" s="72"/>
      <c r="Z4" s="75" t="e">
        <f ca="1">IF( che [11]phủ!Z4="","", che [11]phủ!Z4)</f>
        <v>#NAME?</v>
      </c>
      <c r="AA4" s="76"/>
      <c r="AB4" s="76"/>
      <c r="AC4" s="76"/>
      <c r="AD4" s="76"/>
      <c r="AE4" s="76"/>
      <c r="AF4" s="76"/>
      <c r="AG4" s="76"/>
      <c r="AH4" s="76"/>
      <c r="AI4" s="76"/>
      <c r="AJ4" s="76"/>
      <c r="AK4" s="76"/>
      <c r="AL4" s="76"/>
      <c r="AM4" s="76"/>
      <c r="AN4" s="76"/>
      <c r="AO4" s="77"/>
      <c r="AP4" s="75" t="e" cm="1">
        <f t="array" aca="1" ref="AP4" ca="1">RIGHT(CELL("filename",$A$1),LEN(CELL("filename",$A$1))-FIND("]",CELL("filename",$A$1)))</f>
        <v>#VALUE!</v>
      </c>
      <c r="AQ4" s="76"/>
      <c r="AR4" s="76"/>
      <c r="AS4" s="76"/>
      <c r="AT4" s="76"/>
      <c r="AU4" s="76"/>
      <c r="AV4" s="76"/>
      <c r="AW4" s="76"/>
      <c r="AX4" s="76"/>
      <c r="AY4" s="76"/>
      <c r="AZ4" s="76"/>
      <c r="BA4" s="76"/>
      <c r="BB4" s="76"/>
      <c r="BC4" s="76"/>
      <c r="BD4" s="76"/>
      <c r="BE4" s="76"/>
      <c r="BF4" s="76"/>
      <c r="BG4" s="76"/>
      <c r="BH4" s="76"/>
      <c r="BI4" s="76"/>
      <c r="BJ4" s="76"/>
      <c r="BK4" s="77"/>
    </row>
    <row r="5" spans="1:63" customFormat="1" ht="5.0999999999999996" customHeight="1">
      <c r="A5" s="15"/>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7"/>
    </row>
    <row r="6" spans="1:63" ht="15" customHeight="1">
      <c r="A6" s="36"/>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37"/>
    </row>
    <row r="7" spans="1:63" ht="15" customHeight="1">
      <c r="A7" s="36"/>
      <c r="B7" s="111" t="s">
        <v>29</v>
      </c>
      <c r="C7" s="113"/>
      <c r="D7" s="111" t="s">
        <v>30</v>
      </c>
      <c r="E7" s="112"/>
      <c r="F7" s="112"/>
      <c r="G7" s="112"/>
      <c r="H7" s="112"/>
      <c r="I7" s="112"/>
      <c r="J7" s="113"/>
      <c r="K7" s="111" t="s">
        <v>31</v>
      </c>
      <c r="L7" s="112"/>
      <c r="M7" s="112"/>
      <c r="N7" s="112"/>
      <c r="O7" s="112"/>
      <c r="P7" s="112"/>
      <c r="Q7" s="112"/>
      <c r="R7" s="112"/>
      <c r="S7" s="112"/>
      <c r="T7" s="112"/>
      <c r="U7" s="112"/>
      <c r="V7" s="112"/>
      <c r="W7" s="112"/>
      <c r="X7" s="112"/>
      <c r="Y7" s="112"/>
      <c r="Z7" s="112"/>
      <c r="AA7" s="112"/>
      <c r="AB7" s="112"/>
      <c r="AC7" s="112"/>
      <c r="AD7" s="112"/>
      <c r="AE7" s="113"/>
      <c r="AF7" s="111" t="s">
        <v>32</v>
      </c>
      <c r="AG7" s="112"/>
      <c r="AH7" s="112"/>
      <c r="AI7" s="112"/>
      <c r="AJ7" s="113"/>
      <c r="AK7" s="111" t="s">
        <v>33</v>
      </c>
      <c r="AL7" s="112"/>
      <c r="AM7" s="112"/>
      <c r="AN7" s="112"/>
      <c r="AO7" s="112"/>
      <c r="AP7" s="112"/>
      <c r="AQ7" s="112"/>
      <c r="AR7" s="112"/>
      <c r="AS7" s="112"/>
      <c r="AT7" s="112"/>
      <c r="AU7" s="112"/>
      <c r="AV7" s="112"/>
      <c r="AW7" s="112"/>
      <c r="AX7" s="112"/>
      <c r="AY7" s="112"/>
      <c r="AZ7" s="112"/>
      <c r="BA7" s="112"/>
      <c r="BB7" s="112"/>
      <c r="BC7" s="112"/>
      <c r="BD7" s="112"/>
      <c r="BE7" s="113"/>
      <c r="BF7" s="111" t="s">
        <v>34</v>
      </c>
      <c r="BG7" s="112"/>
      <c r="BH7" s="112"/>
      <c r="BI7" s="112"/>
      <c r="BJ7" s="113"/>
      <c r="BK7" s="37"/>
    </row>
    <row r="8" spans="1:63" ht="15" customHeight="1">
      <c r="A8" s="36"/>
      <c r="B8" s="114">
        <v>1</v>
      </c>
      <c r="C8" s="115"/>
      <c r="D8" s="114"/>
      <c r="E8" s="116"/>
      <c r="F8" s="116"/>
      <c r="G8" s="116"/>
      <c r="H8" s="116"/>
      <c r="I8" s="116"/>
      <c r="J8" s="115"/>
      <c r="K8" s="117"/>
      <c r="L8" s="118"/>
      <c r="M8" s="118"/>
      <c r="N8" s="118"/>
      <c r="O8" s="118"/>
      <c r="P8" s="118"/>
      <c r="Q8" s="118"/>
      <c r="R8" s="118"/>
      <c r="S8" s="118"/>
      <c r="T8" s="118"/>
      <c r="U8" s="118"/>
      <c r="V8" s="118"/>
      <c r="W8" s="118"/>
      <c r="X8" s="118"/>
      <c r="Y8" s="118"/>
      <c r="Z8" s="118"/>
      <c r="AA8" s="118"/>
      <c r="AB8" s="118"/>
      <c r="AC8" s="118"/>
      <c r="AD8" s="118"/>
      <c r="AE8" s="119"/>
      <c r="AF8" s="114"/>
      <c r="AG8" s="116"/>
      <c r="AH8" s="116"/>
      <c r="AI8" s="116"/>
      <c r="AJ8" s="115"/>
      <c r="AK8" s="114"/>
      <c r="AL8" s="116"/>
      <c r="AM8" s="116"/>
      <c r="AN8" s="116"/>
      <c r="AO8" s="116"/>
      <c r="AP8" s="116"/>
      <c r="AQ8" s="116"/>
      <c r="AR8" s="116"/>
      <c r="AS8" s="116"/>
      <c r="AT8" s="116"/>
      <c r="AU8" s="116"/>
      <c r="AV8" s="116"/>
      <c r="AW8" s="116"/>
      <c r="AX8" s="116"/>
      <c r="AY8" s="116"/>
      <c r="AZ8" s="116"/>
      <c r="BA8" s="116"/>
      <c r="BB8" s="116"/>
      <c r="BC8" s="116"/>
      <c r="BD8" s="116"/>
      <c r="BE8" s="115"/>
      <c r="BF8" s="114"/>
      <c r="BG8" s="116"/>
      <c r="BH8" s="116"/>
      <c r="BI8" s="116"/>
      <c r="BJ8" s="115"/>
      <c r="BK8" s="37"/>
    </row>
    <row r="9" spans="1:63" ht="15" customHeight="1">
      <c r="A9" s="36"/>
      <c r="B9" s="120">
        <v>2</v>
      </c>
      <c r="C9" s="121"/>
      <c r="D9" s="120"/>
      <c r="E9" s="122"/>
      <c r="F9" s="122"/>
      <c r="G9" s="122"/>
      <c r="H9" s="122"/>
      <c r="I9" s="122"/>
      <c r="J9" s="121"/>
      <c r="K9" s="123"/>
      <c r="L9" s="122"/>
      <c r="M9" s="122"/>
      <c r="N9" s="122"/>
      <c r="O9" s="122"/>
      <c r="P9" s="122"/>
      <c r="Q9" s="122"/>
      <c r="R9" s="122"/>
      <c r="S9" s="122"/>
      <c r="T9" s="122"/>
      <c r="U9" s="122"/>
      <c r="V9" s="122"/>
      <c r="W9" s="122"/>
      <c r="X9" s="122"/>
      <c r="Y9" s="122"/>
      <c r="Z9" s="122"/>
      <c r="AA9" s="122"/>
      <c r="AB9" s="122"/>
      <c r="AC9" s="122"/>
      <c r="AD9" s="122"/>
      <c r="AE9" s="121"/>
      <c r="AF9" s="120"/>
      <c r="AG9" s="122"/>
      <c r="AH9" s="122"/>
      <c r="AI9" s="122"/>
      <c r="AJ9" s="121"/>
      <c r="AK9" s="124"/>
      <c r="AL9" s="122"/>
      <c r="AM9" s="122"/>
      <c r="AN9" s="122"/>
      <c r="AO9" s="122"/>
      <c r="AP9" s="122"/>
      <c r="AQ9" s="122"/>
      <c r="AR9" s="122"/>
      <c r="AS9" s="122"/>
      <c r="AT9" s="122"/>
      <c r="AU9" s="122"/>
      <c r="AV9" s="122"/>
      <c r="AW9" s="122"/>
      <c r="AX9" s="122"/>
      <c r="AY9" s="122"/>
      <c r="AZ9" s="122"/>
      <c r="BA9" s="122"/>
      <c r="BB9" s="122"/>
      <c r="BC9" s="122"/>
      <c r="BD9" s="122"/>
      <c r="BE9" s="121"/>
      <c r="BF9" s="120"/>
      <c r="BG9" s="122"/>
      <c r="BH9" s="122"/>
      <c r="BI9" s="122"/>
      <c r="BJ9" s="121"/>
      <c r="BK9" s="37"/>
    </row>
    <row r="10" spans="1:63" ht="15" customHeight="1">
      <c r="A10" s="36"/>
      <c r="B10" s="120">
        <v>3</v>
      </c>
      <c r="C10" s="121"/>
      <c r="D10" s="120"/>
      <c r="E10" s="122"/>
      <c r="F10" s="122"/>
      <c r="G10" s="122"/>
      <c r="H10" s="122"/>
      <c r="I10" s="122"/>
      <c r="J10" s="121"/>
      <c r="K10" s="123"/>
      <c r="L10" s="122"/>
      <c r="M10" s="122"/>
      <c r="N10" s="122"/>
      <c r="O10" s="122"/>
      <c r="P10" s="122"/>
      <c r="Q10" s="122"/>
      <c r="R10" s="122"/>
      <c r="S10" s="122"/>
      <c r="T10" s="122"/>
      <c r="U10" s="122"/>
      <c r="V10" s="122"/>
      <c r="W10" s="122"/>
      <c r="X10" s="122"/>
      <c r="Y10" s="122"/>
      <c r="Z10" s="122"/>
      <c r="AA10" s="122"/>
      <c r="AB10" s="122"/>
      <c r="AC10" s="122"/>
      <c r="AD10" s="122"/>
      <c r="AE10" s="121"/>
      <c r="AF10" s="120"/>
      <c r="AG10" s="122"/>
      <c r="AH10" s="122"/>
      <c r="AI10" s="122"/>
      <c r="AJ10" s="121"/>
      <c r="AK10" s="123"/>
      <c r="AL10" s="122"/>
      <c r="AM10" s="122"/>
      <c r="AN10" s="122"/>
      <c r="AO10" s="122"/>
      <c r="AP10" s="122"/>
      <c r="AQ10" s="122"/>
      <c r="AR10" s="122"/>
      <c r="AS10" s="122"/>
      <c r="AT10" s="122"/>
      <c r="AU10" s="122"/>
      <c r="AV10" s="122"/>
      <c r="AW10" s="122"/>
      <c r="AX10" s="122"/>
      <c r="AY10" s="122"/>
      <c r="AZ10" s="122"/>
      <c r="BA10" s="122"/>
      <c r="BB10" s="122"/>
      <c r="BC10" s="122"/>
      <c r="BD10" s="122"/>
      <c r="BE10" s="121"/>
      <c r="BF10" s="120"/>
      <c r="BG10" s="122"/>
      <c r="BH10" s="122"/>
      <c r="BI10" s="122"/>
      <c r="BJ10" s="121"/>
      <c r="BK10" s="37"/>
    </row>
    <row r="11" spans="1:63" ht="15" customHeight="1">
      <c r="A11" s="36"/>
      <c r="B11" s="120">
        <v>4</v>
      </c>
      <c r="C11" s="121"/>
      <c r="D11" s="120"/>
      <c r="E11" s="122"/>
      <c r="F11" s="122"/>
      <c r="G11" s="122"/>
      <c r="H11" s="122"/>
      <c r="I11" s="122"/>
      <c r="J11" s="121"/>
      <c r="K11" s="123"/>
      <c r="L11" s="122"/>
      <c r="M11" s="122"/>
      <c r="N11" s="122"/>
      <c r="O11" s="122"/>
      <c r="P11" s="122"/>
      <c r="Q11" s="122"/>
      <c r="R11" s="122"/>
      <c r="S11" s="122"/>
      <c r="T11" s="122"/>
      <c r="U11" s="122"/>
      <c r="V11" s="122"/>
      <c r="W11" s="122"/>
      <c r="X11" s="122"/>
      <c r="Y11" s="122"/>
      <c r="Z11" s="122"/>
      <c r="AA11" s="122"/>
      <c r="AB11" s="122"/>
      <c r="AC11" s="122"/>
      <c r="AD11" s="122"/>
      <c r="AE11" s="121"/>
      <c r="AF11" s="120"/>
      <c r="AG11" s="122"/>
      <c r="AH11" s="122"/>
      <c r="AI11" s="122"/>
      <c r="AJ11" s="121"/>
      <c r="AK11" s="120"/>
      <c r="AL11" s="122"/>
      <c r="AM11" s="122"/>
      <c r="AN11" s="122"/>
      <c r="AO11" s="122"/>
      <c r="AP11" s="122"/>
      <c r="AQ11" s="122"/>
      <c r="AR11" s="122"/>
      <c r="AS11" s="122"/>
      <c r="AT11" s="122"/>
      <c r="AU11" s="122"/>
      <c r="AV11" s="122"/>
      <c r="AW11" s="122"/>
      <c r="AX11" s="122"/>
      <c r="AY11" s="122"/>
      <c r="AZ11" s="122"/>
      <c r="BA11" s="122"/>
      <c r="BB11" s="122"/>
      <c r="BC11" s="122"/>
      <c r="BD11" s="122"/>
      <c r="BE11" s="121"/>
      <c r="BF11" s="120"/>
      <c r="BG11" s="122"/>
      <c r="BH11" s="122"/>
      <c r="BI11" s="122"/>
      <c r="BJ11" s="121"/>
      <c r="BK11" s="37"/>
    </row>
    <row r="12" spans="1:63" ht="15" customHeight="1">
      <c r="A12" s="36"/>
      <c r="B12" s="120">
        <v>5</v>
      </c>
      <c r="C12" s="121"/>
      <c r="D12" s="120"/>
      <c r="E12" s="122"/>
      <c r="F12" s="122"/>
      <c r="G12" s="122"/>
      <c r="H12" s="122"/>
      <c r="I12" s="122"/>
      <c r="J12" s="121"/>
      <c r="K12" s="123"/>
      <c r="L12" s="122"/>
      <c r="M12" s="122"/>
      <c r="N12" s="122"/>
      <c r="O12" s="122"/>
      <c r="P12" s="122"/>
      <c r="Q12" s="122"/>
      <c r="R12" s="122"/>
      <c r="S12" s="122"/>
      <c r="T12" s="122"/>
      <c r="U12" s="122"/>
      <c r="V12" s="122"/>
      <c r="W12" s="122"/>
      <c r="X12" s="122"/>
      <c r="Y12" s="122"/>
      <c r="Z12" s="122"/>
      <c r="AA12" s="122"/>
      <c r="AB12" s="122"/>
      <c r="AC12" s="122"/>
      <c r="AD12" s="122"/>
      <c r="AE12" s="121"/>
      <c r="AF12" s="120"/>
      <c r="AG12" s="122"/>
      <c r="AH12" s="122"/>
      <c r="AI12" s="122"/>
      <c r="AJ12" s="121"/>
      <c r="AK12" s="123"/>
      <c r="AL12" s="122"/>
      <c r="AM12" s="122"/>
      <c r="AN12" s="122"/>
      <c r="AO12" s="122"/>
      <c r="AP12" s="122"/>
      <c r="AQ12" s="122"/>
      <c r="AR12" s="122"/>
      <c r="AS12" s="122"/>
      <c r="AT12" s="122"/>
      <c r="AU12" s="122"/>
      <c r="AV12" s="122"/>
      <c r="AW12" s="122"/>
      <c r="AX12" s="122"/>
      <c r="AY12" s="122"/>
      <c r="AZ12" s="122"/>
      <c r="BA12" s="122"/>
      <c r="BB12" s="122"/>
      <c r="BC12" s="122"/>
      <c r="BD12" s="122"/>
      <c r="BE12" s="121"/>
      <c r="BF12" s="120"/>
      <c r="BG12" s="122"/>
      <c r="BH12" s="122"/>
      <c r="BI12" s="122"/>
      <c r="BJ12" s="121"/>
      <c r="BK12" s="37"/>
    </row>
    <row r="13" spans="1:63" ht="15" customHeight="1">
      <c r="A13" s="36"/>
      <c r="B13" s="120">
        <v>6</v>
      </c>
      <c r="C13" s="121"/>
      <c r="D13" s="120"/>
      <c r="E13" s="122"/>
      <c r="F13" s="122"/>
      <c r="G13" s="122"/>
      <c r="H13" s="122"/>
      <c r="I13" s="122"/>
      <c r="J13" s="121"/>
      <c r="K13" s="123"/>
      <c r="L13" s="122"/>
      <c r="M13" s="122"/>
      <c r="N13" s="122"/>
      <c r="O13" s="122"/>
      <c r="P13" s="122"/>
      <c r="Q13" s="122"/>
      <c r="R13" s="122"/>
      <c r="S13" s="122"/>
      <c r="T13" s="122"/>
      <c r="U13" s="122"/>
      <c r="V13" s="122"/>
      <c r="W13" s="122"/>
      <c r="X13" s="122"/>
      <c r="Y13" s="122"/>
      <c r="Z13" s="122"/>
      <c r="AA13" s="122"/>
      <c r="AB13" s="122"/>
      <c r="AC13" s="122"/>
      <c r="AD13" s="122"/>
      <c r="AE13" s="121"/>
      <c r="AF13" s="120"/>
      <c r="AG13" s="122"/>
      <c r="AH13" s="122"/>
      <c r="AI13" s="122"/>
      <c r="AJ13" s="121"/>
      <c r="AK13" s="120"/>
      <c r="AL13" s="122"/>
      <c r="AM13" s="122"/>
      <c r="AN13" s="122"/>
      <c r="AO13" s="122"/>
      <c r="AP13" s="122"/>
      <c r="AQ13" s="122"/>
      <c r="AR13" s="122"/>
      <c r="AS13" s="122"/>
      <c r="AT13" s="122"/>
      <c r="AU13" s="122"/>
      <c r="AV13" s="122"/>
      <c r="AW13" s="122"/>
      <c r="AX13" s="122"/>
      <c r="AY13" s="122"/>
      <c r="AZ13" s="122"/>
      <c r="BA13" s="122"/>
      <c r="BB13" s="122"/>
      <c r="BC13" s="122"/>
      <c r="BD13" s="122"/>
      <c r="BE13" s="121"/>
      <c r="BF13" s="120"/>
      <c r="BG13" s="122"/>
      <c r="BH13" s="122"/>
      <c r="BI13" s="122"/>
      <c r="BJ13" s="121"/>
      <c r="BK13" s="37"/>
    </row>
    <row r="14" spans="1:63" ht="15" customHeight="1">
      <c r="A14" s="36"/>
      <c r="B14" s="120">
        <v>7</v>
      </c>
      <c r="C14" s="121"/>
      <c r="D14" s="120"/>
      <c r="E14" s="122"/>
      <c r="F14" s="122"/>
      <c r="G14" s="122"/>
      <c r="H14" s="122"/>
      <c r="I14" s="122"/>
      <c r="J14" s="121"/>
      <c r="K14" s="123"/>
      <c r="L14" s="122"/>
      <c r="M14" s="122"/>
      <c r="N14" s="122"/>
      <c r="O14" s="122"/>
      <c r="P14" s="122"/>
      <c r="Q14" s="122"/>
      <c r="R14" s="122"/>
      <c r="S14" s="122"/>
      <c r="T14" s="122"/>
      <c r="U14" s="122"/>
      <c r="V14" s="122"/>
      <c r="W14" s="122"/>
      <c r="X14" s="122"/>
      <c r="Y14" s="122"/>
      <c r="Z14" s="122"/>
      <c r="AA14" s="122"/>
      <c r="AB14" s="122"/>
      <c r="AC14" s="122"/>
      <c r="AD14" s="122"/>
      <c r="AE14" s="121"/>
      <c r="AF14" s="120"/>
      <c r="AG14" s="122"/>
      <c r="AH14" s="122"/>
      <c r="AI14" s="122"/>
      <c r="AJ14" s="121"/>
      <c r="AK14" s="123"/>
      <c r="AL14" s="122"/>
      <c r="AM14" s="122"/>
      <c r="AN14" s="122"/>
      <c r="AO14" s="122"/>
      <c r="AP14" s="122"/>
      <c r="AQ14" s="122"/>
      <c r="AR14" s="122"/>
      <c r="AS14" s="122"/>
      <c r="AT14" s="122"/>
      <c r="AU14" s="122"/>
      <c r="AV14" s="122"/>
      <c r="AW14" s="122"/>
      <c r="AX14" s="122"/>
      <c r="AY14" s="122"/>
      <c r="AZ14" s="122"/>
      <c r="BA14" s="122"/>
      <c r="BB14" s="122"/>
      <c r="BC14" s="122"/>
      <c r="BD14" s="122"/>
      <c r="BE14" s="121"/>
      <c r="BF14" s="120"/>
      <c r="BG14" s="122"/>
      <c r="BH14" s="122"/>
      <c r="BI14" s="122"/>
      <c r="BJ14" s="121"/>
      <c r="BK14" s="37"/>
    </row>
    <row r="15" spans="1:63" ht="15" customHeight="1">
      <c r="A15" s="36"/>
      <c r="B15" s="120">
        <v>8</v>
      </c>
      <c r="C15" s="121"/>
      <c r="D15" s="120"/>
      <c r="E15" s="122"/>
      <c r="F15" s="122"/>
      <c r="G15" s="122"/>
      <c r="H15" s="122"/>
      <c r="I15" s="122"/>
      <c r="J15" s="121"/>
      <c r="K15" s="123"/>
      <c r="L15" s="122"/>
      <c r="M15" s="122"/>
      <c r="N15" s="122"/>
      <c r="O15" s="122"/>
      <c r="P15" s="122"/>
      <c r="Q15" s="122"/>
      <c r="R15" s="122"/>
      <c r="S15" s="122"/>
      <c r="T15" s="122"/>
      <c r="U15" s="122"/>
      <c r="V15" s="122"/>
      <c r="W15" s="122"/>
      <c r="X15" s="122"/>
      <c r="Y15" s="122"/>
      <c r="Z15" s="122"/>
      <c r="AA15" s="122"/>
      <c r="AB15" s="122"/>
      <c r="AC15" s="122"/>
      <c r="AD15" s="122"/>
      <c r="AE15" s="121"/>
      <c r="AF15" s="120"/>
      <c r="AG15" s="122"/>
      <c r="AH15" s="122"/>
      <c r="AI15" s="122"/>
      <c r="AJ15" s="121"/>
      <c r="AK15" s="123"/>
      <c r="AL15" s="122"/>
      <c r="AM15" s="122"/>
      <c r="AN15" s="122"/>
      <c r="AO15" s="122"/>
      <c r="AP15" s="122"/>
      <c r="AQ15" s="122"/>
      <c r="AR15" s="122"/>
      <c r="AS15" s="122"/>
      <c r="AT15" s="122"/>
      <c r="AU15" s="122"/>
      <c r="AV15" s="122"/>
      <c r="AW15" s="122"/>
      <c r="AX15" s="122"/>
      <c r="AY15" s="122"/>
      <c r="AZ15" s="122"/>
      <c r="BA15" s="122"/>
      <c r="BB15" s="122"/>
      <c r="BC15" s="122"/>
      <c r="BD15" s="122"/>
      <c r="BE15" s="121"/>
      <c r="BF15" s="120"/>
      <c r="BG15" s="122"/>
      <c r="BH15" s="122"/>
      <c r="BI15" s="122"/>
      <c r="BJ15" s="121"/>
      <c r="BK15" s="37"/>
    </row>
    <row r="16" spans="1:63" ht="15" customHeight="1">
      <c r="A16" s="36"/>
      <c r="B16" s="120">
        <v>9</v>
      </c>
      <c r="C16" s="121"/>
      <c r="D16" s="120"/>
      <c r="E16" s="122"/>
      <c r="F16" s="122"/>
      <c r="G16" s="122"/>
      <c r="H16" s="122"/>
      <c r="I16" s="122"/>
      <c r="J16" s="121"/>
      <c r="K16" s="123"/>
      <c r="L16" s="122"/>
      <c r="M16" s="122"/>
      <c r="N16" s="122"/>
      <c r="O16" s="122"/>
      <c r="P16" s="122"/>
      <c r="Q16" s="122"/>
      <c r="R16" s="122"/>
      <c r="S16" s="122"/>
      <c r="T16" s="122"/>
      <c r="U16" s="122"/>
      <c r="V16" s="122"/>
      <c r="W16" s="122"/>
      <c r="X16" s="122"/>
      <c r="Y16" s="122"/>
      <c r="Z16" s="122"/>
      <c r="AA16" s="122"/>
      <c r="AB16" s="122"/>
      <c r="AC16" s="122"/>
      <c r="AD16" s="122"/>
      <c r="AE16" s="121"/>
      <c r="AF16" s="120"/>
      <c r="AG16" s="122"/>
      <c r="AH16" s="122"/>
      <c r="AI16" s="122"/>
      <c r="AJ16" s="121"/>
      <c r="AK16" s="120"/>
      <c r="AL16" s="122"/>
      <c r="AM16" s="122"/>
      <c r="AN16" s="122"/>
      <c r="AO16" s="122"/>
      <c r="AP16" s="122"/>
      <c r="AQ16" s="122"/>
      <c r="AR16" s="122"/>
      <c r="AS16" s="122"/>
      <c r="AT16" s="122"/>
      <c r="AU16" s="122"/>
      <c r="AV16" s="122"/>
      <c r="AW16" s="122"/>
      <c r="AX16" s="122"/>
      <c r="AY16" s="122"/>
      <c r="AZ16" s="122"/>
      <c r="BA16" s="122"/>
      <c r="BB16" s="122"/>
      <c r="BC16" s="122"/>
      <c r="BD16" s="122"/>
      <c r="BE16" s="121"/>
      <c r="BF16" s="120"/>
      <c r="BG16" s="122"/>
      <c r="BH16" s="122"/>
      <c r="BI16" s="122"/>
      <c r="BJ16" s="121"/>
      <c r="BK16" s="37"/>
    </row>
    <row r="17" spans="1:63" ht="15" customHeight="1">
      <c r="A17" s="36"/>
      <c r="B17" s="120">
        <v>10</v>
      </c>
      <c r="C17" s="121"/>
      <c r="D17" s="120"/>
      <c r="E17" s="122"/>
      <c r="F17" s="122"/>
      <c r="G17" s="122"/>
      <c r="H17" s="122"/>
      <c r="I17" s="122"/>
      <c r="J17" s="121"/>
      <c r="K17" s="123"/>
      <c r="L17" s="122"/>
      <c r="M17" s="122"/>
      <c r="N17" s="122"/>
      <c r="O17" s="122"/>
      <c r="P17" s="122"/>
      <c r="Q17" s="122"/>
      <c r="R17" s="122"/>
      <c r="S17" s="122"/>
      <c r="T17" s="122"/>
      <c r="U17" s="122"/>
      <c r="V17" s="122"/>
      <c r="W17" s="122"/>
      <c r="X17" s="122"/>
      <c r="Y17" s="122"/>
      <c r="Z17" s="122"/>
      <c r="AA17" s="122"/>
      <c r="AB17" s="122"/>
      <c r="AC17" s="122"/>
      <c r="AD17" s="122"/>
      <c r="AE17" s="121"/>
      <c r="AF17" s="120"/>
      <c r="AG17" s="122"/>
      <c r="AH17" s="122"/>
      <c r="AI17" s="122"/>
      <c r="AJ17" s="121"/>
      <c r="AK17" s="120"/>
      <c r="AL17" s="122"/>
      <c r="AM17" s="122"/>
      <c r="AN17" s="122"/>
      <c r="AO17" s="122"/>
      <c r="AP17" s="122"/>
      <c r="AQ17" s="122"/>
      <c r="AR17" s="122"/>
      <c r="AS17" s="122"/>
      <c r="AT17" s="122"/>
      <c r="AU17" s="122"/>
      <c r="AV17" s="122"/>
      <c r="AW17" s="122"/>
      <c r="AX17" s="122"/>
      <c r="AY17" s="122"/>
      <c r="AZ17" s="122"/>
      <c r="BA17" s="122"/>
      <c r="BB17" s="122"/>
      <c r="BC17" s="122"/>
      <c r="BD17" s="122"/>
      <c r="BE17" s="121"/>
      <c r="BF17" s="120"/>
      <c r="BG17" s="122"/>
      <c r="BH17" s="122"/>
      <c r="BI17" s="122"/>
      <c r="BJ17" s="121"/>
      <c r="BK17" s="37"/>
    </row>
    <row r="18" spans="1:63" ht="15" customHeight="1">
      <c r="A18" s="36"/>
      <c r="B18" s="120">
        <v>11</v>
      </c>
      <c r="C18" s="121"/>
      <c r="D18" s="120"/>
      <c r="E18" s="122"/>
      <c r="F18" s="122"/>
      <c r="G18" s="122"/>
      <c r="H18" s="122"/>
      <c r="I18" s="122"/>
      <c r="J18" s="121"/>
      <c r="K18" s="125"/>
      <c r="L18" s="122"/>
      <c r="M18" s="122"/>
      <c r="N18" s="122"/>
      <c r="O18" s="122"/>
      <c r="P18" s="122"/>
      <c r="Q18" s="122"/>
      <c r="R18" s="122"/>
      <c r="S18" s="122"/>
      <c r="T18" s="122"/>
      <c r="U18" s="122"/>
      <c r="V18" s="122"/>
      <c r="W18" s="122"/>
      <c r="X18" s="122"/>
      <c r="Y18" s="122"/>
      <c r="Z18" s="122"/>
      <c r="AA18" s="122"/>
      <c r="AB18" s="122"/>
      <c r="AC18" s="122"/>
      <c r="AD18" s="122"/>
      <c r="AE18" s="121"/>
      <c r="AF18" s="120"/>
      <c r="AG18" s="122"/>
      <c r="AH18" s="122"/>
      <c r="AI18" s="122"/>
      <c r="AJ18" s="121"/>
      <c r="AK18" s="126"/>
      <c r="AL18" s="127"/>
      <c r="AM18" s="127"/>
      <c r="AN18" s="127"/>
      <c r="AO18" s="127"/>
      <c r="AP18" s="127"/>
      <c r="AQ18" s="127"/>
      <c r="AR18" s="127"/>
      <c r="AS18" s="127"/>
      <c r="AT18" s="127"/>
      <c r="AU18" s="127"/>
      <c r="AV18" s="127"/>
      <c r="AW18" s="127"/>
      <c r="AX18" s="127"/>
      <c r="AY18" s="127"/>
      <c r="AZ18" s="127"/>
      <c r="BA18" s="127"/>
      <c r="BB18" s="127"/>
      <c r="BC18" s="127"/>
      <c r="BD18" s="127"/>
      <c r="BE18" s="128"/>
      <c r="BF18" s="120"/>
      <c r="BG18" s="122"/>
      <c r="BH18" s="122"/>
      <c r="BI18" s="122"/>
      <c r="BJ18" s="121"/>
      <c r="BK18" s="37"/>
    </row>
    <row r="19" spans="1:63" ht="15" customHeight="1">
      <c r="A19" s="36"/>
      <c r="B19" s="120">
        <v>12</v>
      </c>
      <c r="C19" s="121"/>
      <c r="D19" s="123"/>
      <c r="E19" s="122"/>
      <c r="F19" s="122"/>
      <c r="G19" s="122"/>
      <c r="H19" s="122"/>
      <c r="I19" s="122"/>
      <c r="J19" s="121"/>
      <c r="K19" s="123"/>
      <c r="L19" s="129"/>
      <c r="M19" s="129"/>
      <c r="N19" s="129"/>
      <c r="O19" s="129"/>
      <c r="P19" s="129"/>
      <c r="Q19" s="129"/>
      <c r="R19" s="129"/>
      <c r="S19" s="129"/>
      <c r="T19" s="129"/>
      <c r="U19" s="129"/>
      <c r="V19" s="129"/>
      <c r="W19" s="129"/>
      <c r="X19" s="129"/>
      <c r="Y19" s="129"/>
      <c r="Z19" s="129"/>
      <c r="AA19" s="129"/>
      <c r="AB19" s="129"/>
      <c r="AC19" s="129"/>
      <c r="AD19" s="129"/>
      <c r="AE19" s="130"/>
      <c r="AF19" s="120"/>
      <c r="AG19" s="122"/>
      <c r="AH19" s="122"/>
      <c r="AI19" s="122"/>
      <c r="AJ19" s="121"/>
      <c r="AK19" s="120"/>
      <c r="AL19" s="122"/>
      <c r="AM19" s="122"/>
      <c r="AN19" s="122"/>
      <c r="AO19" s="122"/>
      <c r="AP19" s="122"/>
      <c r="AQ19" s="122"/>
      <c r="AR19" s="122"/>
      <c r="AS19" s="122"/>
      <c r="AT19" s="122"/>
      <c r="AU19" s="122"/>
      <c r="AV19" s="122"/>
      <c r="AW19" s="122"/>
      <c r="AX19" s="122"/>
      <c r="AY19" s="122"/>
      <c r="AZ19" s="122"/>
      <c r="BA19" s="122"/>
      <c r="BB19" s="122"/>
      <c r="BC19" s="122"/>
      <c r="BD19" s="122"/>
      <c r="BE19" s="121"/>
      <c r="BF19" s="120"/>
      <c r="BG19" s="122"/>
      <c r="BH19" s="122"/>
      <c r="BI19" s="122"/>
      <c r="BJ19" s="121"/>
      <c r="BK19" s="37"/>
    </row>
    <row r="20" spans="1:63" ht="15" customHeight="1">
      <c r="A20" s="36"/>
      <c r="B20" s="120"/>
      <c r="C20" s="121"/>
      <c r="D20" s="120"/>
      <c r="E20" s="122"/>
      <c r="F20" s="122"/>
      <c r="G20" s="122"/>
      <c r="H20" s="122"/>
      <c r="I20" s="122"/>
      <c r="J20" s="121"/>
      <c r="K20" s="120"/>
      <c r="L20" s="122"/>
      <c r="M20" s="122"/>
      <c r="N20" s="122"/>
      <c r="O20" s="122"/>
      <c r="P20" s="122"/>
      <c r="Q20" s="122"/>
      <c r="R20" s="122"/>
      <c r="S20" s="122"/>
      <c r="T20" s="122"/>
      <c r="U20" s="122"/>
      <c r="V20" s="122"/>
      <c r="W20" s="122"/>
      <c r="X20" s="122"/>
      <c r="Y20" s="122"/>
      <c r="Z20" s="122"/>
      <c r="AA20" s="122"/>
      <c r="AB20" s="122"/>
      <c r="AC20" s="122"/>
      <c r="AD20" s="122"/>
      <c r="AE20" s="121"/>
      <c r="AF20" s="120"/>
      <c r="AG20" s="122"/>
      <c r="AH20" s="122"/>
      <c r="AI20" s="122"/>
      <c r="AJ20" s="121"/>
      <c r="AK20" s="120"/>
      <c r="AL20" s="122"/>
      <c r="AM20" s="122"/>
      <c r="AN20" s="122"/>
      <c r="AO20" s="122"/>
      <c r="AP20" s="122"/>
      <c r="AQ20" s="122"/>
      <c r="AR20" s="122"/>
      <c r="AS20" s="122"/>
      <c r="AT20" s="122"/>
      <c r="AU20" s="122"/>
      <c r="AV20" s="122"/>
      <c r="AW20" s="122"/>
      <c r="AX20" s="122"/>
      <c r="AY20" s="122"/>
      <c r="AZ20" s="122"/>
      <c r="BA20" s="122"/>
      <c r="BB20" s="122"/>
      <c r="BC20" s="122"/>
      <c r="BD20" s="122"/>
      <c r="BE20" s="121"/>
      <c r="BF20" s="120"/>
      <c r="BG20" s="122"/>
      <c r="BH20" s="122"/>
      <c r="BI20" s="122"/>
      <c r="BJ20" s="121"/>
      <c r="BK20" s="37"/>
    </row>
    <row r="21" spans="1:63" ht="15" customHeight="1">
      <c r="A21" s="36"/>
      <c r="B21" s="120"/>
      <c r="C21" s="121"/>
      <c r="D21" s="120"/>
      <c r="E21" s="122"/>
      <c r="F21" s="122"/>
      <c r="G21" s="122"/>
      <c r="H21" s="122"/>
      <c r="I21" s="122"/>
      <c r="J21" s="121"/>
      <c r="K21" s="120"/>
      <c r="L21" s="122"/>
      <c r="M21" s="122"/>
      <c r="N21" s="122"/>
      <c r="O21" s="122"/>
      <c r="P21" s="122"/>
      <c r="Q21" s="122"/>
      <c r="R21" s="122"/>
      <c r="S21" s="122"/>
      <c r="T21" s="122"/>
      <c r="U21" s="122"/>
      <c r="V21" s="122"/>
      <c r="W21" s="122"/>
      <c r="X21" s="122"/>
      <c r="Y21" s="122"/>
      <c r="Z21" s="122"/>
      <c r="AA21" s="122"/>
      <c r="AB21" s="122"/>
      <c r="AC21" s="122"/>
      <c r="AD21" s="122"/>
      <c r="AE21" s="121"/>
      <c r="AF21" s="120"/>
      <c r="AG21" s="122"/>
      <c r="AH21" s="122"/>
      <c r="AI21" s="122"/>
      <c r="AJ21" s="121"/>
      <c r="AK21" s="120"/>
      <c r="AL21" s="122"/>
      <c r="AM21" s="122"/>
      <c r="AN21" s="122"/>
      <c r="AO21" s="122"/>
      <c r="AP21" s="122"/>
      <c r="AQ21" s="122"/>
      <c r="AR21" s="122"/>
      <c r="AS21" s="122"/>
      <c r="AT21" s="122"/>
      <c r="AU21" s="122"/>
      <c r="AV21" s="122"/>
      <c r="AW21" s="122"/>
      <c r="AX21" s="122"/>
      <c r="AY21" s="122"/>
      <c r="AZ21" s="122"/>
      <c r="BA21" s="122"/>
      <c r="BB21" s="122"/>
      <c r="BC21" s="122"/>
      <c r="BD21" s="122"/>
      <c r="BE21" s="121"/>
      <c r="BF21" s="120"/>
      <c r="BG21" s="122"/>
      <c r="BH21" s="122"/>
      <c r="BI21" s="122"/>
      <c r="BJ21" s="121"/>
      <c r="BK21" s="37"/>
    </row>
    <row r="22" spans="1:63" ht="15" customHeight="1">
      <c r="A22" s="36"/>
      <c r="B22" s="120"/>
      <c r="C22" s="121"/>
      <c r="D22" s="120"/>
      <c r="E22" s="122"/>
      <c r="F22" s="122"/>
      <c r="G22" s="122"/>
      <c r="H22" s="122"/>
      <c r="I22" s="122"/>
      <c r="J22" s="121"/>
      <c r="K22" s="120"/>
      <c r="L22" s="122"/>
      <c r="M22" s="122"/>
      <c r="N22" s="122"/>
      <c r="O22" s="122"/>
      <c r="P22" s="122"/>
      <c r="Q22" s="122"/>
      <c r="R22" s="122"/>
      <c r="S22" s="122"/>
      <c r="T22" s="122"/>
      <c r="U22" s="122"/>
      <c r="V22" s="122"/>
      <c r="W22" s="122"/>
      <c r="X22" s="122"/>
      <c r="Y22" s="122"/>
      <c r="Z22" s="122"/>
      <c r="AA22" s="122"/>
      <c r="AB22" s="122"/>
      <c r="AC22" s="122"/>
      <c r="AD22" s="122"/>
      <c r="AE22" s="121"/>
      <c r="AF22" s="120"/>
      <c r="AG22" s="122"/>
      <c r="AH22" s="122"/>
      <c r="AI22" s="122"/>
      <c r="AJ22" s="121"/>
      <c r="AK22" s="120"/>
      <c r="AL22" s="122"/>
      <c r="AM22" s="122"/>
      <c r="AN22" s="122"/>
      <c r="AO22" s="122"/>
      <c r="AP22" s="122"/>
      <c r="AQ22" s="122"/>
      <c r="AR22" s="122"/>
      <c r="AS22" s="122"/>
      <c r="AT22" s="122"/>
      <c r="AU22" s="122"/>
      <c r="AV22" s="122"/>
      <c r="AW22" s="122"/>
      <c r="AX22" s="122"/>
      <c r="AY22" s="122"/>
      <c r="AZ22" s="122"/>
      <c r="BA22" s="122"/>
      <c r="BB22" s="122"/>
      <c r="BC22" s="122"/>
      <c r="BD22" s="122"/>
      <c r="BE22" s="121"/>
      <c r="BF22" s="120"/>
      <c r="BG22" s="122"/>
      <c r="BH22" s="122"/>
      <c r="BI22" s="122"/>
      <c r="BJ22" s="121"/>
      <c r="BK22" s="37"/>
    </row>
    <row r="23" spans="1:63" ht="15" customHeight="1">
      <c r="A23" s="36"/>
      <c r="B23" s="120"/>
      <c r="C23" s="121"/>
      <c r="D23" s="120"/>
      <c r="E23" s="122"/>
      <c r="F23" s="122"/>
      <c r="G23" s="122"/>
      <c r="H23" s="122"/>
      <c r="I23" s="122"/>
      <c r="J23" s="121"/>
      <c r="K23" s="120"/>
      <c r="L23" s="122"/>
      <c r="M23" s="122"/>
      <c r="N23" s="122"/>
      <c r="O23" s="122"/>
      <c r="P23" s="122"/>
      <c r="Q23" s="122"/>
      <c r="R23" s="122"/>
      <c r="S23" s="122"/>
      <c r="T23" s="122"/>
      <c r="U23" s="122"/>
      <c r="V23" s="122"/>
      <c r="W23" s="122"/>
      <c r="X23" s="122"/>
      <c r="Y23" s="122"/>
      <c r="Z23" s="122"/>
      <c r="AA23" s="122"/>
      <c r="AB23" s="122"/>
      <c r="AC23" s="122"/>
      <c r="AD23" s="122"/>
      <c r="AE23" s="121"/>
      <c r="AF23" s="120"/>
      <c r="AG23" s="122"/>
      <c r="AH23" s="122"/>
      <c r="AI23" s="122"/>
      <c r="AJ23" s="121"/>
      <c r="AK23" s="120"/>
      <c r="AL23" s="122"/>
      <c r="AM23" s="122"/>
      <c r="AN23" s="122"/>
      <c r="AO23" s="122"/>
      <c r="AP23" s="122"/>
      <c r="AQ23" s="122"/>
      <c r="AR23" s="122"/>
      <c r="AS23" s="122"/>
      <c r="AT23" s="122"/>
      <c r="AU23" s="122"/>
      <c r="AV23" s="122"/>
      <c r="AW23" s="122"/>
      <c r="AX23" s="122"/>
      <c r="AY23" s="122"/>
      <c r="AZ23" s="122"/>
      <c r="BA23" s="122"/>
      <c r="BB23" s="122"/>
      <c r="BC23" s="122"/>
      <c r="BD23" s="122"/>
      <c r="BE23" s="121"/>
      <c r="BF23" s="120"/>
      <c r="BG23" s="122"/>
      <c r="BH23" s="122"/>
      <c r="BI23" s="122"/>
      <c r="BJ23" s="121"/>
      <c r="BK23" s="37"/>
    </row>
    <row r="24" spans="1:63" ht="15" customHeight="1">
      <c r="A24" s="36"/>
      <c r="B24" s="120"/>
      <c r="C24" s="121"/>
      <c r="D24" s="120"/>
      <c r="E24" s="122"/>
      <c r="F24" s="122"/>
      <c r="G24" s="122"/>
      <c r="H24" s="122"/>
      <c r="I24" s="122"/>
      <c r="J24" s="121"/>
      <c r="K24" s="120"/>
      <c r="L24" s="122"/>
      <c r="M24" s="122"/>
      <c r="N24" s="122"/>
      <c r="O24" s="122"/>
      <c r="P24" s="122"/>
      <c r="Q24" s="122"/>
      <c r="R24" s="122"/>
      <c r="S24" s="122"/>
      <c r="T24" s="122"/>
      <c r="U24" s="122"/>
      <c r="V24" s="122"/>
      <c r="W24" s="122"/>
      <c r="X24" s="122"/>
      <c r="Y24" s="122"/>
      <c r="Z24" s="122"/>
      <c r="AA24" s="122"/>
      <c r="AB24" s="122"/>
      <c r="AC24" s="122"/>
      <c r="AD24" s="122"/>
      <c r="AE24" s="121"/>
      <c r="AF24" s="120"/>
      <c r="AG24" s="122"/>
      <c r="AH24" s="122"/>
      <c r="AI24" s="122"/>
      <c r="AJ24" s="121"/>
      <c r="AK24" s="120"/>
      <c r="AL24" s="122"/>
      <c r="AM24" s="122"/>
      <c r="AN24" s="122"/>
      <c r="AO24" s="122"/>
      <c r="AP24" s="122"/>
      <c r="AQ24" s="122"/>
      <c r="AR24" s="122"/>
      <c r="AS24" s="122"/>
      <c r="AT24" s="122"/>
      <c r="AU24" s="122"/>
      <c r="AV24" s="122"/>
      <c r="AW24" s="122"/>
      <c r="AX24" s="122"/>
      <c r="AY24" s="122"/>
      <c r="AZ24" s="122"/>
      <c r="BA24" s="122"/>
      <c r="BB24" s="122"/>
      <c r="BC24" s="122"/>
      <c r="BD24" s="122"/>
      <c r="BE24" s="121"/>
      <c r="BF24" s="120"/>
      <c r="BG24" s="122"/>
      <c r="BH24" s="122"/>
      <c r="BI24" s="122"/>
      <c r="BJ24" s="121"/>
      <c r="BK24" s="37"/>
    </row>
    <row r="25" spans="1:63" ht="15" customHeight="1">
      <c r="A25" s="36"/>
      <c r="B25" s="120"/>
      <c r="C25" s="121"/>
      <c r="D25" s="120"/>
      <c r="E25" s="122"/>
      <c r="F25" s="122"/>
      <c r="G25" s="122"/>
      <c r="H25" s="122"/>
      <c r="I25" s="122"/>
      <c r="J25" s="121"/>
      <c r="K25" s="120"/>
      <c r="L25" s="122"/>
      <c r="M25" s="122"/>
      <c r="N25" s="122"/>
      <c r="O25" s="122"/>
      <c r="P25" s="122"/>
      <c r="Q25" s="122"/>
      <c r="R25" s="122"/>
      <c r="S25" s="122"/>
      <c r="T25" s="122"/>
      <c r="U25" s="122"/>
      <c r="V25" s="122"/>
      <c r="W25" s="122"/>
      <c r="X25" s="122"/>
      <c r="Y25" s="122"/>
      <c r="Z25" s="122"/>
      <c r="AA25" s="122"/>
      <c r="AB25" s="122"/>
      <c r="AC25" s="122"/>
      <c r="AD25" s="122"/>
      <c r="AE25" s="121"/>
      <c r="AF25" s="120"/>
      <c r="AG25" s="122"/>
      <c r="AH25" s="122"/>
      <c r="AI25" s="122"/>
      <c r="AJ25" s="121"/>
      <c r="AK25" s="120"/>
      <c r="AL25" s="122"/>
      <c r="AM25" s="122"/>
      <c r="AN25" s="122"/>
      <c r="AO25" s="122"/>
      <c r="AP25" s="122"/>
      <c r="AQ25" s="122"/>
      <c r="AR25" s="122"/>
      <c r="AS25" s="122"/>
      <c r="AT25" s="122"/>
      <c r="AU25" s="122"/>
      <c r="AV25" s="122"/>
      <c r="AW25" s="122"/>
      <c r="AX25" s="122"/>
      <c r="AY25" s="122"/>
      <c r="AZ25" s="122"/>
      <c r="BA25" s="122"/>
      <c r="BB25" s="122"/>
      <c r="BC25" s="122"/>
      <c r="BD25" s="122"/>
      <c r="BE25" s="121"/>
      <c r="BF25" s="120"/>
      <c r="BG25" s="122"/>
      <c r="BH25" s="122"/>
      <c r="BI25" s="122"/>
      <c r="BJ25" s="121"/>
      <c r="BK25" s="37"/>
    </row>
    <row r="26" spans="1:63" ht="15" customHeight="1">
      <c r="A26" s="36"/>
      <c r="B26" s="120"/>
      <c r="C26" s="121"/>
      <c r="D26" s="120"/>
      <c r="E26" s="122"/>
      <c r="F26" s="122"/>
      <c r="G26" s="122"/>
      <c r="H26" s="122"/>
      <c r="I26" s="122"/>
      <c r="J26" s="121"/>
      <c r="K26" s="120"/>
      <c r="L26" s="122"/>
      <c r="M26" s="122"/>
      <c r="N26" s="122"/>
      <c r="O26" s="122"/>
      <c r="P26" s="122"/>
      <c r="Q26" s="122"/>
      <c r="R26" s="122"/>
      <c r="S26" s="122"/>
      <c r="T26" s="122"/>
      <c r="U26" s="122"/>
      <c r="V26" s="122"/>
      <c r="W26" s="122"/>
      <c r="X26" s="122"/>
      <c r="Y26" s="122"/>
      <c r="Z26" s="122"/>
      <c r="AA26" s="122"/>
      <c r="AB26" s="122"/>
      <c r="AC26" s="122"/>
      <c r="AD26" s="122"/>
      <c r="AE26" s="121"/>
      <c r="AF26" s="120"/>
      <c r="AG26" s="122"/>
      <c r="AH26" s="122"/>
      <c r="AI26" s="122"/>
      <c r="AJ26" s="121"/>
      <c r="AK26" s="120"/>
      <c r="AL26" s="122"/>
      <c r="AM26" s="122"/>
      <c r="AN26" s="122"/>
      <c r="AO26" s="122"/>
      <c r="AP26" s="122"/>
      <c r="AQ26" s="122"/>
      <c r="AR26" s="122"/>
      <c r="AS26" s="122"/>
      <c r="AT26" s="122"/>
      <c r="AU26" s="122"/>
      <c r="AV26" s="122"/>
      <c r="AW26" s="122"/>
      <c r="AX26" s="122"/>
      <c r="AY26" s="122"/>
      <c r="AZ26" s="122"/>
      <c r="BA26" s="122"/>
      <c r="BB26" s="122"/>
      <c r="BC26" s="122"/>
      <c r="BD26" s="122"/>
      <c r="BE26" s="121"/>
      <c r="BF26" s="120"/>
      <c r="BG26" s="122"/>
      <c r="BH26" s="122"/>
      <c r="BI26" s="122"/>
      <c r="BJ26" s="121"/>
      <c r="BK26" s="37"/>
    </row>
    <row r="27" spans="1:63" ht="15" customHeight="1">
      <c r="A27" s="36"/>
      <c r="B27" s="120"/>
      <c r="C27" s="121"/>
      <c r="D27" s="120"/>
      <c r="E27" s="122"/>
      <c r="F27" s="122"/>
      <c r="G27" s="122"/>
      <c r="H27" s="122"/>
      <c r="I27" s="122"/>
      <c r="J27" s="121"/>
      <c r="K27" s="120"/>
      <c r="L27" s="122"/>
      <c r="M27" s="122"/>
      <c r="N27" s="122"/>
      <c r="O27" s="122"/>
      <c r="P27" s="122"/>
      <c r="Q27" s="122"/>
      <c r="R27" s="122"/>
      <c r="S27" s="122"/>
      <c r="T27" s="122"/>
      <c r="U27" s="122"/>
      <c r="V27" s="122"/>
      <c r="W27" s="122"/>
      <c r="X27" s="122"/>
      <c r="Y27" s="122"/>
      <c r="Z27" s="122"/>
      <c r="AA27" s="122"/>
      <c r="AB27" s="122"/>
      <c r="AC27" s="122"/>
      <c r="AD27" s="122"/>
      <c r="AE27" s="121"/>
      <c r="AF27" s="120"/>
      <c r="AG27" s="122"/>
      <c r="AH27" s="122"/>
      <c r="AI27" s="122"/>
      <c r="AJ27" s="121"/>
      <c r="AK27" s="120"/>
      <c r="AL27" s="122"/>
      <c r="AM27" s="122"/>
      <c r="AN27" s="122"/>
      <c r="AO27" s="122"/>
      <c r="AP27" s="122"/>
      <c r="AQ27" s="122"/>
      <c r="AR27" s="122"/>
      <c r="AS27" s="122"/>
      <c r="AT27" s="122"/>
      <c r="AU27" s="122"/>
      <c r="AV27" s="122"/>
      <c r="AW27" s="122"/>
      <c r="AX27" s="122"/>
      <c r="AY27" s="122"/>
      <c r="AZ27" s="122"/>
      <c r="BA27" s="122"/>
      <c r="BB27" s="122"/>
      <c r="BC27" s="122"/>
      <c r="BD27" s="122"/>
      <c r="BE27" s="121"/>
      <c r="BF27" s="120"/>
      <c r="BG27" s="122"/>
      <c r="BH27" s="122"/>
      <c r="BI27" s="122"/>
      <c r="BJ27" s="121"/>
      <c r="BK27" s="37"/>
    </row>
    <row r="28" spans="1:63" ht="15" customHeight="1">
      <c r="A28" s="36"/>
      <c r="B28" s="120"/>
      <c r="C28" s="121"/>
      <c r="D28" s="120"/>
      <c r="E28" s="122"/>
      <c r="F28" s="122"/>
      <c r="G28" s="122"/>
      <c r="H28" s="122"/>
      <c r="I28" s="122"/>
      <c r="J28" s="121"/>
      <c r="K28" s="120"/>
      <c r="L28" s="122"/>
      <c r="M28" s="122"/>
      <c r="N28" s="122"/>
      <c r="O28" s="122"/>
      <c r="P28" s="122"/>
      <c r="Q28" s="122"/>
      <c r="R28" s="122"/>
      <c r="S28" s="122"/>
      <c r="T28" s="122"/>
      <c r="U28" s="122"/>
      <c r="V28" s="122"/>
      <c r="W28" s="122"/>
      <c r="X28" s="122"/>
      <c r="Y28" s="122"/>
      <c r="Z28" s="122"/>
      <c r="AA28" s="122"/>
      <c r="AB28" s="122"/>
      <c r="AC28" s="122"/>
      <c r="AD28" s="122"/>
      <c r="AE28" s="121"/>
      <c r="AF28" s="120"/>
      <c r="AG28" s="122"/>
      <c r="AH28" s="122"/>
      <c r="AI28" s="122"/>
      <c r="AJ28" s="121"/>
      <c r="AK28" s="120"/>
      <c r="AL28" s="122"/>
      <c r="AM28" s="122"/>
      <c r="AN28" s="122"/>
      <c r="AO28" s="122"/>
      <c r="AP28" s="122"/>
      <c r="AQ28" s="122"/>
      <c r="AR28" s="122"/>
      <c r="AS28" s="122"/>
      <c r="AT28" s="122"/>
      <c r="AU28" s="122"/>
      <c r="AV28" s="122"/>
      <c r="AW28" s="122"/>
      <c r="AX28" s="122"/>
      <c r="AY28" s="122"/>
      <c r="AZ28" s="122"/>
      <c r="BA28" s="122"/>
      <c r="BB28" s="122"/>
      <c r="BC28" s="122"/>
      <c r="BD28" s="122"/>
      <c r="BE28" s="121"/>
      <c r="BF28" s="120"/>
      <c r="BG28" s="122"/>
      <c r="BH28" s="122"/>
      <c r="BI28" s="122"/>
      <c r="BJ28" s="121"/>
      <c r="BK28" s="37"/>
    </row>
    <row r="29" spans="1:63" ht="15" customHeight="1">
      <c r="A29" s="36"/>
      <c r="B29" s="120"/>
      <c r="C29" s="121"/>
      <c r="D29" s="120"/>
      <c r="E29" s="122"/>
      <c r="F29" s="122"/>
      <c r="G29" s="122"/>
      <c r="H29" s="122"/>
      <c r="I29" s="122"/>
      <c r="J29" s="121"/>
      <c r="K29" s="120"/>
      <c r="L29" s="122"/>
      <c r="M29" s="122"/>
      <c r="N29" s="122"/>
      <c r="O29" s="122"/>
      <c r="P29" s="122"/>
      <c r="Q29" s="122"/>
      <c r="R29" s="122"/>
      <c r="S29" s="122"/>
      <c r="T29" s="122"/>
      <c r="U29" s="122"/>
      <c r="V29" s="122"/>
      <c r="W29" s="122"/>
      <c r="X29" s="122"/>
      <c r="Y29" s="122"/>
      <c r="Z29" s="122"/>
      <c r="AA29" s="122"/>
      <c r="AB29" s="122"/>
      <c r="AC29" s="122"/>
      <c r="AD29" s="122"/>
      <c r="AE29" s="121"/>
      <c r="AF29" s="120"/>
      <c r="AG29" s="122"/>
      <c r="AH29" s="122"/>
      <c r="AI29" s="122"/>
      <c r="AJ29" s="121"/>
      <c r="AK29" s="120"/>
      <c r="AL29" s="122"/>
      <c r="AM29" s="122"/>
      <c r="AN29" s="122"/>
      <c r="AO29" s="122"/>
      <c r="AP29" s="122"/>
      <c r="AQ29" s="122"/>
      <c r="AR29" s="122"/>
      <c r="AS29" s="122"/>
      <c r="AT29" s="122"/>
      <c r="AU29" s="122"/>
      <c r="AV29" s="122"/>
      <c r="AW29" s="122"/>
      <c r="AX29" s="122"/>
      <c r="AY29" s="122"/>
      <c r="AZ29" s="122"/>
      <c r="BA29" s="122"/>
      <c r="BB29" s="122"/>
      <c r="BC29" s="122"/>
      <c r="BD29" s="122"/>
      <c r="BE29" s="121"/>
      <c r="BF29" s="120"/>
      <c r="BG29" s="122"/>
      <c r="BH29" s="122"/>
      <c r="BI29" s="122"/>
      <c r="BJ29" s="121"/>
      <c r="BK29" s="37"/>
    </row>
    <row r="30" spans="1:63" ht="15" customHeight="1">
      <c r="A30" s="36"/>
      <c r="B30" s="120"/>
      <c r="C30" s="121"/>
      <c r="D30" s="120"/>
      <c r="E30" s="122"/>
      <c r="F30" s="122"/>
      <c r="G30" s="122"/>
      <c r="H30" s="122"/>
      <c r="I30" s="122"/>
      <c r="J30" s="121"/>
      <c r="K30" s="120"/>
      <c r="L30" s="122"/>
      <c r="M30" s="122"/>
      <c r="N30" s="122"/>
      <c r="O30" s="122"/>
      <c r="P30" s="122"/>
      <c r="Q30" s="122"/>
      <c r="R30" s="122"/>
      <c r="S30" s="122"/>
      <c r="T30" s="122"/>
      <c r="U30" s="122"/>
      <c r="V30" s="122"/>
      <c r="W30" s="122"/>
      <c r="X30" s="122"/>
      <c r="Y30" s="122"/>
      <c r="Z30" s="122"/>
      <c r="AA30" s="122"/>
      <c r="AB30" s="122"/>
      <c r="AC30" s="122"/>
      <c r="AD30" s="122"/>
      <c r="AE30" s="121"/>
      <c r="AF30" s="120"/>
      <c r="AG30" s="122"/>
      <c r="AH30" s="122"/>
      <c r="AI30" s="122"/>
      <c r="AJ30" s="121"/>
      <c r="AK30" s="120"/>
      <c r="AL30" s="122"/>
      <c r="AM30" s="122"/>
      <c r="AN30" s="122"/>
      <c r="AO30" s="122"/>
      <c r="AP30" s="122"/>
      <c r="AQ30" s="122"/>
      <c r="AR30" s="122"/>
      <c r="AS30" s="122"/>
      <c r="AT30" s="122"/>
      <c r="AU30" s="122"/>
      <c r="AV30" s="122"/>
      <c r="AW30" s="122"/>
      <c r="AX30" s="122"/>
      <c r="AY30" s="122"/>
      <c r="AZ30" s="122"/>
      <c r="BA30" s="122"/>
      <c r="BB30" s="122"/>
      <c r="BC30" s="122"/>
      <c r="BD30" s="122"/>
      <c r="BE30" s="121"/>
      <c r="BF30" s="120"/>
      <c r="BG30" s="122"/>
      <c r="BH30" s="122"/>
      <c r="BI30" s="122"/>
      <c r="BJ30" s="121"/>
      <c r="BK30" s="37"/>
    </row>
    <row r="31" spans="1:63" ht="15" customHeight="1">
      <c r="A31" s="36"/>
      <c r="B31" s="120"/>
      <c r="C31" s="121"/>
      <c r="D31" s="120"/>
      <c r="E31" s="122"/>
      <c r="F31" s="122"/>
      <c r="G31" s="122"/>
      <c r="H31" s="122"/>
      <c r="I31" s="122"/>
      <c r="J31" s="121"/>
      <c r="K31" s="120"/>
      <c r="L31" s="122"/>
      <c r="M31" s="122"/>
      <c r="N31" s="122"/>
      <c r="O31" s="122"/>
      <c r="P31" s="122"/>
      <c r="Q31" s="122"/>
      <c r="R31" s="122"/>
      <c r="S31" s="122"/>
      <c r="T31" s="122"/>
      <c r="U31" s="122"/>
      <c r="V31" s="122"/>
      <c r="W31" s="122"/>
      <c r="X31" s="122"/>
      <c r="Y31" s="122"/>
      <c r="Z31" s="122"/>
      <c r="AA31" s="122"/>
      <c r="AB31" s="122"/>
      <c r="AC31" s="122"/>
      <c r="AD31" s="122"/>
      <c r="AE31" s="121"/>
      <c r="AF31" s="120"/>
      <c r="AG31" s="122"/>
      <c r="AH31" s="122"/>
      <c r="AI31" s="122"/>
      <c r="AJ31" s="121"/>
      <c r="AK31" s="120"/>
      <c r="AL31" s="122"/>
      <c r="AM31" s="122"/>
      <c r="AN31" s="122"/>
      <c r="AO31" s="122"/>
      <c r="AP31" s="122"/>
      <c r="AQ31" s="122"/>
      <c r="AR31" s="122"/>
      <c r="AS31" s="122"/>
      <c r="AT31" s="122"/>
      <c r="AU31" s="122"/>
      <c r="AV31" s="122"/>
      <c r="AW31" s="122"/>
      <c r="AX31" s="122"/>
      <c r="AY31" s="122"/>
      <c r="AZ31" s="122"/>
      <c r="BA31" s="122"/>
      <c r="BB31" s="122"/>
      <c r="BC31" s="122"/>
      <c r="BD31" s="122"/>
      <c r="BE31" s="121"/>
      <c r="BF31" s="120"/>
      <c r="BG31" s="122"/>
      <c r="BH31" s="122"/>
      <c r="BI31" s="122"/>
      <c r="BJ31" s="121"/>
      <c r="BK31" s="37"/>
    </row>
    <row r="32" spans="1:63" ht="15" customHeight="1">
      <c r="A32" s="36"/>
      <c r="B32" s="120"/>
      <c r="C32" s="121"/>
      <c r="D32" s="120"/>
      <c r="E32" s="122"/>
      <c r="F32" s="122"/>
      <c r="G32" s="122"/>
      <c r="H32" s="122"/>
      <c r="I32" s="122"/>
      <c r="J32" s="121"/>
      <c r="K32" s="120"/>
      <c r="L32" s="122"/>
      <c r="M32" s="122"/>
      <c r="N32" s="122"/>
      <c r="O32" s="122"/>
      <c r="P32" s="122"/>
      <c r="Q32" s="122"/>
      <c r="R32" s="122"/>
      <c r="S32" s="122"/>
      <c r="T32" s="122"/>
      <c r="U32" s="122"/>
      <c r="V32" s="122"/>
      <c r="W32" s="122"/>
      <c r="X32" s="122"/>
      <c r="Y32" s="122"/>
      <c r="Z32" s="122"/>
      <c r="AA32" s="122"/>
      <c r="AB32" s="122"/>
      <c r="AC32" s="122"/>
      <c r="AD32" s="122"/>
      <c r="AE32" s="121"/>
      <c r="AF32" s="120"/>
      <c r="AG32" s="122"/>
      <c r="AH32" s="122"/>
      <c r="AI32" s="122"/>
      <c r="AJ32" s="121"/>
      <c r="AK32" s="120"/>
      <c r="AL32" s="122"/>
      <c r="AM32" s="122"/>
      <c r="AN32" s="122"/>
      <c r="AO32" s="122"/>
      <c r="AP32" s="122"/>
      <c r="AQ32" s="122"/>
      <c r="AR32" s="122"/>
      <c r="AS32" s="122"/>
      <c r="AT32" s="122"/>
      <c r="AU32" s="122"/>
      <c r="AV32" s="122"/>
      <c r="AW32" s="122"/>
      <c r="AX32" s="122"/>
      <c r="AY32" s="122"/>
      <c r="AZ32" s="122"/>
      <c r="BA32" s="122"/>
      <c r="BB32" s="122"/>
      <c r="BC32" s="122"/>
      <c r="BD32" s="122"/>
      <c r="BE32" s="121"/>
      <c r="BF32" s="120"/>
      <c r="BG32" s="122"/>
      <c r="BH32" s="122"/>
      <c r="BI32" s="122"/>
      <c r="BJ32" s="121"/>
      <c r="BK32" s="37"/>
    </row>
    <row r="33" spans="1:63" ht="15" customHeight="1">
      <c r="A33" s="36"/>
      <c r="B33" s="120"/>
      <c r="C33" s="121"/>
      <c r="D33" s="120"/>
      <c r="E33" s="122"/>
      <c r="F33" s="122"/>
      <c r="G33" s="122"/>
      <c r="H33" s="122"/>
      <c r="I33" s="122"/>
      <c r="J33" s="121"/>
      <c r="K33" s="120"/>
      <c r="L33" s="122"/>
      <c r="M33" s="122"/>
      <c r="N33" s="122"/>
      <c r="O33" s="122"/>
      <c r="P33" s="122"/>
      <c r="Q33" s="122"/>
      <c r="R33" s="122"/>
      <c r="S33" s="122"/>
      <c r="T33" s="122"/>
      <c r="U33" s="122"/>
      <c r="V33" s="122"/>
      <c r="W33" s="122"/>
      <c r="X33" s="122"/>
      <c r="Y33" s="122"/>
      <c r="Z33" s="122"/>
      <c r="AA33" s="122"/>
      <c r="AB33" s="122"/>
      <c r="AC33" s="122"/>
      <c r="AD33" s="122"/>
      <c r="AE33" s="121"/>
      <c r="AF33" s="120"/>
      <c r="AG33" s="122"/>
      <c r="AH33" s="122"/>
      <c r="AI33" s="122"/>
      <c r="AJ33" s="121"/>
      <c r="AK33" s="120"/>
      <c r="AL33" s="122"/>
      <c r="AM33" s="122"/>
      <c r="AN33" s="122"/>
      <c r="AO33" s="122"/>
      <c r="AP33" s="122"/>
      <c r="AQ33" s="122"/>
      <c r="AR33" s="122"/>
      <c r="AS33" s="122"/>
      <c r="AT33" s="122"/>
      <c r="AU33" s="122"/>
      <c r="AV33" s="122"/>
      <c r="AW33" s="122"/>
      <c r="AX33" s="122"/>
      <c r="AY33" s="122"/>
      <c r="AZ33" s="122"/>
      <c r="BA33" s="122"/>
      <c r="BB33" s="122"/>
      <c r="BC33" s="122"/>
      <c r="BD33" s="122"/>
      <c r="BE33" s="121"/>
      <c r="BF33" s="120"/>
      <c r="BG33" s="122"/>
      <c r="BH33" s="122"/>
      <c r="BI33" s="122"/>
      <c r="BJ33" s="121"/>
      <c r="BK33" s="37"/>
    </row>
    <row r="34" spans="1:63" ht="15" customHeight="1">
      <c r="A34" s="36"/>
      <c r="B34" s="120"/>
      <c r="C34" s="121"/>
      <c r="D34" s="120"/>
      <c r="E34" s="122"/>
      <c r="F34" s="122"/>
      <c r="G34" s="122"/>
      <c r="H34" s="122"/>
      <c r="I34" s="122"/>
      <c r="J34" s="121"/>
      <c r="K34" s="120"/>
      <c r="L34" s="122"/>
      <c r="M34" s="122"/>
      <c r="N34" s="122"/>
      <c r="O34" s="122"/>
      <c r="P34" s="122"/>
      <c r="Q34" s="122"/>
      <c r="R34" s="122"/>
      <c r="S34" s="122"/>
      <c r="T34" s="122"/>
      <c r="U34" s="122"/>
      <c r="V34" s="122"/>
      <c r="W34" s="122"/>
      <c r="X34" s="122"/>
      <c r="Y34" s="122"/>
      <c r="Z34" s="122"/>
      <c r="AA34" s="122"/>
      <c r="AB34" s="122"/>
      <c r="AC34" s="122"/>
      <c r="AD34" s="122"/>
      <c r="AE34" s="121"/>
      <c r="AF34" s="120"/>
      <c r="AG34" s="122"/>
      <c r="AH34" s="122"/>
      <c r="AI34" s="122"/>
      <c r="AJ34" s="121"/>
      <c r="AK34" s="120"/>
      <c r="AL34" s="122"/>
      <c r="AM34" s="122"/>
      <c r="AN34" s="122"/>
      <c r="AO34" s="122"/>
      <c r="AP34" s="122"/>
      <c r="AQ34" s="122"/>
      <c r="AR34" s="122"/>
      <c r="AS34" s="122"/>
      <c r="AT34" s="122"/>
      <c r="AU34" s="122"/>
      <c r="AV34" s="122"/>
      <c r="AW34" s="122"/>
      <c r="AX34" s="122"/>
      <c r="AY34" s="122"/>
      <c r="AZ34" s="122"/>
      <c r="BA34" s="122"/>
      <c r="BB34" s="122"/>
      <c r="BC34" s="122"/>
      <c r="BD34" s="122"/>
      <c r="BE34" s="121"/>
      <c r="BF34" s="120"/>
      <c r="BG34" s="122"/>
      <c r="BH34" s="122"/>
      <c r="BI34" s="122"/>
      <c r="BJ34" s="121"/>
      <c r="BK34" s="37"/>
    </row>
    <row r="35" spans="1:63" ht="15" customHeight="1">
      <c r="A35" s="36"/>
      <c r="B35" s="120"/>
      <c r="C35" s="121"/>
      <c r="D35" s="120"/>
      <c r="E35" s="122"/>
      <c r="F35" s="122"/>
      <c r="G35" s="122"/>
      <c r="H35" s="122"/>
      <c r="I35" s="122"/>
      <c r="J35" s="121"/>
      <c r="K35" s="120"/>
      <c r="L35" s="122"/>
      <c r="M35" s="122"/>
      <c r="N35" s="122"/>
      <c r="O35" s="122"/>
      <c r="P35" s="122"/>
      <c r="Q35" s="122"/>
      <c r="R35" s="122"/>
      <c r="S35" s="122"/>
      <c r="T35" s="122"/>
      <c r="U35" s="122"/>
      <c r="V35" s="122"/>
      <c r="W35" s="122"/>
      <c r="X35" s="122"/>
      <c r="Y35" s="122"/>
      <c r="Z35" s="122"/>
      <c r="AA35" s="122"/>
      <c r="AB35" s="122"/>
      <c r="AC35" s="122"/>
      <c r="AD35" s="122"/>
      <c r="AE35" s="121"/>
      <c r="AF35" s="120"/>
      <c r="AG35" s="122"/>
      <c r="AH35" s="122"/>
      <c r="AI35" s="122"/>
      <c r="AJ35" s="121"/>
      <c r="AK35" s="120"/>
      <c r="AL35" s="122"/>
      <c r="AM35" s="122"/>
      <c r="AN35" s="122"/>
      <c r="AO35" s="122"/>
      <c r="AP35" s="122"/>
      <c r="AQ35" s="122"/>
      <c r="AR35" s="122"/>
      <c r="AS35" s="122"/>
      <c r="AT35" s="122"/>
      <c r="AU35" s="122"/>
      <c r="AV35" s="122"/>
      <c r="AW35" s="122"/>
      <c r="AX35" s="122"/>
      <c r="AY35" s="122"/>
      <c r="AZ35" s="122"/>
      <c r="BA35" s="122"/>
      <c r="BB35" s="122"/>
      <c r="BC35" s="122"/>
      <c r="BD35" s="122"/>
      <c r="BE35" s="121"/>
      <c r="BF35" s="120"/>
      <c r="BG35" s="122"/>
      <c r="BH35" s="122"/>
      <c r="BI35" s="122"/>
      <c r="BJ35" s="121"/>
      <c r="BK35" s="37"/>
    </row>
    <row r="36" spans="1:63" ht="15" customHeight="1">
      <c r="A36" s="36"/>
      <c r="B36" s="120"/>
      <c r="C36" s="121"/>
      <c r="D36" s="120"/>
      <c r="E36" s="122"/>
      <c r="F36" s="122"/>
      <c r="G36" s="122"/>
      <c r="H36" s="122"/>
      <c r="I36" s="122"/>
      <c r="J36" s="121"/>
      <c r="K36" s="120"/>
      <c r="L36" s="122"/>
      <c r="M36" s="122"/>
      <c r="N36" s="122"/>
      <c r="O36" s="122"/>
      <c r="P36" s="122"/>
      <c r="Q36" s="122"/>
      <c r="R36" s="122"/>
      <c r="S36" s="122"/>
      <c r="T36" s="122"/>
      <c r="U36" s="122"/>
      <c r="V36" s="122"/>
      <c r="W36" s="122"/>
      <c r="X36" s="122"/>
      <c r="Y36" s="122"/>
      <c r="Z36" s="122"/>
      <c r="AA36" s="122"/>
      <c r="AB36" s="122"/>
      <c r="AC36" s="122"/>
      <c r="AD36" s="122"/>
      <c r="AE36" s="121"/>
      <c r="AF36" s="120"/>
      <c r="AG36" s="122"/>
      <c r="AH36" s="122"/>
      <c r="AI36" s="122"/>
      <c r="AJ36" s="121"/>
      <c r="AK36" s="120"/>
      <c r="AL36" s="122"/>
      <c r="AM36" s="122"/>
      <c r="AN36" s="122"/>
      <c r="AO36" s="122"/>
      <c r="AP36" s="122"/>
      <c r="AQ36" s="122"/>
      <c r="AR36" s="122"/>
      <c r="AS36" s="122"/>
      <c r="AT36" s="122"/>
      <c r="AU36" s="122"/>
      <c r="AV36" s="122"/>
      <c r="AW36" s="122"/>
      <c r="AX36" s="122"/>
      <c r="AY36" s="122"/>
      <c r="AZ36" s="122"/>
      <c r="BA36" s="122"/>
      <c r="BB36" s="122"/>
      <c r="BC36" s="122"/>
      <c r="BD36" s="122"/>
      <c r="BE36" s="121"/>
      <c r="BF36" s="120"/>
      <c r="BG36" s="122"/>
      <c r="BH36" s="122"/>
      <c r="BI36" s="122"/>
      <c r="BJ36" s="121"/>
      <c r="BK36" s="37"/>
    </row>
    <row r="37" spans="1:63" ht="15" customHeight="1">
      <c r="A37" s="36"/>
      <c r="B37" s="120"/>
      <c r="C37" s="121"/>
      <c r="D37" s="120"/>
      <c r="E37" s="122"/>
      <c r="F37" s="122"/>
      <c r="G37" s="122"/>
      <c r="H37" s="122"/>
      <c r="I37" s="122"/>
      <c r="J37" s="121"/>
      <c r="K37" s="120"/>
      <c r="L37" s="122"/>
      <c r="M37" s="122"/>
      <c r="N37" s="122"/>
      <c r="O37" s="122"/>
      <c r="P37" s="122"/>
      <c r="Q37" s="122"/>
      <c r="R37" s="122"/>
      <c r="S37" s="122"/>
      <c r="T37" s="122"/>
      <c r="U37" s="122"/>
      <c r="V37" s="122"/>
      <c r="W37" s="122"/>
      <c r="X37" s="122"/>
      <c r="Y37" s="122"/>
      <c r="Z37" s="122"/>
      <c r="AA37" s="122"/>
      <c r="AB37" s="122"/>
      <c r="AC37" s="122"/>
      <c r="AD37" s="122"/>
      <c r="AE37" s="121"/>
      <c r="AF37" s="120"/>
      <c r="AG37" s="122"/>
      <c r="AH37" s="122"/>
      <c r="AI37" s="122"/>
      <c r="AJ37" s="121"/>
      <c r="AK37" s="120"/>
      <c r="AL37" s="122"/>
      <c r="AM37" s="122"/>
      <c r="AN37" s="122"/>
      <c r="AO37" s="122"/>
      <c r="AP37" s="122"/>
      <c r="AQ37" s="122"/>
      <c r="AR37" s="122"/>
      <c r="AS37" s="122"/>
      <c r="AT37" s="122"/>
      <c r="AU37" s="122"/>
      <c r="AV37" s="122"/>
      <c r="AW37" s="122"/>
      <c r="AX37" s="122"/>
      <c r="AY37" s="122"/>
      <c r="AZ37" s="122"/>
      <c r="BA37" s="122"/>
      <c r="BB37" s="122"/>
      <c r="BC37" s="122"/>
      <c r="BD37" s="122"/>
      <c r="BE37" s="121"/>
      <c r="BF37" s="120"/>
      <c r="BG37" s="122"/>
      <c r="BH37" s="122"/>
      <c r="BI37" s="122"/>
      <c r="BJ37" s="121"/>
      <c r="BK37" s="37"/>
    </row>
    <row r="38" spans="1:63" ht="15" customHeight="1">
      <c r="A38" s="36"/>
      <c r="B38" s="120"/>
      <c r="C38" s="121"/>
      <c r="D38" s="120"/>
      <c r="E38" s="122"/>
      <c r="F38" s="122"/>
      <c r="G38" s="122"/>
      <c r="H38" s="122"/>
      <c r="I38" s="122"/>
      <c r="J38" s="121"/>
      <c r="K38" s="120"/>
      <c r="L38" s="122"/>
      <c r="M38" s="122"/>
      <c r="N38" s="122"/>
      <c r="O38" s="122"/>
      <c r="P38" s="122"/>
      <c r="Q38" s="122"/>
      <c r="R38" s="122"/>
      <c r="S38" s="122"/>
      <c r="T38" s="122"/>
      <c r="U38" s="122"/>
      <c r="V38" s="122"/>
      <c r="W38" s="122"/>
      <c r="X38" s="122"/>
      <c r="Y38" s="122"/>
      <c r="Z38" s="122"/>
      <c r="AA38" s="122"/>
      <c r="AB38" s="122"/>
      <c r="AC38" s="122"/>
      <c r="AD38" s="122"/>
      <c r="AE38" s="121"/>
      <c r="AF38" s="120"/>
      <c r="AG38" s="122"/>
      <c r="AH38" s="122"/>
      <c r="AI38" s="122"/>
      <c r="AJ38" s="121"/>
      <c r="AK38" s="120"/>
      <c r="AL38" s="122"/>
      <c r="AM38" s="122"/>
      <c r="AN38" s="122"/>
      <c r="AO38" s="122"/>
      <c r="AP38" s="122"/>
      <c r="AQ38" s="122"/>
      <c r="AR38" s="122"/>
      <c r="AS38" s="122"/>
      <c r="AT38" s="122"/>
      <c r="AU38" s="122"/>
      <c r="AV38" s="122"/>
      <c r="AW38" s="122"/>
      <c r="AX38" s="122"/>
      <c r="AY38" s="122"/>
      <c r="AZ38" s="122"/>
      <c r="BA38" s="122"/>
      <c r="BB38" s="122"/>
      <c r="BC38" s="122"/>
      <c r="BD38" s="122"/>
      <c r="BE38" s="121"/>
      <c r="BF38" s="120"/>
      <c r="BG38" s="122"/>
      <c r="BH38" s="122"/>
      <c r="BI38" s="122"/>
      <c r="BJ38" s="121"/>
      <c r="BK38" s="37"/>
    </row>
    <row r="39" spans="1:63" ht="15" customHeight="1">
      <c r="A39" s="36"/>
      <c r="B39" s="120"/>
      <c r="C39" s="121"/>
      <c r="D39" s="120"/>
      <c r="E39" s="122"/>
      <c r="F39" s="122"/>
      <c r="G39" s="122"/>
      <c r="H39" s="122"/>
      <c r="I39" s="122"/>
      <c r="J39" s="121"/>
      <c r="K39" s="120"/>
      <c r="L39" s="122"/>
      <c r="M39" s="122"/>
      <c r="N39" s="122"/>
      <c r="O39" s="122"/>
      <c r="P39" s="122"/>
      <c r="Q39" s="122"/>
      <c r="R39" s="122"/>
      <c r="S39" s="122"/>
      <c r="T39" s="122"/>
      <c r="U39" s="122"/>
      <c r="V39" s="122"/>
      <c r="W39" s="122"/>
      <c r="X39" s="122"/>
      <c r="Y39" s="122"/>
      <c r="Z39" s="122"/>
      <c r="AA39" s="122"/>
      <c r="AB39" s="122"/>
      <c r="AC39" s="122"/>
      <c r="AD39" s="122"/>
      <c r="AE39" s="121"/>
      <c r="AF39" s="120"/>
      <c r="AG39" s="122"/>
      <c r="AH39" s="122"/>
      <c r="AI39" s="122"/>
      <c r="AJ39" s="121"/>
      <c r="AK39" s="120"/>
      <c r="AL39" s="122"/>
      <c r="AM39" s="122"/>
      <c r="AN39" s="122"/>
      <c r="AO39" s="122"/>
      <c r="AP39" s="122"/>
      <c r="AQ39" s="122"/>
      <c r="AR39" s="122"/>
      <c r="AS39" s="122"/>
      <c r="AT39" s="122"/>
      <c r="AU39" s="122"/>
      <c r="AV39" s="122"/>
      <c r="AW39" s="122"/>
      <c r="AX39" s="122"/>
      <c r="AY39" s="122"/>
      <c r="AZ39" s="122"/>
      <c r="BA39" s="122"/>
      <c r="BB39" s="122"/>
      <c r="BC39" s="122"/>
      <c r="BD39" s="122"/>
      <c r="BE39" s="121"/>
      <c r="BF39" s="120"/>
      <c r="BG39" s="122"/>
      <c r="BH39" s="122"/>
      <c r="BI39" s="122"/>
      <c r="BJ39" s="121"/>
      <c r="BK39" s="37"/>
    </row>
    <row r="40" spans="1:63" ht="15" customHeight="1">
      <c r="A40" s="36"/>
      <c r="B40" s="120"/>
      <c r="C40" s="121"/>
      <c r="D40" s="120"/>
      <c r="E40" s="122"/>
      <c r="F40" s="122"/>
      <c r="G40" s="122"/>
      <c r="H40" s="122"/>
      <c r="I40" s="122"/>
      <c r="J40" s="121"/>
      <c r="K40" s="120"/>
      <c r="L40" s="122"/>
      <c r="M40" s="122"/>
      <c r="N40" s="122"/>
      <c r="O40" s="122"/>
      <c r="P40" s="122"/>
      <c r="Q40" s="122"/>
      <c r="R40" s="122"/>
      <c r="S40" s="122"/>
      <c r="T40" s="122"/>
      <c r="U40" s="122"/>
      <c r="V40" s="122"/>
      <c r="W40" s="122"/>
      <c r="X40" s="122"/>
      <c r="Y40" s="122"/>
      <c r="Z40" s="122"/>
      <c r="AA40" s="122"/>
      <c r="AB40" s="122"/>
      <c r="AC40" s="122"/>
      <c r="AD40" s="122"/>
      <c r="AE40" s="121"/>
      <c r="AF40" s="120"/>
      <c r="AG40" s="122"/>
      <c r="AH40" s="122"/>
      <c r="AI40" s="122"/>
      <c r="AJ40" s="121"/>
      <c r="AK40" s="120"/>
      <c r="AL40" s="122"/>
      <c r="AM40" s="122"/>
      <c r="AN40" s="122"/>
      <c r="AO40" s="122"/>
      <c r="AP40" s="122"/>
      <c r="AQ40" s="122"/>
      <c r="AR40" s="122"/>
      <c r="AS40" s="122"/>
      <c r="AT40" s="122"/>
      <c r="AU40" s="122"/>
      <c r="AV40" s="122"/>
      <c r="AW40" s="122"/>
      <c r="AX40" s="122"/>
      <c r="AY40" s="122"/>
      <c r="AZ40" s="122"/>
      <c r="BA40" s="122"/>
      <c r="BB40" s="122"/>
      <c r="BC40" s="122"/>
      <c r="BD40" s="122"/>
      <c r="BE40" s="121"/>
      <c r="BF40" s="120"/>
      <c r="BG40" s="122"/>
      <c r="BH40" s="122"/>
      <c r="BI40" s="122"/>
      <c r="BJ40" s="121"/>
      <c r="BK40" s="37"/>
    </row>
    <row r="41" spans="1:63" ht="15" customHeight="1">
      <c r="A41" s="36"/>
      <c r="B41" s="120"/>
      <c r="C41" s="121"/>
      <c r="D41" s="120"/>
      <c r="E41" s="122"/>
      <c r="F41" s="122"/>
      <c r="G41" s="122"/>
      <c r="H41" s="122"/>
      <c r="I41" s="122"/>
      <c r="J41" s="121"/>
      <c r="K41" s="120"/>
      <c r="L41" s="122"/>
      <c r="M41" s="122"/>
      <c r="N41" s="122"/>
      <c r="O41" s="122"/>
      <c r="P41" s="122"/>
      <c r="Q41" s="122"/>
      <c r="R41" s="122"/>
      <c r="S41" s="122"/>
      <c r="T41" s="122"/>
      <c r="U41" s="122"/>
      <c r="V41" s="122"/>
      <c r="W41" s="122"/>
      <c r="X41" s="122"/>
      <c r="Y41" s="122"/>
      <c r="Z41" s="122"/>
      <c r="AA41" s="122"/>
      <c r="AB41" s="122"/>
      <c r="AC41" s="122"/>
      <c r="AD41" s="122"/>
      <c r="AE41" s="121"/>
      <c r="AF41" s="120"/>
      <c r="AG41" s="122"/>
      <c r="AH41" s="122"/>
      <c r="AI41" s="122"/>
      <c r="AJ41" s="121"/>
      <c r="AK41" s="120"/>
      <c r="AL41" s="122"/>
      <c r="AM41" s="122"/>
      <c r="AN41" s="122"/>
      <c r="AO41" s="122"/>
      <c r="AP41" s="122"/>
      <c r="AQ41" s="122"/>
      <c r="AR41" s="122"/>
      <c r="AS41" s="122"/>
      <c r="AT41" s="122"/>
      <c r="AU41" s="122"/>
      <c r="AV41" s="122"/>
      <c r="AW41" s="122"/>
      <c r="AX41" s="122"/>
      <c r="AY41" s="122"/>
      <c r="AZ41" s="122"/>
      <c r="BA41" s="122"/>
      <c r="BB41" s="122"/>
      <c r="BC41" s="122"/>
      <c r="BD41" s="122"/>
      <c r="BE41" s="121"/>
      <c r="BF41" s="120"/>
      <c r="BG41" s="122"/>
      <c r="BH41" s="122"/>
      <c r="BI41" s="122"/>
      <c r="BJ41" s="121"/>
      <c r="BK41" s="37"/>
    </row>
    <row r="42" spans="1:63" ht="15" customHeight="1">
      <c r="A42" s="36"/>
      <c r="B42" s="120"/>
      <c r="C42" s="121"/>
      <c r="D42" s="120"/>
      <c r="E42" s="122"/>
      <c r="F42" s="122"/>
      <c r="G42" s="122"/>
      <c r="H42" s="122"/>
      <c r="I42" s="122"/>
      <c r="J42" s="121"/>
      <c r="K42" s="120"/>
      <c r="L42" s="122"/>
      <c r="M42" s="122"/>
      <c r="N42" s="122"/>
      <c r="O42" s="122"/>
      <c r="P42" s="122"/>
      <c r="Q42" s="122"/>
      <c r="R42" s="122"/>
      <c r="S42" s="122"/>
      <c r="T42" s="122"/>
      <c r="U42" s="122"/>
      <c r="V42" s="122"/>
      <c r="W42" s="122"/>
      <c r="X42" s="122"/>
      <c r="Y42" s="122"/>
      <c r="Z42" s="122"/>
      <c r="AA42" s="122"/>
      <c r="AB42" s="122"/>
      <c r="AC42" s="122"/>
      <c r="AD42" s="122"/>
      <c r="AE42" s="121"/>
      <c r="AF42" s="120"/>
      <c r="AG42" s="122"/>
      <c r="AH42" s="122"/>
      <c r="AI42" s="122"/>
      <c r="AJ42" s="121"/>
      <c r="AK42" s="120"/>
      <c r="AL42" s="122"/>
      <c r="AM42" s="122"/>
      <c r="AN42" s="122"/>
      <c r="AO42" s="122"/>
      <c r="AP42" s="122"/>
      <c r="AQ42" s="122"/>
      <c r="AR42" s="122"/>
      <c r="AS42" s="122"/>
      <c r="AT42" s="122"/>
      <c r="AU42" s="122"/>
      <c r="AV42" s="122"/>
      <c r="AW42" s="122"/>
      <c r="AX42" s="122"/>
      <c r="AY42" s="122"/>
      <c r="AZ42" s="122"/>
      <c r="BA42" s="122"/>
      <c r="BB42" s="122"/>
      <c r="BC42" s="122"/>
      <c r="BD42" s="122"/>
      <c r="BE42" s="121"/>
      <c r="BF42" s="120"/>
      <c r="BG42" s="122"/>
      <c r="BH42" s="122"/>
      <c r="BI42" s="122"/>
      <c r="BJ42" s="121"/>
      <c r="BK42" s="37"/>
    </row>
    <row r="43" spans="1:63" ht="15" customHeight="1">
      <c r="A43" s="36"/>
      <c r="B43" s="120"/>
      <c r="C43" s="121"/>
      <c r="D43" s="120"/>
      <c r="E43" s="122"/>
      <c r="F43" s="122"/>
      <c r="G43" s="122"/>
      <c r="H43" s="122"/>
      <c r="I43" s="122"/>
      <c r="J43" s="121"/>
      <c r="K43" s="120"/>
      <c r="L43" s="122"/>
      <c r="M43" s="122"/>
      <c r="N43" s="122"/>
      <c r="O43" s="122"/>
      <c r="P43" s="122"/>
      <c r="Q43" s="122"/>
      <c r="R43" s="122"/>
      <c r="S43" s="122"/>
      <c r="T43" s="122"/>
      <c r="U43" s="122"/>
      <c r="V43" s="122"/>
      <c r="W43" s="122"/>
      <c r="X43" s="122"/>
      <c r="Y43" s="122"/>
      <c r="Z43" s="122"/>
      <c r="AA43" s="122"/>
      <c r="AB43" s="122"/>
      <c r="AC43" s="122"/>
      <c r="AD43" s="122"/>
      <c r="AE43" s="121"/>
      <c r="AF43" s="120"/>
      <c r="AG43" s="122"/>
      <c r="AH43" s="122"/>
      <c r="AI43" s="122"/>
      <c r="AJ43" s="121"/>
      <c r="AK43" s="120"/>
      <c r="AL43" s="122"/>
      <c r="AM43" s="122"/>
      <c r="AN43" s="122"/>
      <c r="AO43" s="122"/>
      <c r="AP43" s="122"/>
      <c r="AQ43" s="122"/>
      <c r="AR43" s="122"/>
      <c r="AS43" s="122"/>
      <c r="AT43" s="122"/>
      <c r="AU43" s="122"/>
      <c r="AV43" s="122"/>
      <c r="AW43" s="122"/>
      <c r="AX43" s="122"/>
      <c r="AY43" s="122"/>
      <c r="AZ43" s="122"/>
      <c r="BA43" s="122"/>
      <c r="BB43" s="122"/>
      <c r="BC43" s="122"/>
      <c r="BD43" s="122"/>
      <c r="BE43" s="121"/>
      <c r="BF43" s="120"/>
      <c r="BG43" s="122"/>
      <c r="BH43" s="122"/>
      <c r="BI43" s="122"/>
      <c r="BJ43" s="121"/>
      <c r="BK43" s="37"/>
    </row>
    <row r="44" spans="1:63" ht="15" customHeight="1">
      <c r="A44" s="36"/>
      <c r="B44" s="120"/>
      <c r="C44" s="121"/>
      <c r="D44" s="120"/>
      <c r="E44" s="122"/>
      <c r="F44" s="122"/>
      <c r="G44" s="122"/>
      <c r="H44" s="122"/>
      <c r="I44" s="122"/>
      <c r="J44" s="121"/>
      <c r="K44" s="120"/>
      <c r="L44" s="122"/>
      <c r="M44" s="122"/>
      <c r="N44" s="122"/>
      <c r="O44" s="122"/>
      <c r="P44" s="122"/>
      <c r="Q44" s="122"/>
      <c r="R44" s="122"/>
      <c r="S44" s="122"/>
      <c r="T44" s="122"/>
      <c r="U44" s="122"/>
      <c r="V44" s="122"/>
      <c r="W44" s="122"/>
      <c r="X44" s="122"/>
      <c r="Y44" s="122"/>
      <c r="Z44" s="122"/>
      <c r="AA44" s="122"/>
      <c r="AB44" s="122"/>
      <c r="AC44" s="122"/>
      <c r="AD44" s="122"/>
      <c r="AE44" s="121"/>
      <c r="AF44" s="120"/>
      <c r="AG44" s="122"/>
      <c r="AH44" s="122"/>
      <c r="AI44" s="122"/>
      <c r="AJ44" s="121"/>
      <c r="AK44" s="120"/>
      <c r="AL44" s="122"/>
      <c r="AM44" s="122"/>
      <c r="AN44" s="122"/>
      <c r="AO44" s="122"/>
      <c r="AP44" s="122"/>
      <c r="AQ44" s="122"/>
      <c r="AR44" s="122"/>
      <c r="AS44" s="122"/>
      <c r="AT44" s="122"/>
      <c r="AU44" s="122"/>
      <c r="AV44" s="122"/>
      <c r="AW44" s="122"/>
      <c r="AX44" s="122"/>
      <c r="AY44" s="122"/>
      <c r="AZ44" s="122"/>
      <c r="BA44" s="122"/>
      <c r="BB44" s="122"/>
      <c r="BC44" s="122"/>
      <c r="BD44" s="122"/>
      <c r="BE44" s="121"/>
      <c r="BF44" s="120"/>
      <c r="BG44" s="122"/>
      <c r="BH44" s="122"/>
      <c r="BI44" s="122"/>
      <c r="BJ44" s="121"/>
      <c r="BK44" s="37"/>
    </row>
    <row r="45" spans="1:63" ht="15" customHeight="1">
      <c r="A45" s="36"/>
      <c r="B45" s="120"/>
      <c r="C45" s="121"/>
      <c r="D45" s="120"/>
      <c r="E45" s="122"/>
      <c r="F45" s="122"/>
      <c r="G45" s="122"/>
      <c r="H45" s="122"/>
      <c r="I45" s="122"/>
      <c r="J45" s="121"/>
      <c r="K45" s="120"/>
      <c r="L45" s="122"/>
      <c r="M45" s="122"/>
      <c r="N45" s="122"/>
      <c r="O45" s="122"/>
      <c r="P45" s="122"/>
      <c r="Q45" s="122"/>
      <c r="R45" s="122"/>
      <c r="S45" s="122"/>
      <c r="T45" s="122"/>
      <c r="U45" s="122"/>
      <c r="V45" s="122"/>
      <c r="W45" s="122"/>
      <c r="X45" s="122"/>
      <c r="Y45" s="122"/>
      <c r="Z45" s="122"/>
      <c r="AA45" s="122"/>
      <c r="AB45" s="122"/>
      <c r="AC45" s="122"/>
      <c r="AD45" s="122"/>
      <c r="AE45" s="121"/>
      <c r="AF45" s="120"/>
      <c r="AG45" s="122"/>
      <c r="AH45" s="122"/>
      <c r="AI45" s="122"/>
      <c r="AJ45" s="121"/>
      <c r="AK45" s="120"/>
      <c r="AL45" s="122"/>
      <c r="AM45" s="122"/>
      <c r="AN45" s="122"/>
      <c r="AO45" s="122"/>
      <c r="AP45" s="122"/>
      <c r="AQ45" s="122"/>
      <c r="AR45" s="122"/>
      <c r="AS45" s="122"/>
      <c r="AT45" s="122"/>
      <c r="AU45" s="122"/>
      <c r="AV45" s="122"/>
      <c r="AW45" s="122"/>
      <c r="AX45" s="122"/>
      <c r="AY45" s="122"/>
      <c r="AZ45" s="122"/>
      <c r="BA45" s="122"/>
      <c r="BB45" s="122"/>
      <c r="BC45" s="122"/>
      <c r="BD45" s="122"/>
      <c r="BE45" s="121"/>
      <c r="BF45" s="120"/>
      <c r="BG45" s="122"/>
      <c r="BH45" s="122"/>
      <c r="BI45" s="122"/>
      <c r="BJ45" s="121"/>
      <c r="BK45" s="37"/>
    </row>
    <row r="46" spans="1:63" ht="15" customHeight="1">
      <c r="A46" s="36"/>
      <c r="B46" s="120"/>
      <c r="C46" s="121"/>
      <c r="D46" s="120"/>
      <c r="E46" s="122"/>
      <c r="F46" s="122"/>
      <c r="G46" s="122"/>
      <c r="H46" s="122"/>
      <c r="I46" s="122"/>
      <c r="J46" s="121"/>
      <c r="K46" s="120"/>
      <c r="L46" s="122"/>
      <c r="M46" s="122"/>
      <c r="N46" s="122"/>
      <c r="O46" s="122"/>
      <c r="P46" s="122"/>
      <c r="Q46" s="122"/>
      <c r="R46" s="122"/>
      <c r="S46" s="122"/>
      <c r="T46" s="122"/>
      <c r="U46" s="122"/>
      <c r="V46" s="122"/>
      <c r="W46" s="122"/>
      <c r="X46" s="122"/>
      <c r="Y46" s="122"/>
      <c r="Z46" s="122"/>
      <c r="AA46" s="122"/>
      <c r="AB46" s="122"/>
      <c r="AC46" s="122"/>
      <c r="AD46" s="122"/>
      <c r="AE46" s="121"/>
      <c r="AF46" s="120"/>
      <c r="AG46" s="122"/>
      <c r="AH46" s="122"/>
      <c r="AI46" s="122"/>
      <c r="AJ46" s="121"/>
      <c r="AK46" s="120"/>
      <c r="AL46" s="122"/>
      <c r="AM46" s="122"/>
      <c r="AN46" s="122"/>
      <c r="AO46" s="122"/>
      <c r="AP46" s="122"/>
      <c r="AQ46" s="122"/>
      <c r="AR46" s="122"/>
      <c r="AS46" s="122"/>
      <c r="AT46" s="122"/>
      <c r="AU46" s="122"/>
      <c r="AV46" s="122"/>
      <c r="AW46" s="122"/>
      <c r="AX46" s="122"/>
      <c r="AY46" s="122"/>
      <c r="AZ46" s="122"/>
      <c r="BA46" s="122"/>
      <c r="BB46" s="122"/>
      <c r="BC46" s="122"/>
      <c r="BD46" s="122"/>
      <c r="BE46" s="121"/>
      <c r="BF46" s="120"/>
      <c r="BG46" s="122"/>
      <c r="BH46" s="122"/>
      <c r="BI46" s="122"/>
      <c r="BJ46" s="121"/>
      <c r="BK46" s="37"/>
    </row>
    <row r="47" spans="1:63" ht="15" customHeight="1">
      <c r="A47" s="36"/>
      <c r="B47" s="120"/>
      <c r="C47" s="121"/>
      <c r="D47" s="120"/>
      <c r="E47" s="122"/>
      <c r="F47" s="122"/>
      <c r="G47" s="122"/>
      <c r="H47" s="122"/>
      <c r="I47" s="122"/>
      <c r="J47" s="121"/>
      <c r="K47" s="120"/>
      <c r="L47" s="122"/>
      <c r="M47" s="122"/>
      <c r="N47" s="122"/>
      <c r="O47" s="122"/>
      <c r="P47" s="122"/>
      <c r="Q47" s="122"/>
      <c r="R47" s="122"/>
      <c r="S47" s="122"/>
      <c r="T47" s="122"/>
      <c r="U47" s="122"/>
      <c r="V47" s="122"/>
      <c r="W47" s="122"/>
      <c r="X47" s="122"/>
      <c r="Y47" s="122"/>
      <c r="Z47" s="122"/>
      <c r="AA47" s="122"/>
      <c r="AB47" s="122"/>
      <c r="AC47" s="122"/>
      <c r="AD47" s="122"/>
      <c r="AE47" s="121"/>
      <c r="AF47" s="120"/>
      <c r="AG47" s="122"/>
      <c r="AH47" s="122"/>
      <c r="AI47" s="122"/>
      <c r="AJ47" s="121"/>
      <c r="AK47" s="120"/>
      <c r="AL47" s="122"/>
      <c r="AM47" s="122"/>
      <c r="AN47" s="122"/>
      <c r="AO47" s="122"/>
      <c r="AP47" s="122"/>
      <c r="AQ47" s="122"/>
      <c r="AR47" s="122"/>
      <c r="AS47" s="122"/>
      <c r="AT47" s="122"/>
      <c r="AU47" s="122"/>
      <c r="AV47" s="122"/>
      <c r="AW47" s="122"/>
      <c r="AX47" s="122"/>
      <c r="AY47" s="122"/>
      <c r="AZ47" s="122"/>
      <c r="BA47" s="122"/>
      <c r="BB47" s="122"/>
      <c r="BC47" s="122"/>
      <c r="BD47" s="122"/>
      <c r="BE47" s="121"/>
      <c r="BF47" s="120"/>
      <c r="BG47" s="122"/>
      <c r="BH47" s="122"/>
      <c r="BI47" s="122"/>
      <c r="BJ47" s="121"/>
      <c r="BK47" s="37"/>
    </row>
    <row r="48" spans="1:63" ht="15" customHeight="1">
      <c r="A48" s="36"/>
      <c r="B48" s="120"/>
      <c r="C48" s="121"/>
      <c r="D48" s="120"/>
      <c r="E48" s="122"/>
      <c r="F48" s="122"/>
      <c r="G48" s="122"/>
      <c r="H48" s="122"/>
      <c r="I48" s="122"/>
      <c r="J48" s="121"/>
      <c r="K48" s="120"/>
      <c r="L48" s="122"/>
      <c r="M48" s="122"/>
      <c r="N48" s="122"/>
      <c r="O48" s="122"/>
      <c r="P48" s="122"/>
      <c r="Q48" s="122"/>
      <c r="R48" s="122"/>
      <c r="S48" s="122"/>
      <c r="T48" s="122"/>
      <c r="U48" s="122"/>
      <c r="V48" s="122"/>
      <c r="W48" s="122"/>
      <c r="X48" s="122"/>
      <c r="Y48" s="122"/>
      <c r="Z48" s="122"/>
      <c r="AA48" s="122"/>
      <c r="AB48" s="122"/>
      <c r="AC48" s="122"/>
      <c r="AD48" s="122"/>
      <c r="AE48" s="121"/>
      <c r="AF48" s="120"/>
      <c r="AG48" s="122"/>
      <c r="AH48" s="122"/>
      <c r="AI48" s="122"/>
      <c r="AJ48" s="121"/>
      <c r="AK48" s="120"/>
      <c r="AL48" s="122"/>
      <c r="AM48" s="122"/>
      <c r="AN48" s="122"/>
      <c r="AO48" s="122"/>
      <c r="AP48" s="122"/>
      <c r="AQ48" s="122"/>
      <c r="AR48" s="122"/>
      <c r="AS48" s="122"/>
      <c r="AT48" s="122"/>
      <c r="AU48" s="122"/>
      <c r="AV48" s="122"/>
      <c r="AW48" s="122"/>
      <c r="AX48" s="122"/>
      <c r="AY48" s="122"/>
      <c r="AZ48" s="122"/>
      <c r="BA48" s="122"/>
      <c r="BB48" s="122"/>
      <c r="BC48" s="122"/>
      <c r="BD48" s="122"/>
      <c r="BE48" s="121"/>
      <c r="BF48" s="120"/>
      <c r="BG48" s="122"/>
      <c r="BH48" s="122"/>
      <c r="BI48" s="122"/>
      <c r="BJ48" s="121"/>
      <c r="BK48" s="37"/>
    </row>
    <row r="49" spans="1:63" ht="15" customHeight="1">
      <c r="A49" s="36"/>
      <c r="B49" s="120"/>
      <c r="C49" s="121"/>
      <c r="D49" s="120"/>
      <c r="E49" s="122"/>
      <c r="F49" s="122"/>
      <c r="G49" s="122"/>
      <c r="H49" s="122"/>
      <c r="I49" s="122"/>
      <c r="J49" s="121"/>
      <c r="K49" s="120"/>
      <c r="L49" s="122"/>
      <c r="M49" s="122"/>
      <c r="N49" s="122"/>
      <c r="O49" s="122"/>
      <c r="P49" s="122"/>
      <c r="Q49" s="122"/>
      <c r="R49" s="122"/>
      <c r="S49" s="122"/>
      <c r="T49" s="122"/>
      <c r="U49" s="122"/>
      <c r="V49" s="122"/>
      <c r="W49" s="122"/>
      <c r="X49" s="122"/>
      <c r="Y49" s="122"/>
      <c r="Z49" s="122"/>
      <c r="AA49" s="122"/>
      <c r="AB49" s="122"/>
      <c r="AC49" s="122"/>
      <c r="AD49" s="122"/>
      <c r="AE49" s="121"/>
      <c r="AF49" s="120"/>
      <c r="AG49" s="122"/>
      <c r="AH49" s="122"/>
      <c r="AI49" s="122"/>
      <c r="AJ49" s="121"/>
      <c r="AK49" s="120"/>
      <c r="AL49" s="122"/>
      <c r="AM49" s="122"/>
      <c r="AN49" s="122"/>
      <c r="AO49" s="122"/>
      <c r="AP49" s="122"/>
      <c r="AQ49" s="122"/>
      <c r="AR49" s="122"/>
      <c r="AS49" s="122"/>
      <c r="AT49" s="122"/>
      <c r="AU49" s="122"/>
      <c r="AV49" s="122"/>
      <c r="AW49" s="122"/>
      <c r="AX49" s="122"/>
      <c r="AY49" s="122"/>
      <c r="AZ49" s="122"/>
      <c r="BA49" s="122"/>
      <c r="BB49" s="122"/>
      <c r="BC49" s="122"/>
      <c r="BD49" s="122"/>
      <c r="BE49" s="121"/>
      <c r="BF49" s="120"/>
      <c r="BG49" s="122"/>
      <c r="BH49" s="122"/>
      <c r="BI49" s="122"/>
      <c r="BJ49" s="121"/>
      <c r="BK49" s="37"/>
    </row>
    <row r="50" spans="1:63" ht="15" customHeight="1">
      <c r="A50" s="36"/>
      <c r="B50" s="120"/>
      <c r="C50" s="121"/>
      <c r="D50" s="120"/>
      <c r="E50" s="122"/>
      <c r="F50" s="122"/>
      <c r="G50" s="122"/>
      <c r="H50" s="122"/>
      <c r="I50" s="122"/>
      <c r="J50" s="121"/>
      <c r="K50" s="120"/>
      <c r="L50" s="122"/>
      <c r="M50" s="122"/>
      <c r="N50" s="122"/>
      <c r="O50" s="122"/>
      <c r="P50" s="122"/>
      <c r="Q50" s="122"/>
      <c r="R50" s="122"/>
      <c r="S50" s="122"/>
      <c r="T50" s="122"/>
      <c r="U50" s="122"/>
      <c r="V50" s="122"/>
      <c r="W50" s="122"/>
      <c r="X50" s="122"/>
      <c r="Y50" s="122"/>
      <c r="Z50" s="122"/>
      <c r="AA50" s="122"/>
      <c r="AB50" s="122"/>
      <c r="AC50" s="122"/>
      <c r="AD50" s="122"/>
      <c r="AE50" s="121"/>
      <c r="AF50" s="120"/>
      <c r="AG50" s="122"/>
      <c r="AH50" s="122"/>
      <c r="AI50" s="122"/>
      <c r="AJ50" s="121"/>
      <c r="AK50" s="120"/>
      <c r="AL50" s="122"/>
      <c r="AM50" s="122"/>
      <c r="AN50" s="122"/>
      <c r="AO50" s="122"/>
      <c r="AP50" s="122"/>
      <c r="AQ50" s="122"/>
      <c r="AR50" s="122"/>
      <c r="AS50" s="122"/>
      <c r="AT50" s="122"/>
      <c r="AU50" s="122"/>
      <c r="AV50" s="122"/>
      <c r="AW50" s="122"/>
      <c r="AX50" s="122"/>
      <c r="AY50" s="122"/>
      <c r="AZ50" s="122"/>
      <c r="BA50" s="122"/>
      <c r="BB50" s="122"/>
      <c r="BC50" s="122"/>
      <c r="BD50" s="122"/>
      <c r="BE50" s="121"/>
      <c r="BF50" s="120"/>
      <c r="BG50" s="122"/>
      <c r="BH50" s="122"/>
      <c r="BI50" s="122"/>
      <c r="BJ50" s="121"/>
      <c r="BK50" s="37"/>
    </row>
    <row r="51" spans="1:63" ht="15" customHeight="1">
      <c r="A51" s="36"/>
      <c r="B51" s="120"/>
      <c r="C51" s="121"/>
      <c r="D51" s="120"/>
      <c r="E51" s="122"/>
      <c r="F51" s="122"/>
      <c r="G51" s="122"/>
      <c r="H51" s="122"/>
      <c r="I51" s="122"/>
      <c r="J51" s="121"/>
      <c r="K51" s="120"/>
      <c r="L51" s="122"/>
      <c r="M51" s="122"/>
      <c r="N51" s="122"/>
      <c r="O51" s="122"/>
      <c r="P51" s="122"/>
      <c r="Q51" s="122"/>
      <c r="R51" s="122"/>
      <c r="S51" s="122"/>
      <c r="T51" s="122"/>
      <c r="U51" s="122"/>
      <c r="V51" s="122"/>
      <c r="W51" s="122"/>
      <c r="X51" s="122"/>
      <c r="Y51" s="122"/>
      <c r="Z51" s="122"/>
      <c r="AA51" s="122"/>
      <c r="AB51" s="122"/>
      <c r="AC51" s="122"/>
      <c r="AD51" s="122"/>
      <c r="AE51" s="121"/>
      <c r="AF51" s="120"/>
      <c r="AG51" s="122"/>
      <c r="AH51" s="122"/>
      <c r="AI51" s="122"/>
      <c r="AJ51" s="121"/>
      <c r="AK51" s="120"/>
      <c r="AL51" s="122"/>
      <c r="AM51" s="122"/>
      <c r="AN51" s="122"/>
      <c r="AO51" s="122"/>
      <c r="AP51" s="122"/>
      <c r="AQ51" s="122"/>
      <c r="AR51" s="122"/>
      <c r="AS51" s="122"/>
      <c r="AT51" s="122"/>
      <c r="AU51" s="122"/>
      <c r="AV51" s="122"/>
      <c r="AW51" s="122"/>
      <c r="AX51" s="122"/>
      <c r="AY51" s="122"/>
      <c r="AZ51" s="122"/>
      <c r="BA51" s="122"/>
      <c r="BB51" s="122"/>
      <c r="BC51" s="122"/>
      <c r="BD51" s="122"/>
      <c r="BE51" s="121"/>
      <c r="BF51" s="120"/>
      <c r="BG51" s="122"/>
      <c r="BH51" s="122"/>
      <c r="BI51" s="122"/>
      <c r="BJ51" s="121"/>
      <c r="BK51" s="37"/>
    </row>
    <row r="52" spans="1:63" ht="15" customHeight="1">
      <c r="A52" s="36"/>
      <c r="B52" s="120"/>
      <c r="C52" s="121"/>
      <c r="D52" s="120"/>
      <c r="E52" s="122"/>
      <c r="F52" s="122"/>
      <c r="G52" s="122"/>
      <c r="H52" s="122"/>
      <c r="I52" s="122"/>
      <c r="J52" s="121"/>
      <c r="K52" s="120"/>
      <c r="L52" s="122"/>
      <c r="M52" s="122"/>
      <c r="N52" s="122"/>
      <c r="O52" s="122"/>
      <c r="P52" s="122"/>
      <c r="Q52" s="122"/>
      <c r="R52" s="122"/>
      <c r="S52" s="122"/>
      <c r="T52" s="122"/>
      <c r="U52" s="122"/>
      <c r="V52" s="122"/>
      <c r="W52" s="122"/>
      <c r="X52" s="122"/>
      <c r="Y52" s="122"/>
      <c r="Z52" s="122"/>
      <c r="AA52" s="122"/>
      <c r="AB52" s="122"/>
      <c r="AC52" s="122"/>
      <c r="AD52" s="122"/>
      <c r="AE52" s="121"/>
      <c r="AF52" s="120"/>
      <c r="AG52" s="122"/>
      <c r="AH52" s="122"/>
      <c r="AI52" s="122"/>
      <c r="AJ52" s="121"/>
      <c r="AK52" s="120"/>
      <c r="AL52" s="122"/>
      <c r="AM52" s="122"/>
      <c r="AN52" s="122"/>
      <c r="AO52" s="122"/>
      <c r="AP52" s="122"/>
      <c r="AQ52" s="122"/>
      <c r="AR52" s="122"/>
      <c r="AS52" s="122"/>
      <c r="AT52" s="122"/>
      <c r="AU52" s="122"/>
      <c r="AV52" s="122"/>
      <c r="AW52" s="122"/>
      <c r="AX52" s="122"/>
      <c r="AY52" s="122"/>
      <c r="AZ52" s="122"/>
      <c r="BA52" s="122"/>
      <c r="BB52" s="122"/>
      <c r="BC52" s="122"/>
      <c r="BD52" s="122"/>
      <c r="BE52" s="121"/>
      <c r="BF52" s="120"/>
      <c r="BG52" s="122"/>
      <c r="BH52" s="122"/>
      <c r="BI52" s="122"/>
      <c r="BJ52" s="121"/>
      <c r="BK52" s="37"/>
    </row>
    <row r="53" spans="1:63" ht="15" customHeight="1">
      <c r="A53" s="36"/>
      <c r="B53" s="120"/>
      <c r="C53" s="121"/>
      <c r="D53" s="120"/>
      <c r="E53" s="122"/>
      <c r="F53" s="122"/>
      <c r="G53" s="122"/>
      <c r="H53" s="122"/>
      <c r="I53" s="122"/>
      <c r="J53" s="121"/>
      <c r="K53" s="120"/>
      <c r="L53" s="122"/>
      <c r="M53" s="122"/>
      <c r="N53" s="122"/>
      <c r="O53" s="122"/>
      <c r="P53" s="122"/>
      <c r="Q53" s="122"/>
      <c r="R53" s="122"/>
      <c r="S53" s="122"/>
      <c r="T53" s="122"/>
      <c r="U53" s="122"/>
      <c r="V53" s="122"/>
      <c r="W53" s="122"/>
      <c r="X53" s="122"/>
      <c r="Y53" s="122"/>
      <c r="Z53" s="122"/>
      <c r="AA53" s="122"/>
      <c r="AB53" s="122"/>
      <c r="AC53" s="122"/>
      <c r="AD53" s="122"/>
      <c r="AE53" s="121"/>
      <c r="AF53" s="120"/>
      <c r="AG53" s="122"/>
      <c r="AH53" s="122"/>
      <c r="AI53" s="122"/>
      <c r="AJ53" s="121"/>
      <c r="AK53" s="120"/>
      <c r="AL53" s="122"/>
      <c r="AM53" s="122"/>
      <c r="AN53" s="122"/>
      <c r="AO53" s="122"/>
      <c r="AP53" s="122"/>
      <c r="AQ53" s="122"/>
      <c r="AR53" s="122"/>
      <c r="AS53" s="122"/>
      <c r="AT53" s="122"/>
      <c r="AU53" s="122"/>
      <c r="AV53" s="122"/>
      <c r="AW53" s="122"/>
      <c r="AX53" s="122"/>
      <c r="AY53" s="122"/>
      <c r="AZ53" s="122"/>
      <c r="BA53" s="122"/>
      <c r="BB53" s="122"/>
      <c r="BC53" s="122"/>
      <c r="BD53" s="122"/>
      <c r="BE53" s="121"/>
      <c r="BF53" s="120"/>
      <c r="BG53" s="122"/>
      <c r="BH53" s="122"/>
      <c r="BI53" s="122"/>
      <c r="BJ53" s="121"/>
      <c r="BK53" s="37"/>
    </row>
    <row r="54" spans="1:63" ht="15" customHeight="1">
      <c r="A54" s="36"/>
      <c r="B54" s="131"/>
      <c r="C54" s="132"/>
      <c r="D54" s="131"/>
      <c r="E54" s="133"/>
      <c r="F54" s="133"/>
      <c r="G54" s="133"/>
      <c r="H54" s="133"/>
      <c r="I54" s="133"/>
      <c r="J54" s="132"/>
      <c r="K54" s="131"/>
      <c r="L54" s="133"/>
      <c r="M54" s="133"/>
      <c r="N54" s="133"/>
      <c r="O54" s="133"/>
      <c r="P54" s="133"/>
      <c r="Q54" s="133"/>
      <c r="R54" s="133"/>
      <c r="S54" s="133"/>
      <c r="T54" s="133"/>
      <c r="U54" s="133"/>
      <c r="V54" s="133"/>
      <c r="W54" s="133"/>
      <c r="X54" s="133"/>
      <c r="Y54" s="133"/>
      <c r="Z54" s="133"/>
      <c r="AA54" s="133"/>
      <c r="AB54" s="133"/>
      <c r="AC54" s="133"/>
      <c r="AD54" s="133"/>
      <c r="AE54" s="132"/>
      <c r="AF54" s="131"/>
      <c r="AG54" s="133"/>
      <c r="AH54" s="133"/>
      <c r="AI54" s="133"/>
      <c r="AJ54" s="132"/>
      <c r="AK54" s="131"/>
      <c r="AL54" s="133"/>
      <c r="AM54" s="133"/>
      <c r="AN54" s="133"/>
      <c r="AO54" s="133"/>
      <c r="AP54" s="133"/>
      <c r="AQ54" s="133"/>
      <c r="AR54" s="133"/>
      <c r="AS54" s="133"/>
      <c r="AT54" s="133"/>
      <c r="AU54" s="133"/>
      <c r="AV54" s="133"/>
      <c r="AW54" s="133"/>
      <c r="AX54" s="133"/>
      <c r="AY54" s="133"/>
      <c r="AZ54" s="133"/>
      <c r="BA54" s="133"/>
      <c r="BB54" s="133"/>
      <c r="BC54" s="133"/>
      <c r="BD54" s="133"/>
      <c r="BE54" s="132"/>
      <c r="BF54" s="131"/>
      <c r="BG54" s="133"/>
      <c r="BH54" s="133"/>
      <c r="BI54" s="133"/>
      <c r="BJ54" s="132"/>
      <c r="BK54" s="37"/>
    </row>
    <row r="55" spans="1:63" ht="15" customHeight="1">
      <c r="A55" s="38"/>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39"/>
      <c r="BJ55" s="39"/>
      <c r="BK55" s="40"/>
    </row>
  </sheetData>
  <mergeCells count="308">
    <mergeCell ref="B54:C54"/>
    <mergeCell ref="D54:J54"/>
    <mergeCell ref="K54:AE54"/>
    <mergeCell ref="AF54:AJ54"/>
    <mergeCell ref="AK54:BE54"/>
    <mergeCell ref="BF54:BJ54"/>
    <mergeCell ref="B53:C53"/>
    <mergeCell ref="D53:J53"/>
    <mergeCell ref="K53:AE53"/>
    <mergeCell ref="AF53:AJ53"/>
    <mergeCell ref="AK53:BE53"/>
    <mergeCell ref="BF53:BJ53"/>
    <mergeCell ref="B52:C52"/>
    <mergeCell ref="D52:J52"/>
    <mergeCell ref="K52:AE52"/>
    <mergeCell ref="AF52:AJ52"/>
    <mergeCell ref="AK52:BE52"/>
    <mergeCell ref="BF52:BJ52"/>
    <mergeCell ref="B51:C51"/>
    <mergeCell ref="D51:J51"/>
    <mergeCell ref="K51:AE51"/>
    <mergeCell ref="AF51:AJ51"/>
    <mergeCell ref="AK51:BE51"/>
    <mergeCell ref="BF51:BJ51"/>
    <mergeCell ref="B50:C50"/>
    <mergeCell ref="D50:J50"/>
    <mergeCell ref="K50:AE50"/>
    <mergeCell ref="AF50:AJ50"/>
    <mergeCell ref="AK50:BE50"/>
    <mergeCell ref="BF50:BJ50"/>
    <mergeCell ref="B49:C49"/>
    <mergeCell ref="D49:J49"/>
    <mergeCell ref="K49:AE49"/>
    <mergeCell ref="AF49:AJ49"/>
    <mergeCell ref="AK49:BE49"/>
    <mergeCell ref="BF49:BJ49"/>
    <mergeCell ref="B48:C48"/>
    <mergeCell ref="D48:J48"/>
    <mergeCell ref="K48:AE48"/>
    <mergeCell ref="AF48:AJ48"/>
    <mergeCell ref="AK48:BE48"/>
    <mergeCell ref="BF48:BJ48"/>
    <mergeCell ref="B47:C47"/>
    <mergeCell ref="D47:J47"/>
    <mergeCell ref="K47:AE47"/>
    <mergeCell ref="AF47:AJ47"/>
    <mergeCell ref="AK47:BE47"/>
    <mergeCell ref="BF47:BJ47"/>
    <mergeCell ref="B46:C46"/>
    <mergeCell ref="D46:J46"/>
    <mergeCell ref="K46:AE46"/>
    <mergeCell ref="AF46:AJ46"/>
    <mergeCell ref="AK46:BE46"/>
    <mergeCell ref="BF46:BJ46"/>
    <mergeCell ref="B45:C45"/>
    <mergeCell ref="D45:J45"/>
    <mergeCell ref="K45:AE45"/>
    <mergeCell ref="AF45:AJ45"/>
    <mergeCell ref="AK45:BE45"/>
    <mergeCell ref="BF45:BJ45"/>
    <mergeCell ref="B44:C44"/>
    <mergeCell ref="D44:J44"/>
    <mergeCell ref="K44:AE44"/>
    <mergeCell ref="AF44:AJ44"/>
    <mergeCell ref="AK44:BE44"/>
    <mergeCell ref="BF44:BJ44"/>
    <mergeCell ref="B43:C43"/>
    <mergeCell ref="D43:J43"/>
    <mergeCell ref="K43:AE43"/>
    <mergeCell ref="AF43:AJ43"/>
    <mergeCell ref="AK43:BE43"/>
    <mergeCell ref="BF43:BJ43"/>
    <mergeCell ref="B42:C42"/>
    <mergeCell ref="D42:J42"/>
    <mergeCell ref="K42:AE42"/>
    <mergeCell ref="AF42:AJ42"/>
    <mergeCell ref="AK42:BE42"/>
    <mergeCell ref="BF42:BJ42"/>
    <mergeCell ref="B41:C41"/>
    <mergeCell ref="D41:J41"/>
    <mergeCell ref="K41:AE41"/>
    <mergeCell ref="AF41:AJ41"/>
    <mergeCell ref="AK41:BE41"/>
    <mergeCell ref="BF41:BJ41"/>
    <mergeCell ref="B40:C40"/>
    <mergeCell ref="D40:J40"/>
    <mergeCell ref="K40:AE40"/>
    <mergeCell ref="AF40:AJ40"/>
    <mergeCell ref="AK40:BE40"/>
    <mergeCell ref="BF40:BJ40"/>
    <mergeCell ref="B39:C39"/>
    <mergeCell ref="D39:J39"/>
    <mergeCell ref="K39:AE39"/>
    <mergeCell ref="AF39:AJ39"/>
    <mergeCell ref="AK39:BE39"/>
    <mergeCell ref="BF39:BJ39"/>
    <mergeCell ref="B38:C38"/>
    <mergeCell ref="D38:J38"/>
    <mergeCell ref="K38:AE38"/>
    <mergeCell ref="AF38:AJ38"/>
    <mergeCell ref="AK38:BE38"/>
    <mergeCell ref="BF38:BJ38"/>
    <mergeCell ref="B37:C37"/>
    <mergeCell ref="D37:J37"/>
    <mergeCell ref="K37:AE37"/>
    <mergeCell ref="AF37:AJ37"/>
    <mergeCell ref="AK37:BE37"/>
    <mergeCell ref="BF37:BJ37"/>
    <mergeCell ref="B36:C36"/>
    <mergeCell ref="D36:J36"/>
    <mergeCell ref="K36:AE36"/>
    <mergeCell ref="AF36:AJ36"/>
    <mergeCell ref="AK36:BE36"/>
    <mergeCell ref="BF36:BJ36"/>
    <mergeCell ref="B35:C35"/>
    <mergeCell ref="D35:J35"/>
    <mergeCell ref="K35:AE35"/>
    <mergeCell ref="AF35:AJ35"/>
    <mergeCell ref="AK35:BE35"/>
    <mergeCell ref="BF35:BJ35"/>
    <mergeCell ref="B34:C34"/>
    <mergeCell ref="D34:J34"/>
    <mergeCell ref="K34:AE34"/>
    <mergeCell ref="AF34:AJ34"/>
    <mergeCell ref="AK34:BE34"/>
    <mergeCell ref="BF34:BJ34"/>
    <mergeCell ref="B33:C33"/>
    <mergeCell ref="D33:J33"/>
    <mergeCell ref="K33:AE33"/>
    <mergeCell ref="AF33:AJ33"/>
    <mergeCell ref="AK33:BE33"/>
    <mergeCell ref="BF33:BJ33"/>
    <mergeCell ref="B32:C32"/>
    <mergeCell ref="D32:J32"/>
    <mergeCell ref="K32:AE32"/>
    <mergeCell ref="AF32:AJ32"/>
    <mergeCell ref="AK32:BE32"/>
    <mergeCell ref="BF32:BJ32"/>
    <mergeCell ref="B31:C31"/>
    <mergeCell ref="D31:J31"/>
    <mergeCell ref="K31:AE31"/>
    <mergeCell ref="AF31:AJ31"/>
    <mergeCell ref="AK31:BE31"/>
    <mergeCell ref="BF31:BJ31"/>
    <mergeCell ref="B30:C30"/>
    <mergeCell ref="D30:J30"/>
    <mergeCell ref="K30:AE30"/>
    <mergeCell ref="AF30:AJ30"/>
    <mergeCell ref="AK30:BE30"/>
    <mergeCell ref="BF30:BJ30"/>
    <mergeCell ref="B29:C29"/>
    <mergeCell ref="D29:J29"/>
    <mergeCell ref="K29:AE29"/>
    <mergeCell ref="AF29:AJ29"/>
    <mergeCell ref="AK29:BE29"/>
    <mergeCell ref="BF29:BJ29"/>
    <mergeCell ref="B28:C28"/>
    <mergeCell ref="D28:J28"/>
    <mergeCell ref="K28:AE28"/>
    <mergeCell ref="AF28:AJ28"/>
    <mergeCell ref="AK28:BE28"/>
    <mergeCell ref="BF28:BJ28"/>
    <mergeCell ref="B27:C27"/>
    <mergeCell ref="D27:J27"/>
    <mergeCell ref="K27:AE27"/>
    <mergeCell ref="AF27:AJ27"/>
    <mergeCell ref="AK27:BE27"/>
    <mergeCell ref="BF27:BJ27"/>
    <mergeCell ref="B26:C26"/>
    <mergeCell ref="D26:J26"/>
    <mergeCell ref="K26:AE26"/>
    <mergeCell ref="AF26:AJ26"/>
    <mergeCell ref="AK26:BE26"/>
    <mergeCell ref="BF26:BJ26"/>
    <mergeCell ref="B25:C25"/>
    <mergeCell ref="D25:J25"/>
    <mergeCell ref="K25:AE25"/>
    <mergeCell ref="AF25:AJ25"/>
    <mergeCell ref="AK25:BE25"/>
    <mergeCell ref="BF25:BJ25"/>
    <mergeCell ref="B24:C24"/>
    <mergeCell ref="D24:J24"/>
    <mergeCell ref="K24:AE24"/>
    <mergeCell ref="AF24:AJ24"/>
    <mergeCell ref="AK24:BE24"/>
    <mergeCell ref="BF24:BJ24"/>
    <mergeCell ref="B23:C23"/>
    <mergeCell ref="D23:J23"/>
    <mergeCell ref="K23:AE23"/>
    <mergeCell ref="AF23:AJ23"/>
    <mergeCell ref="AK23:BE23"/>
    <mergeCell ref="BF23:BJ23"/>
    <mergeCell ref="B22:C22"/>
    <mergeCell ref="D22:J22"/>
    <mergeCell ref="K22:AE22"/>
    <mergeCell ref="AF22:AJ22"/>
    <mergeCell ref="AK22:BE22"/>
    <mergeCell ref="BF22:BJ22"/>
    <mergeCell ref="B21:C21"/>
    <mergeCell ref="D21:J21"/>
    <mergeCell ref="K21:AE21"/>
    <mergeCell ref="AF21:AJ21"/>
    <mergeCell ref="AK21:BE21"/>
    <mergeCell ref="BF21:BJ21"/>
    <mergeCell ref="B20:C20"/>
    <mergeCell ref="D20:J20"/>
    <mergeCell ref="K20:AE20"/>
    <mergeCell ref="AF20:AJ20"/>
    <mergeCell ref="AK20:BE20"/>
    <mergeCell ref="BF20:BJ20"/>
    <mergeCell ref="B19:C19"/>
    <mergeCell ref="D19:J19"/>
    <mergeCell ref="K19:AE19"/>
    <mergeCell ref="AF19:AJ19"/>
    <mergeCell ref="AK19:BE19"/>
    <mergeCell ref="BF19:BJ19"/>
    <mergeCell ref="B18:C18"/>
    <mergeCell ref="D18:J18"/>
    <mergeCell ref="K18:AE18"/>
    <mergeCell ref="AF18:AJ18"/>
    <mergeCell ref="AK18:BE18"/>
    <mergeCell ref="BF18:BJ18"/>
    <mergeCell ref="B17:C17"/>
    <mergeCell ref="D17:J17"/>
    <mergeCell ref="K17:AE17"/>
    <mergeCell ref="AF17:AJ17"/>
    <mergeCell ref="AK17:BE17"/>
    <mergeCell ref="BF17:BJ17"/>
    <mergeCell ref="B16:C16"/>
    <mergeCell ref="D16:J16"/>
    <mergeCell ref="K16:AE16"/>
    <mergeCell ref="AF16:AJ16"/>
    <mergeCell ref="AK16:BE16"/>
    <mergeCell ref="BF16:BJ16"/>
    <mergeCell ref="B15:C15"/>
    <mergeCell ref="D15:J15"/>
    <mergeCell ref="K15:AE15"/>
    <mergeCell ref="AF15:AJ15"/>
    <mergeCell ref="AK15:BE15"/>
    <mergeCell ref="BF15:BJ15"/>
    <mergeCell ref="B14:C14"/>
    <mergeCell ref="D14:J14"/>
    <mergeCell ref="K14:AE14"/>
    <mergeCell ref="AF14:AJ14"/>
    <mergeCell ref="AK14:BE14"/>
    <mergeCell ref="BF14:BJ14"/>
    <mergeCell ref="B13:C13"/>
    <mergeCell ref="D13:J13"/>
    <mergeCell ref="K13:AE13"/>
    <mergeCell ref="AF13:AJ13"/>
    <mergeCell ref="AK13:BE13"/>
    <mergeCell ref="BF13:BJ13"/>
    <mergeCell ref="B12:C12"/>
    <mergeCell ref="D12:J12"/>
    <mergeCell ref="K12:AE12"/>
    <mergeCell ref="AF12:AJ12"/>
    <mergeCell ref="AK12:BE12"/>
    <mergeCell ref="BF12:BJ12"/>
    <mergeCell ref="B11:C11"/>
    <mergeCell ref="D11:J11"/>
    <mergeCell ref="K11:AE11"/>
    <mergeCell ref="AF11:AJ11"/>
    <mergeCell ref="AK11:BE11"/>
    <mergeCell ref="BF11:BJ11"/>
    <mergeCell ref="B10:C10"/>
    <mergeCell ref="D10:J10"/>
    <mergeCell ref="K10:AE10"/>
    <mergeCell ref="AF10:AJ10"/>
    <mergeCell ref="AK10:BE10"/>
    <mergeCell ref="BF10:BJ10"/>
    <mergeCell ref="B9:C9"/>
    <mergeCell ref="D9:J9"/>
    <mergeCell ref="K9:AE9"/>
    <mergeCell ref="AF9:AJ9"/>
    <mergeCell ref="AK9:BE9"/>
    <mergeCell ref="BF9:BJ9"/>
    <mergeCell ref="BF7:BJ7"/>
    <mergeCell ref="B8:C8"/>
    <mergeCell ref="D8:J8"/>
    <mergeCell ref="K8:AE8"/>
    <mergeCell ref="AF8:AJ8"/>
    <mergeCell ref="AK8:BE8"/>
    <mergeCell ref="BF8:BJ8"/>
    <mergeCell ref="A4:G4"/>
    <mergeCell ref="H4:T4"/>
    <mergeCell ref="U4:Y4"/>
    <mergeCell ref="Z4:AO4"/>
    <mergeCell ref="AP4:BK4"/>
    <mergeCell ref="B7:C7"/>
    <mergeCell ref="D7:J7"/>
    <mergeCell ref="K7:AE7"/>
    <mergeCell ref="AF7:AJ7"/>
    <mergeCell ref="AK7:BE7"/>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13"/>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86238-C6AC-41C8-B84E-095F1B791C63}">
  <sheetPr>
    <pageSetUpPr fitToPage="1"/>
  </sheetPr>
  <dimension ref="A1:BM284"/>
  <sheetViews>
    <sheetView view="pageBreakPreview" zoomScale="125" zoomScaleNormal="75" zoomScaleSheetLayoutView="100" workbookViewId="0">
      <selection activeCell="AA293" sqref="AA293"/>
    </sheetView>
  </sheetViews>
  <sheetFormatPr defaultColWidth="2.6640625" defaultRowHeight="15" customHeight="1"/>
  <cols>
    <col min="1" max="45" width="2.6640625" style="2"/>
    <col min="46" max="46" width="2.88671875" style="2" customWidth="1"/>
    <col min="47" max="54" width="2.6640625" style="2"/>
    <col min="55" max="55" width="2.88671875" style="2" customWidth="1"/>
    <col min="56" max="59" width="2.6640625" style="2"/>
    <col min="60" max="60" width="2.44140625" style="2" customWidth="1"/>
    <col min="61" max="16384" width="2.6640625" style="2"/>
  </cols>
  <sheetData>
    <row r="1" spans="1:65" customFormat="1" ht="24.95" customHeight="1">
      <c r="A1" s="70" t="s">
        <v>0</v>
      </c>
      <c r="B1" s="71"/>
      <c r="C1" s="71"/>
      <c r="D1" s="71"/>
      <c r="E1" s="71"/>
      <c r="F1" s="71"/>
      <c r="G1" s="71"/>
      <c r="H1" s="71"/>
      <c r="I1" s="71"/>
      <c r="J1" s="72"/>
      <c r="K1" s="70" t="s">
        <v>1</v>
      </c>
      <c r="L1" s="71"/>
      <c r="M1" s="71"/>
      <c r="N1" s="71"/>
      <c r="O1" s="71"/>
      <c r="P1" s="71"/>
      <c r="Q1" s="71"/>
      <c r="R1" s="71"/>
      <c r="S1" s="71"/>
      <c r="T1" s="71"/>
      <c r="U1" s="71"/>
      <c r="V1" s="72"/>
      <c r="W1" s="90" t="e">
        <f ca="1">IF( che [11]phủ!W1="","", che [11]phủ!W1)</f>
        <v>#NAME?</v>
      </c>
      <c r="X1" s="91"/>
      <c r="Y1" s="91"/>
      <c r="Z1" s="91"/>
      <c r="AA1" s="91"/>
      <c r="AB1" s="91"/>
      <c r="AC1" s="91"/>
      <c r="AD1" s="91"/>
      <c r="AE1" s="91"/>
      <c r="AF1" s="91"/>
      <c r="AG1" s="91"/>
      <c r="AH1" s="91"/>
      <c r="AI1" s="91"/>
      <c r="AJ1" s="91"/>
      <c r="AK1" s="91"/>
      <c r="AL1" s="91"/>
      <c r="AM1" s="91"/>
      <c r="AN1" s="91"/>
      <c r="AO1" s="92"/>
      <c r="AP1" s="70" t="s">
        <v>3</v>
      </c>
      <c r="AQ1" s="71"/>
      <c r="AR1" s="71"/>
      <c r="AS1" s="72"/>
      <c r="AT1" s="70" t="s">
        <v>4</v>
      </c>
      <c r="AU1" s="71"/>
      <c r="AV1" s="71"/>
      <c r="AW1" s="71"/>
      <c r="AX1" s="72"/>
      <c r="AY1" s="70" t="s">
        <v>5</v>
      </c>
      <c r="AZ1" s="71"/>
      <c r="BA1" s="71"/>
      <c r="BB1" s="72"/>
      <c r="BC1" s="70" t="s">
        <v>6</v>
      </c>
      <c r="BD1" s="71"/>
      <c r="BE1" s="71"/>
      <c r="BF1" s="71"/>
      <c r="BG1" s="72"/>
      <c r="BH1" s="70" t="s">
        <v>7</v>
      </c>
      <c r="BI1" s="71"/>
      <c r="BJ1" s="71"/>
      <c r="BK1" s="72"/>
    </row>
    <row r="2" spans="1:65" customFormat="1" ht="15" customHeight="1">
      <c r="A2" s="55" t="e">
        <f ca="1">IF( che [11]phủ!A2="","", che [11]phủ!A2)</f>
        <v>#NAME?</v>
      </c>
      <c r="B2" s="56"/>
      <c r="C2" s="56"/>
      <c r="D2" s="56"/>
      <c r="E2" s="56"/>
      <c r="F2" s="56"/>
      <c r="G2" s="56"/>
      <c r="H2" s="56"/>
      <c r="I2" s="56"/>
      <c r="J2" s="57"/>
      <c r="K2" s="55" t="e">
        <f ca="1">IF( che [11]phủ!K2="","", che [11]phủ!K2)</f>
        <v>#NAME?</v>
      </c>
      <c r="L2" s="56"/>
      <c r="M2" s="56"/>
      <c r="N2" s="56"/>
      <c r="O2" s="56"/>
      <c r="P2" s="56"/>
      <c r="Q2" s="56"/>
      <c r="R2" s="56"/>
      <c r="S2" s="56"/>
      <c r="T2" s="56"/>
      <c r="U2" s="56"/>
      <c r="V2" s="57"/>
      <c r="W2" s="93"/>
      <c r="X2" s="94"/>
      <c r="Y2" s="94"/>
      <c r="Z2" s="94"/>
      <c r="AA2" s="94"/>
      <c r="AB2" s="94"/>
      <c r="AC2" s="94"/>
      <c r="AD2" s="94"/>
      <c r="AE2" s="94"/>
      <c r="AF2" s="94"/>
      <c r="AG2" s="94"/>
      <c r="AH2" s="94"/>
      <c r="AI2" s="94"/>
      <c r="AJ2" s="94"/>
      <c r="AK2" s="94"/>
      <c r="AL2" s="94"/>
      <c r="AM2" s="94"/>
      <c r="AN2" s="94"/>
      <c r="AO2" s="95"/>
      <c r="AP2" s="55" t="e">
        <f ca="1">IF( che [11]phủ!AP2="","", che [11]phủ!AP2)</f>
        <v>#NAME?</v>
      </c>
      <c r="AQ2" s="56"/>
      <c r="AR2" s="56"/>
      <c r="AS2" s="57"/>
      <c r="AT2" s="84" t="e">
        <f ca="1">IF( che [11]phủ!AT2="","", che [11]phủ!AT2)</f>
        <v>#NAME?</v>
      </c>
      <c r="AU2" s="85"/>
      <c r="AV2" s="85"/>
      <c r="AW2" s="85"/>
      <c r="AX2" s="86"/>
      <c r="AY2" s="55" t="e">
        <f ca="1">IF( che [11]phủ!AY2="","", che [11]phủ!AY2)</f>
        <v>#NAME?</v>
      </c>
      <c r="AZ2" s="56"/>
      <c r="BA2" s="56"/>
      <c r="BB2" s="57"/>
      <c r="BC2" s="84" t="e">
        <f ca="1">IF( che [11]phủ!BC2="","", che [11]phủ!BC2)</f>
        <v>#NAME?</v>
      </c>
      <c r="BD2" s="85"/>
      <c r="BE2" s="85"/>
      <c r="BF2" s="85"/>
      <c r="BG2" s="86"/>
      <c r="BH2" s="55" t="e">
        <f ca="1">IF( che [11]phủ!BH2="","", che [11]phủ!BH2)</f>
        <v>#NAME?</v>
      </c>
      <c r="BI2" s="56"/>
      <c r="BJ2" s="56"/>
      <c r="BK2" s="57"/>
    </row>
    <row r="3" spans="1:65" customFormat="1" ht="15" customHeight="1">
      <c r="A3" s="61"/>
      <c r="B3" s="62"/>
      <c r="C3" s="62"/>
      <c r="D3" s="62"/>
      <c r="E3" s="62"/>
      <c r="F3" s="62"/>
      <c r="G3" s="62"/>
      <c r="H3" s="62"/>
      <c r="I3" s="62"/>
      <c r="J3" s="63"/>
      <c r="K3" s="61"/>
      <c r="L3" s="62"/>
      <c r="M3" s="62"/>
      <c r="N3" s="62"/>
      <c r="O3" s="62"/>
      <c r="P3" s="62"/>
      <c r="Q3" s="62"/>
      <c r="R3" s="62"/>
      <c r="S3" s="62"/>
      <c r="T3" s="62"/>
      <c r="U3" s="62"/>
      <c r="V3" s="63"/>
      <c r="W3" s="96"/>
      <c r="X3" s="97"/>
      <c r="Y3" s="97"/>
      <c r="Z3" s="97"/>
      <c r="AA3" s="97"/>
      <c r="AB3" s="97"/>
      <c r="AC3" s="97"/>
      <c r="AD3" s="97"/>
      <c r="AE3" s="97"/>
      <c r="AF3" s="97"/>
      <c r="AG3" s="97"/>
      <c r="AH3" s="97"/>
      <c r="AI3" s="97"/>
      <c r="AJ3" s="97"/>
      <c r="AK3" s="97"/>
      <c r="AL3" s="97"/>
      <c r="AM3" s="97"/>
      <c r="AN3" s="97"/>
      <c r="AO3" s="98"/>
      <c r="AP3" s="61"/>
      <c r="AQ3" s="62"/>
      <c r="AR3" s="62"/>
      <c r="AS3" s="63"/>
      <c r="AT3" s="87"/>
      <c r="AU3" s="88"/>
      <c r="AV3" s="88"/>
      <c r="AW3" s="88"/>
      <c r="AX3" s="89"/>
      <c r="AY3" s="61"/>
      <c r="AZ3" s="62"/>
      <c r="BA3" s="62"/>
      <c r="BB3" s="63"/>
      <c r="BC3" s="87"/>
      <c r="BD3" s="88"/>
      <c r="BE3" s="88"/>
      <c r="BF3" s="88"/>
      <c r="BG3" s="89"/>
      <c r="BH3" s="61"/>
      <c r="BI3" s="62"/>
      <c r="BJ3" s="62"/>
      <c r="BK3" s="63"/>
    </row>
    <row r="4" spans="1:65" customFormat="1" ht="24.95" customHeight="1">
      <c r="A4" s="70" t="s">
        <v>10</v>
      </c>
      <c r="B4" s="71"/>
      <c r="C4" s="71"/>
      <c r="D4" s="71"/>
      <c r="E4" s="71"/>
      <c r="F4" s="71"/>
      <c r="G4" s="72"/>
      <c r="H4" s="75" t="e">
        <f ca="1">IF( che [11]phủ!H4="","", che [11]phủ!H4)</f>
        <v>#NAME?</v>
      </c>
      <c r="I4" s="76"/>
      <c r="J4" s="76"/>
      <c r="K4" s="76"/>
      <c r="L4" s="76"/>
      <c r="M4" s="76"/>
      <c r="N4" s="76"/>
      <c r="O4" s="76"/>
      <c r="P4" s="76"/>
      <c r="Q4" s="76"/>
      <c r="R4" s="76"/>
      <c r="S4" s="76"/>
      <c r="T4" s="77"/>
      <c r="U4" s="70" t="s">
        <v>12</v>
      </c>
      <c r="V4" s="71"/>
      <c r="W4" s="71"/>
      <c r="X4" s="71"/>
      <c r="Y4" s="72"/>
      <c r="Z4" s="75" t="e">
        <f ca="1">IF( che [11]phủ!Z4="","", che [11]phủ!Z4)</f>
        <v>#NAME?</v>
      </c>
      <c r="AA4" s="76"/>
      <c r="AB4" s="76"/>
      <c r="AC4" s="76"/>
      <c r="AD4" s="76"/>
      <c r="AE4" s="76"/>
      <c r="AF4" s="76"/>
      <c r="AG4" s="76"/>
      <c r="AH4" s="76"/>
      <c r="AI4" s="76"/>
      <c r="AJ4" s="76"/>
      <c r="AK4" s="76"/>
      <c r="AL4" s="76"/>
      <c r="AM4" s="76"/>
      <c r="AN4" s="76"/>
      <c r="AO4" s="77"/>
      <c r="AP4" s="75" t="e" cm="1">
        <f t="array" aca="1" ref="AP4" ca="1">RIGHT(CELL("filename",$A$1),LEN(CELL("filename",$A$1))-FIND("]",CELL("filename",$A$1)))</f>
        <v>#VALUE!</v>
      </c>
      <c r="AQ4" s="76"/>
      <c r="AR4" s="76"/>
      <c r="AS4" s="76"/>
      <c r="AT4" s="76"/>
      <c r="AU4" s="76"/>
      <c r="AV4" s="76"/>
      <c r="AW4" s="76"/>
      <c r="AX4" s="76"/>
      <c r="AY4" s="76"/>
      <c r="AZ4" s="76"/>
      <c r="BA4" s="76"/>
      <c r="BB4" s="76"/>
      <c r="BC4" s="76"/>
      <c r="BD4" s="76"/>
      <c r="BE4" s="76"/>
      <c r="BF4" s="76"/>
      <c r="BG4" s="76"/>
      <c r="BH4" s="76"/>
      <c r="BI4" s="76"/>
      <c r="BJ4" s="76"/>
      <c r="BK4" s="77"/>
    </row>
    <row r="5" spans="1:65" customFormat="1" ht="5.0999999999999996" customHeight="1">
      <c r="A5" s="15"/>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7"/>
    </row>
    <row r="6" spans="1:65" ht="15" customHeight="1">
      <c r="A6" s="18"/>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s="19"/>
    </row>
    <row r="7" spans="1:65" ht="15" customHeight="1">
      <c r="A7" s="18"/>
      <c r="B7" s="52" t="s">
        <v>35</v>
      </c>
      <c r="C7" s="52"/>
      <c r="D7" s="52"/>
      <c r="E7" s="52"/>
      <c r="F7" s="52"/>
      <c r="G7" s="52"/>
      <c r="H7" s="52"/>
      <c r="I7" s="52"/>
      <c r="J7" s="52"/>
      <c r="K7" s="52"/>
      <c r="L7" s="52"/>
      <c r="M7" s="52"/>
      <c r="N7" s="52"/>
      <c r="O7" s="52"/>
      <c r="P7" s="52"/>
      <c r="Q7" s="52"/>
      <c r="R7" s="52"/>
      <c r="S7" s="52"/>
      <c r="T7" s="52"/>
      <c r="U7" s="52"/>
      <c r="V7" s="52"/>
      <c r="W7" s="52"/>
      <c r="X7" s="52"/>
      <c r="Y7" s="52"/>
      <c r="Z7" s="52"/>
      <c r="AA7" s="52"/>
      <c r="AB7" s="52"/>
      <c r="AC7" s="52"/>
      <c r="AD7" s="52"/>
      <c r="AE7" s="52"/>
      <c r="AF7" s="52"/>
      <c r="AG7" s="52"/>
      <c r="AH7" s="52"/>
      <c r="AI7" s="52"/>
      <c r="AJ7" s="52"/>
      <c r="AK7" s="52"/>
      <c r="AL7" s="52"/>
      <c r="AM7" s="52"/>
      <c r="AN7" s="52"/>
      <c r="AO7" s="52"/>
      <c r="AP7" s="52"/>
      <c r="AQ7" s="52"/>
      <c r="AR7" s="52"/>
      <c r="AS7" s="52"/>
      <c r="AT7" s="52"/>
      <c r="AU7" s="52"/>
      <c r="AV7" s="52"/>
      <c r="AW7" s="52"/>
      <c r="AX7" s="52"/>
      <c r="AY7" s="52"/>
      <c r="AZ7" s="52"/>
      <c r="BA7" s="52"/>
      <c r="BB7" s="52"/>
      <c r="BC7" s="52"/>
      <c r="BD7" s="52"/>
      <c r="BE7" s="52"/>
      <c r="BF7" s="52"/>
      <c r="BG7" s="52"/>
      <c r="BH7" s="52"/>
      <c r="BI7" s="52"/>
      <c r="BJ7" s="52"/>
      <c r="BK7" s="19"/>
      <c r="BM7" s="1"/>
    </row>
    <row r="8" spans="1:65" ht="15" customHeight="1">
      <c r="A8" s="18"/>
      <c r="B8"/>
      <c r="C8"/>
      <c r="D8"/>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s="19"/>
      <c r="BM8" s="1"/>
    </row>
    <row r="9" spans="1:65" ht="15" customHeight="1">
      <c r="A9" s="18"/>
      <c r="B9" s="135" t="s">
        <v>36</v>
      </c>
      <c r="C9" s="135"/>
      <c r="D9" s="135"/>
      <c r="E9" s="135"/>
      <c r="F9" s="135"/>
      <c r="G9" s="135"/>
      <c r="H9" s="135"/>
      <c r="I9" s="135"/>
      <c r="J9" s="135"/>
      <c r="K9" s="136" t="s">
        <v>37</v>
      </c>
      <c r="L9" s="136"/>
      <c r="M9" s="136"/>
      <c r="N9" s="136"/>
      <c r="O9" s="136"/>
      <c r="P9" s="136"/>
      <c r="Q9" s="136"/>
      <c r="R9" s="136"/>
      <c r="S9" s="136"/>
      <c r="T9" s="136"/>
      <c r="U9" s="136"/>
      <c r="V9" s="136"/>
      <c r="W9" s="136"/>
      <c r="X9" s="136"/>
      <c r="Y9" s="136"/>
      <c r="Z9" s="136"/>
      <c r="AA9" s="136"/>
      <c r="AB9" s="136"/>
      <c r="AC9" s="136"/>
      <c r="AD9" s="136"/>
      <c r="AE9" s="136"/>
      <c r="AF9" s="136"/>
      <c r="AG9" s="136"/>
      <c r="AH9" s="136"/>
      <c r="AI9" s="137" t="s">
        <v>38</v>
      </c>
      <c r="AJ9" s="137"/>
      <c r="AK9" s="137"/>
      <c r="AL9" s="137"/>
      <c r="AM9" s="137"/>
      <c r="AN9" s="137"/>
      <c r="AO9" s="138" t="s">
        <v>39</v>
      </c>
      <c r="AP9" s="138"/>
      <c r="AQ9" s="138"/>
      <c r="AR9" s="138"/>
      <c r="AS9" s="138"/>
      <c r="AT9" s="138"/>
      <c r="AU9"/>
      <c r="AV9"/>
      <c r="AW9"/>
      <c r="AX9"/>
      <c r="AY9" s="134" t="s">
        <v>40</v>
      </c>
      <c r="AZ9" s="134"/>
      <c r="BA9" s="134"/>
      <c r="BB9" s="134"/>
      <c r="BC9" s="134"/>
      <c r="BD9" s="134"/>
      <c r="BE9" s="134" t="s">
        <v>41</v>
      </c>
      <c r="BF9" s="134"/>
      <c r="BG9" s="134"/>
      <c r="BH9" s="134"/>
      <c r="BI9" s="134"/>
      <c r="BJ9" s="134"/>
      <c r="BK9" s="19"/>
      <c r="BM9" s="1"/>
    </row>
    <row r="10" spans="1:65" ht="15" customHeight="1">
      <c r="A10" s="18"/>
      <c r="B10" s="135"/>
      <c r="C10" s="135"/>
      <c r="D10" s="135"/>
      <c r="E10" s="135"/>
      <c r="F10" s="135"/>
      <c r="G10" s="135"/>
      <c r="H10" s="135"/>
      <c r="I10" s="135"/>
      <c r="J10" s="135"/>
      <c r="K10" s="136" t="s">
        <v>42</v>
      </c>
      <c r="L10" s="136"/>
      <c r="M10" s="136"/>
      <c r="N10" s="136"/>
      <c r="O10" s="136"/>
      <c r="P10" s="136"/>
      <c r="Q10" s="136" t="s">
        <v>43</v>
      </c>
      <c r="R10" s="136"/>
      <c r="S10" s="136"/>
      <c r="T10" s="136"/>
      <c r="U10" s="136"/>
      <c r="V10" s="136"/>
      <c r="W10" s="136" t="s">
        <v>44</v>
      </c>
      <c r="X10" s="136"/>
      <c r="Y10" s="136"/>
      <c r="Z10" s="136"/>
      <c r="AA10" s="136"/>
      <c r="AB10" s="136"/>
      <c r="AC10" s="136" t="s">
        <v>45</v>
      </c>
      <c r="AD10" s="136"/>
      <c r="AE10" s="136"/>
      <c r="AF10" s="136"/>
      <c r="AG10" s="136"/>
      <c r="AH10" s="136"/>
      <c r="AI10" s="137"/>
      <c r="AJ10" s="137"/>
      <c r="AK10" s="137"/>
      <c r="AL10" s="137"/>
      <c r="AM10" s="137"/>
      <c r="AN10" s="137"/>
      <c r="AO10" s="138"/>
      <c r="AP10" s="138"/>
      <c r="AQ10" s="138"/>
      <c r="AR10" s="138"/>
      <c r="AS10" s="138"/>
      <c r="AT10" s="138"/>
      <c r="AU10"/>
      <c r="AV10"/>
      <c r="AW10"/>
      <c r="AX10"/>
      <c r="AY10" s="134"/>
      <c r="AZ10" s="134"/>
      <c r="BA10" s="134"/>
      <c r="BB10" s="134"/>
      <c r="BC10" s="134"/>
      <c r="BD10" s="134"/>
      <c r="BE10" s="134"/>
      <c r="BF10" s="134"/>
      <c r="BG10" s="134"/>
      <c r="BH10" s="134"/>
      <c r="BI10" s="134"/>
      <c r="BJ10" s="134"/>
      <c r="BK10" s="19"/>
      <c r="BM10" s="1"/>
    </row>
    <row r="11" spans="1:65" ht="15" customHeight="1">
      <c r="A11" s="18"/>
      <c r="B11"/>
      <c r="C11"/>
      <c r="D11"/>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s="19"/>
      <c r="BM11" s="1"/>
    </row>
    <row r="12" spans="1:65" ht="15" customHeight="1">
      <c r="A12" s="18"/>
      <c r="B12"/>
      <c r="C12"/>
      <c r="D12"/>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s="19"/>
      <c r="BM12" s="1"/>
    </row>
    <row r="13" spans="1:65" ht="15" customHeight="1">
      <c r="A13" s="18"/>
      <c r="B13"/>
      <c r="C13"/>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s="19"/>
      <c r="BM13" s="1"/>
    </row>
    <row r="14" spans="1:65" ht="15" customHeight="1">
      <c r="A14" s="18"/>
      <c r="B14"/>
      <c r="C14"/>
      <c r="D14"/>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s="19"/>
      <c r="BM14" s="1"/>
    </row>
    <row r="15" spans="1:65" ht="15" customHeight="1">
      <c r="A15" s="18"/>
      <c r="B15"/>
      <c r="C15"/>
      <c r="D15"/>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s="19"/>
      <c r="BM15" s="1"/>
    </row>
    <row r="16" spans="1:65" ht="15" customHeight="1">
      <c r="A16" s="18"/>
      <c r="B16"/>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s="19"/>
      <c r="BM16" s="1"/>
    </row>
    <row r="17" spans="1:65" ht="15" customHeight="1">
      <c r="A17" s="18"/>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s="19"/>
      <c r="BM17" s="1"/>
    </row>
    <row r="18" spans="1:65" ht="15" customHeight="1">
      <c r="A18" s="18"/>
      <c r="B18"/>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s="19"/>
      <c r="BM18" s="1"/>
    </row>
    <row r="19" spans="1:65" ht="15" customHeight="1">
      <c r="A19" s="18"/>
      <c r="B19"/>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s="19"/>
      <c r="BM19" s="1"/>
    </row>
    <row r="20" spans="1:65" ht="15" customHeight="1">
      <c r="A20" s="18"/>
      <c r="B20"/>
      <c r="C20"/>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s="19"/>
      <c r="BM20" s="1"/>
    </row>
    <row r="21" spans="1:65" ht="15" customHeight="1">
      <c r="A21" s="18"/>
      <c r="B21"/>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s="19"/>
      <c r="BM21" s="1"/>
    </row>
    <row r="22" spans="1:65" ht="15" customHeight="1">
      <c r="A22" s="18"/>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s="19"/>
      <c r="BM22" s="1"/>
    </row>
    <row r="23" spans="1:65" ht="15" customHeight="1">
      <c r="A23" s="18"/>
      <c r="B23"/>
      <c r="C23"/>
      <c r="D23"/>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s="19"/>
      <c r="BM23" s="1"/>
    </row>
    <row r="24" spans="1:65" ht="15" customHeight="1">
      <c r="A24" s="18"/>
      <c r="B24"/>
      <c r="C24"/>
      <c r="D24"/>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s="19"/>
      <c r="BM24" s="1"/>
    </row>
    <row r="25" spans="1:65" ht="15" customHeight="1">
      <c r="A25" s="18"/>
      <c r="B25"/>
      <c r="C25"/>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s="19"/>
      <c r="BM25" s="1"/>
    </row>
    <row r="26" spans="1:65" ht="15" customHeight="1">
      <c r="A26" s="18"/>
      <c r="B26"/>
      <c r="C26"/>
      <c r="D26"/>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s="19"/>
      <c r="BM26" s="1"/>
    </row>
    <row r="27" spans="1:65" ht="15" customHeight="1">
      <c r="A27" s="18"/>
      <c r="B27"/>
      <c r="C27"/>
      <c r="D27"/>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s="19"/>
      <c r="BM27" s="1"/>
    </row>
    <row r="28" spans="1:65" ht="15" customHeight="1">
      <c r="A28" s="18"/>
      <c r="B28"/>
      <c r="C28"/>
      <c r="D28"/>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s="19"/>
      <c r="BM28" s="1"/>
    </row>
    <row r="29" spans="1:65" ht="15" customHeight="1">
      <c r="A29" s="18"/>
      <c r="B2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s="19"/>
      <c r="BM29" s="1"/>
    </row>
    <row r="30" spans="1:65" ht="15" customHeight="1">
      <c r="A30" s="18"/>
      <c r="B30"/>
      <c r="C30"/>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s="19"/>
      <c r="BM30" s="1"/>
    </row>
    <row r="31" spans="1:65" ht="15" customHeight="1">
      <c r="A31" s="18"/>
      <c r="B31"/>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s="19"/>
      <c r="BM31" s="1"/>
    </row>
    <row r="32" spans="1:65" ht="15" customHeight="1">
      <c r="A32" s="18"/>
      <c r="B32"/>
      <c r="C32"/>
      <c r="D32"/>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s="19"/>
      <c r="BM32" s="1"/>
    </row>
    <row r="33" spans="1:65" ht="15" customHeight="1">
      <c r="A33" s="18"/>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s="19"/>
      <c r="BM33" s="1"/>
    </row>
    <row r="34" spans="1:65" ht="15" customHeight="1">
      <c r="A34" s="18"/>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s="19"/>
      <c r="BM34" s="1"/>
    </row>
    <row r="35" spans="1:65" ht="15" customHeight="1">
      <c r="A35" s="18"/>
      <c r="B35"/>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s="19"/>
      <c r="BM35" s="1"/>
    </row>
    <row r="36" spans="1:65" ht="15" customHeight="1">
      <c r="A36" s="18"/>
      <c r="B36"/>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s="19"/>
      <c r="BM36" s="1"/>
    </row>
    <row r="37" spans="1:65" ht="15" customHeight="1">
      <c r="A37" s="18"/>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s="19"/>
      <c r="BM37" s="1"/>
    </row>
    <row r="38" spans="1:65" ht="15" customHeight="1">
      <c r="A38" s="1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s="19"/>
      <c r="BM38" s="1"/>
    </row>
    <row r="39" spans="1:65" ht="15" customHeight="1">
      <c r="A39" s="18"/>
      <c r="B39"/>
      <c r="C39"/>
      <c r="D39"/>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s="19"/>
      <c r="BM39" s="1"/>
    </row>
    <row r="40" spans="1:65" ht="15" customHeight="1">
      <c r="A40" s="18"/>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s="19"/>
      <c r="BM40" s="1"/>
    </row>
    <row r="41" spans="1:65" ht="15" customHeight="1">
      <c r="A41" s="18"/>
      <c r="B41"/>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s="19"/>
      <c r="BM41" s="1"/>
    </row>
    <row r="42" spans="1:65" ht="15" customHeight="1">
      <c r="A42" s="18"/>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s="19"/>
      <c r="BM42" s="1"/>
    </row>
    <row r="43" spans="1:65" ht="15" customHeight="1">
      <c r="A43" s="18"/>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s="19"/>
      <c r="BM43" s="1"/>
    </row>
    <row r="44" spans="1:65" ht="15" customHeight="1">
      <c r="A44" s="18"/>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s="19"/>
      <c r="BM44" s="1"/>
    </row>
    <row r="45" spans="1:65" ht="15" customHeight="1">
      <c r="A45" s="18"/>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s="19"/>
      <c r="BM45" s="1"/>
    </row>
    <row r="46" spans="1:65" ht="15" customHeight="1">
      <c r="A46" s="18"/>
      <c r="B46"/>
      <c r="C46"/>
      <c r="D46"/>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s="19"/>
      <c r="BM46" s="1"/>
    </row>
    <row r="47" spans="1:65" ht="15" customHeight="1">
      <c r="A47" s="18"/>
      <c r="B47"/>
      <c r="C47"/>
      <c r="D47"/>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s="19"/>
      <c r="BM47" s="1"/>
    </row>
    <row r="48" spans="1:65" ht="15" customHeight="1">
      <c r="A48" s="18"/>
      <c r="B48"/>
      <c r="C48"/>
      <c r="D48"/>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s="19"/>
      <c r="BM48" s="1"/>
    </row>
    <row r="49" spans="1:65" ht="15" customHeight="1">
      <c r="A49" s="18"/>
      <c r="B49"/>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s="19"/>
      <c r="BM49" s="1"/>
    </row>
    <row r="50" spans="1:65" ht="15" customHeight="1">
      <c r="A50" s="18"/>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s="19"/>
      <c r="BM50" s="1"/>
    </row>
    <row r="51" spans="1:65" ht="15" customHeight="1">
      <c r="A51" s="18"/>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s="19"/>
      <c r="BM51" s="1"/>
    </row>
    <row r="52" spans="1:65" ht="15" customHeight="1">
      <c r="A52" s="18"/>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U52"/>
      <c r="AV52"/>
      <c r="AW52"/>
      <c r="AX52"/>
      <c r="AY52"/>
      <c r="AZ52"/>
      <c r="BA52"/>
      <c r="BB52"/>
      <c r="BC52"/>
      <c r="BD52"/>
      <c r="BE52"/>
      <c r="BF52"/>
      <c r="BG52"/>
      <c r="BH52"/>
      <c r="BI52"/>
      <c r="BJ52"/>
      <c r="BK52" s="19"/>
      <c r="BM52" s="1"/>
    </row>
    <row r="53" spans="1:65" ht="15" customHeight="1">
      <c r="A53" s="18"/>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s="19"/>
      <c r="BM53" s="1"/>
    </row>
    <row r="54" spans="1:65" ht="15" customHeight="1">
      <c r="A54" s="18"/>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s="19"/>
      <c r="BM54" s="1"/>
    </row>
    <row r="55" spans="1:65" ht="15" customHeight="1">
      <c r="A55" s="18"/>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s="19"/>
      <c r="BM55" s="1"/>
    </row>
    <row r="56" spans="1:65" ht="15" customHeight="1">
      <c r="A56" s="18"/>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s="19"/>
      <c r="BM56" s="1"/>
    </row>
    <row r="57" spans="1:65" ht="15" customHeight="1">
      <c r="A57" s="18"/>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s="19"/>
      <c r="BM57" s="1"/>
    </row>
    <row r="58" spans="1:65" ht="15" customHeight="1">
      <c r="A58" s="1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s="19"/>
      <c r="BM58" s="1"/>
    </row>
    <row r="59" spans="1:65" ht="15" customHeight="1">
      <c r="A59" s="18"/>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s="19"/>
      <c r="BM59" s="1"/>
    </row>
    <row r="60" spans="1:65" ht="15" customHeight="1">
      <c r="A60" s="18"/>
      <c r="B60"/>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s="19"/>
      <c r="BM60" s="1"/>
    </row>
    <row r="61" spans="1:65" ht="15" customHeight="1">
      <c r="A61" s="18"/>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s="19"/>
      <c r="BM61" s="1"/>
    </row>
    <row r="62" spans="1:65" s="8" customFormat="1" ht="15" customHeight="1">
      <c r="A62" s="42"/>
      <c r="B62" s="52" t="s">
        <v>46</v>
      </c>
      <c r="C62" s="52"/>
      <c r="D62" s="52"/>
      <c r="E62" s="52"/>
      <c r="F62" s="52"/>
      <c r="G62" s="52"/>
      <c r="H62" s="52"/>
      <c r="I62" s="52"/>
      <c r="J62" s="52"/>
      <c r="K62" s="52"/>
      <c r="L62" s="52"/>
      <c r="M62" s="52"/>
      <c r="N62" s="52"/>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c r="BK62" s="43"/>
      <c r="BM62" s="1"/>
    </row>
    <row r="63" spans="1:65" ht="15" customHeight="1">
      <c r="A63" s="18"/>
      <c r="B63"/>
      <c r="C63"/>
      <c r="D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s="19"/>
      <c r="BM63" s="1"/>
    </row>
    <row r="64" spans="1:65" ht="15" customHeight="1">
      <c r="A64" s="18"/>
      <c r="B64" s="136" t="s">
        <v>37</v>
      </c>
      <c r="C64" s="136"/>
      <c r="D64" s="136"/>
      <c r="E64" s="136"/>
      <c r="F64" s="136"/>
      <c r="G64" s="136"/>
      <c r="H64" s="136"/>
      <c r="I64" s="136"/>
      <c r="J64" s="136"/>
      <c r="K64" s="136"/>
      <c r="L64" s="136"/>
      <c r="M64" s="136"/>
      <c r="N64" s="136"/>
      <c r="O64" s="136"/>
      <c r="P64" s="136"/>
      <c r="Q64" s="136"/>
      <c r="R64" s="136"/>
      <c r="S64" s="136"/>
      <c r="T64" s="136"/>
      <c r="U64" s="136"/>
      <c r="V64" s="136"/>
      <c r="W64" s="136"/>
      <c r="X64" s="136"/>
      <c r="Y64" s="136"/>
      <c r="Z64" s="137" t="s">
        <v>38</v>
      </c>
      <c r="AA64" s="137"/>
      <c r="AB64" s="137"/>
      <c r="AC64" s="137"/>
      <c r="AD64" s="137"/>
      <c r="AE64" s="137"/>
      <c r="AF64" s="138" t="s">
        <v>39</v>
      </c>
      <c r="AG64" s="138"/>
      <c r="AH64" s="138"/>
      <c r="AI64" s="138"/>
      <c r="AJ64" s="138"/>
      <c r="AK64" s="138"/>
      <c r="AL64" s="138" t="s">
        <v>47</v>
      </c>
      <c r="AM64" s="138"/>
      <c r="AN64" s="138"/>
      <c r="AO64" s="138"/>
      <c r="AP64" s="138"/>
      <c r="AQ64" s="138"/>
      <c r="AR64"/>
      <c r="AS64"/>
      <c r="AT64"/>
      <c r="AU64"/>
      <c r="AV64"/>
      <c r="AW64"/>
      <c r="AX64"/>
      <c r="AY64" s="134" t="s">
        <v>40</v>
      </c>
      <c r="AZ64" s="134"/>
      <c r="BA64" s="134"/>
      <c r="BB64" s="134"/>
      <c r="BC64" s="134"/>
      <c r="BD64" s="134"/>
      <c r="BE64" s="134" t="s">
        <v>41</v>
      </c>
      <c r="BF64" s="134"/>
      <c r="BG64" s="134"/>
      <c r="BH64" s="134"/>
      <c r="BI64" s="134"/>
      <c r="BJ64" s="134"/>
      <c r="BK64" s="19"/>
      <c r="BM64" s="1"/>
    </row>
    <row r="65" spans="1:65" ht="15" customHeight="1">
      <c r="A65" s="18"/>
      <c r="B65" s="136" t="s">
        <v>42</v>
      </c>
      <c r="C65" s="136"/>
      <c r="D65" s="136"/>
      <c r="E65" s="136"/>
      <c r="F65" s="136"/>
      <c r="G65" s="136"/>
      <c r="H65" s="136" t="s">
        <v>43</v>
      </c>
      <c r="I65" s="136"/>
      <c r="J65" s="136"/>
      <c r="K65" s="136"/>
      <c r="L65" s="136"/>
      <c r="M65" s="136"/>
      <c r="N65" s="136" t="s">
        <v>44</v>
      </c>
      <c r="O65" s="136"/>
      <c r="P65" s="136"/>
      <c r="Q65" s="136"/>
      <c r="R65" s="136"/>
      <c r="S65" s="136"/>
      <c r="T65" s="136" t="s">
        <v>45</v>
      </c>
      <c r="U65" s="136"/>
      <c r="V65" s="136"/>
      <c r="W65" s="136"/>
      <c r="X65" s="136"/>
      <c r="Y65" s="136"/>
      <c r="Z65" s="137"/>
      <c r="AA65" s="137"/>
      <c r="AB65" s="137"/>
      <c r="AC65" s="137"/>
      <c r="AD65" s="137"/>
      <c r="AE65" s="137"/>
      <c r="AF65" s="138"/>
      <c r="AG65" s="138"/>
      <c r="AH65" s="138"/>
      <c r="AI65" s="138"/>
      <c r="AJ65" s="138"/>
      <c r="AK65" s="138"/>
      <c r="AL65" s="138"/>
      <c r="AM65" s="138"/>
      <c r="AN65" s="138"/>
      <c r="AO65" s="138"/>
      <c r="AP65" s="138"/>
      <c r="AQ65" s="138"/>
      <c r="AR65"/>
      <c r="AS65"/>
      <c r="AT65"/>
      <c r="AU65"/>
      <c r="AV65"/>
      <c r="AW65"/>
      <c r="AX65"/>
      <c r="AY65" s="134"/>
      <c r="AZ65" s="134"/>
      <c r="BA65" s="134"/>
      <c r="BB65" s="134"/>
      <c r="BC65" s="134"/>
      <c r="BD65" s="134"/>
      <c r="BE65" s="134"/>
      <c r="BF65" s="134"/>
      <c r="BG65" s="134"/>
      <c r="BH65" s="134"/>
      <c r="BI65" s="134"/>
      <c r="BJ65" s="134"/>
      <c r="BK65" s="19"/>
      <c r="BM65" s="1"/>
    </row>
    <row r="66" spans="1:65" ht="15" customHeight="1">
      <c r="A66" s="18"/>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s="19"/>
      <c r="BM66" s="1"/>
    </row>
    <row r="67" spans="1:65" ht="15" customHeight="1">
      <c r="A67" s="18"/>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s="19"/>
      <c r="BM67" s="1"/>
    </row>
    <row r="68" spans="1:65" ht="15" customHeight="1">
      <c r="A68" s="1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s="19"/>
      <c r="BM68" s="1"/>
    </row>
    <row r="69" spans="1:65" ht="15" customHeight="1">
      <c r="A69" s="18"/>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s="19"/>
      <c r="BM69" s="1"/>
    </row>
    <row r="70" spans="1:65" ht="15" customHeight="1">
      <c r="A70" s="18"/>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s="19"/>
      <c r="BM70" s="1"/>
    </row>
    <row r="71" spans="1:65" ht="15" customHeight="1">
      <c r="A71" s="18"/>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s="19"/>
      <c r="BM71" s="1"/>
    </row>
    <row r="72" spans="1:65" ht="15" customHeight="1">
      <c r="A72" s="18"/>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s="19"/>
      <c r="BM72" s="1"/>
    </row>
    <row r="73" spans="1:65" ht="15" customHeight="1">
      <c r="A73" s="18"/>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s="19"/>
      <c r="BM73" s="1"/>
    </row>
    <row r="74" spans="1:65" ht="15" customHeight="1">
      <c r="A74" s="18"/>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s="19"/>
      <c r="BM74" s="1"/>
    </row>
    <row r="75" spans="1:65" ht="15" customHeight="1">
      <c r="A75" s="18"/>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s="19"/>
      <c r="BM75" s="1"/>
    </row>
    <row r="76" spans="1:65" ht="15" customHeight="1">
      <c r="A76" s="18"/>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s="19"/>
      <c r="BM76" s="1"/>
    </row>
    <row r="77" spans="1:65" ht="15" customHeight="1">
      <c r="A77" s="18"/>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s="19"/>
      <c r="BM77" s="1"/>
    </row>
    <row r="78" spans="1:65" ht="15" customHeight="1">
      <c r="A78" s="1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s="19"/>
      <c r="BM78" s="1"/>
    </row>
    <row r="79" spans="1:65" ht="15" customHeight="1">
      <c r="A79" s="18"/>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s="19"/>
      <c r="BM79" s="1"/>
    </row>
    <row r="80" spans="1:65" ht="15" customHeight="1">
      <c r="A80" s="18"/>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s="19"/>
      <c r="BM80" s="1"/>
    </row>
    <row r="81" spans="1:65" ht="15" customHeight="1">
      <c r="A81" s="18"/>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s="19"/>
      <c r="BM81" s="1"/>
    </row>
    <row r="82" spans="1:65" ht="15" customHeight="1">
      <c r="A82" s="18"/>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s="19"/>
      <c r="BM82" s="1"/>
    </row>
    <row r="83" spans="1:65" ht="15" customHeight="1">
      <c r="A83" s="18"/>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s="19"/>
      <c r="BM83" s="1"/>
    </row>
    <row r="84" spans="1:65" ht="15" customHeight="1">
      <c r="A84" s="18"/>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s="19"/>
      <c r="BM84" s="1"/>
    </row>
    <row r="85" spans="1:65" ht="15" customHeight="1">
      <c r="A85" s="18"/>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s="19"/>
      <c r="BM85" s="1"/>
    </row>
    <row r="86" spans="1:65" ht="15" customHeight="1">
      <c r="A86" s="18"/>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s="19"/>
      <c r="BM86" s="1"/>
    </row>
    <row r="87" spans="1:65" ht="15" customHeight="1">
      <c r="A87" s="18"/>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s="19"/>
      <c r="BM87" s="1"/>
    </row>
    <row r="88" spans="1:65" ht="15" customHeight="1">
      <c r="A88" s="1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s="19"/>
      <c r="BM88" s="1"/>
    </row>
    <row r="89" spans="1:65" ht="15" customHeight="1">
      <c r="A89" s="18"/>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s="19"/>
      <c r="BM89" s="1"/>
    </row>
    <row r="90" spans="1:65" ht="15" customHeight="1">
      <c r="A90" s="18"/>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s="19"/>
      <c r="BM90" s="1"/>
    </row>
    <row r="91" spans="1:65" ht="15" customHeight="1">
      <c r="A91" s="18"/>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s="19"/>
      <c r="BM91" s="1"/>
    </row>
    <row r="92" spans="1:65" ht="15" customHeight="1">
      <c r="A92" s="18"/>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s="19"/>
      <c r="BM92" s="1"/>
    </row>
    <row r="93" spans="1:65" ht="15" customHeight="1">
      <c r="A93" s="18"/>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s="19"/>
      <c r="BM93" s="1"/>
    </row>
    <row r="94" spans="1:65" ht="15" customHeight="1">
      <c r="A94" s="18"/>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s="19"/>
      <c r="BM94" s="1"/>
    </row>
    <row r="95" spans="1:65" ht="15" customHeight="1">
      <c r="A95" s="18"/>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s="19"/>
      <c r="BM95" s="1"/>
    </row>
    <row r="96" spans="1:65" ht="15" customHeight="1">
      <c r="A96" s="18"/>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s="19"/>
      <c r="BM96" s="1"/>
    </row>
    <row r="97" spans="1:65" ht="15" customHeight="1">
      <c r="A97" s="18"/>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s="19"/>
      <c r="BM97" s="1"/>
    </row>
    <row r="98" spans="1:65" ht="15" customHeight="1">
      <c r="A98" s="1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s="19"/>
      <c r="BM98" s="1"/>
    </row>
    <row r="99" spans="1:65" ht="15" customHeight="1">
      <c r="A99" s="18"/>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s="19"/>
      <c r="BM99" s="1"/>
    </row>
    <row r="100" spans="1:65" ht="15" customHeight="1">
      <c r="A100" s="18"/>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s="19"/>
      <c r="BM100" s="1"/>
    </row>
    <row r="101" spans="1:65" ht="15" customHeight="1">
      <c r="A101" s="18"/>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s="19"/>
      <c r="BM101" s="1"/>
    </row>
    <row r="102" spans="1:65" ht="15" customHeight="1">
      <c r="A102" s="6"/>
      <c r="BK102" s="7"/>
      <c r="BM102" s="1"/>
    </row>
    <row r="103" spans="1:65" ht="15" customHeight="1">
      <c r="A103" s="6"/>
      <c r="BK103" s="7"/>
      <c r="BM103" s="1"/>
    </row>
    <row r="104" spans="1:65" ht="15" customHeight="1">
      <c r="A104" s="6"/>
      <c r="BK104" s="7"/>
      <c r="BM104" s="1"/>
    </row>
    <row r="105" spans="1:65" ht="15" customHeight="1">
      <c r="A105" s="6"/>
      <c r="BK105" s="7"/>
      <c r="BM105" s="1"/>
    </row>
    <row r="106" spans="1:65" ht="15" customHeight="1">
      <c r="A106" s="6"/>
      <c r="B106" s="53" t="s">
        <v>48</v>
      </c>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c r="AA106" s="53"/>
      <c r="AB106" s="53"/>
      <c r="AC106" s="53"/>
      <c r="AD106" s="53"/>
      <c r="AE106" s="53"/>
      <c r="AF106" s="53"/>
      <c r="AG106" s="53"/>
      <c r="AH106" s="53"/>
      <c r="AI106" s="53"/>
      <c r="AJ106" s="53"/>
      <c r="AK106" s="53"/>
      <c r="AL106" s="53"/>
      <c r="AM106" s="53"/>
      <c r="AN106" s="53"/>
      <c r="AO106" s="53"/>
      <c r="AP106" s="53"/>
      <c r="AQ106" s="53"/>
      <c r="AR106" s="53"/>
      <c r="AS106" s="53"/>
      <c r="AT106" s="53"/>
      <c r="AU106" s="53"/>
      <c r="AV106" s="53"/>
      <c r="AW106" s="53"/>
      <c r="AX106" s="53"/>
      <c r="AY106" s="53"/>
      <c r="AZ106" s="53"/>
      <c r="BA106" s="53"/>
      <c r="BB106" s="53"/>
      <c r="BC106" s="53"/>
      <c r="BD106" s="53"/>
      <c r="BE106" s="53"/>
      <c r="BF106" s="53"/>
      <c r="BG106" s="53"/>
      <c r="BH106" s="53"/>
      <c r="BI106" s="53"/>
      <c r="BJ106" s="53"/>
      <c r="BK106" s="7"/>
      <c r="BM106" s="1"/>
    </row>
    <row r="107" spans="1:65" ht="15" customHeight="1">
      <c r="A107" s="6"/>
      <c r="BK107" s="7"/>
      <c r="BM107" s="1"/>
    </row>
    <row r="108" spans="1:65" ht="15" customHeight="1">
      <c r="A108" s="6"/>
      <c r="B108" s="137" t="s">
        <v>38</v>
      </c>
      <c r="C108" s="137"/>
      <c r="D108" s="137"/>
      <c r="E108" s="137"/>
      <c r="F108" s="137"/>
      <c r="G108" s="137"/>
      <c r="H108" s="138" t="s">
        <v>39</v>
      </c>
      <c r="I108" s="138"/>
      <c r="J108" s="138"/>
      <c r="K108" s="138"/>
      <c r="L108" s="138"/>
      <c r="M108" s="138"/>
      <c r="N108" s="138" t="s">
        <v>47</v>
      </c>
      <c r="O108" s="138"/>
      <c r="P108" s="138"/>
      <c r="Q108" s="138"/>
      <c r="R108" s="138"/>
      <c r="S108" s="138"/>
      <c r="T108" s="139" t="s">
        <v>49</v>
      </c>
      <c r="U108" s="140"/>
      <c r="V108" s="140"/>
      <c r="W108" s="140"/>
      <c r="X108" s="140"/>
      <c r="Y108" s="140"/>
      <c r="Z108" s="140"/>
      <c r="AA108" s="140"/>
      <c r="AB108" s="140"/>
      <c r="AC108" s="140"/>
      <c r="AD108" s="140"/>
      <c r="AE108" s="140"/>
      <c r="AF108" s="140"/>
      <c r="AG108" s="140"/>
      <c r="AH108" s="140"/>
      <c r="AI108" s="140"/>
      <c r="AJ108" s="140"/>
      <c r="AK108" s="141"/>
      <c r="AY108" s="134" t="s">
        <v>40</v>
      </c>
      <c r="AZ108" s="134"/>
      <c r="BA108" s="134"/>
      <c r="BB108" s="134"/>
      <c r="BC108" s="134"/>
      <c r="BD108" s="134"/>
      <c r="BE108" s="134" t="s">
        <v>41</v>
      </c>
      <c r="BF108" s="134"/>
      <c r="BG108" s="134"/>
      <c r="BH108" s="134"/>
      <c r="BI108" s="134"/>
      <c r="BJ108" s="134"/>
      <c r="BK108" s="7"/>
      <c r="BM108" s="1"/>
    </row>
    <row r="109" spans="1:65" ht="15" customHeight="1">
      <c r="A109" s="6"/>
      <c r="B109" s="137"/>
      <c r="C109" s="137"/>
      <c r="D109" s="137"/>
      <c r="E109" s="137"/>
      <c r="F109" s="137"/>
      <c r="G109" s="137"/>
      <c r="H109" s="138"/>
      <c r="I109" s="138"/>
      <c r="J109" s="138"/>
      <c r="K109" s="138"/>
      <c r="L109" s="138"/>
      <c r="M109" s="138"/>
      <c r="N109" s="138"/>
      <c r="O109" s="138"/>
      <c r="P109" s="138"/>
      <c r="Q109" s="138"/>
      <c r="R109" s="138"/>
      <c r="S109" s="138"/>
      <c r="T109" s="139" t="s">
        <v>50</v>
      </c>
      <c r="U109" s="140"/>
      <c r="V109" s="140"/>
      <c r="W109" s="140"/>
      <c r="X109" s="140"/>
      <c r="Y109" s="141"/>
      <c r="Z109" s="139" t="s">
        <v>44</v>
      </c>
      <c r="AA109" s="140"/>
      <c r="AB109" s="140"/>
      <c r="AC109" s="140"/>
      <c r="AD109" s="140"/>
      <c r="AE109" s="141"/>
      <c r="AF109" s="139" t="s">
        <v>45</v>
      </c>
      <c r="AG109" s="140"/>
      <c r="AH109" s="140"/>
      <c r="AI109" s="140"/>
      <c r="AJ109" s="140"/>
      <c r="AK109" s="141"/>
      <c r="AY109" s="134"/>
      <c r="AZ109" s="134"/>
      <c r="BA109" s="134"/>
      <c r="BB109" s="134"/>
      <c r="BC109" s="134"/>
      <c r="BD109" s="134"/>
      <c r="BE109" s="134"/>
      <c r="BF109" s="134"/>
      <c r="BG109" s="134"/>
      <c r="BH109" s="134"/>
      <c r="BI109" s="134"/>
      <c r="BJ109" s="134"/>
      <c r="BK109" s="7"/>
      <c r="BM109" s="1"/>
    </row>
    <row r="110" spans="1:65" ht="15" customHeight="1">
      <c r="A110" s="6"/>
      <c r="BK110" s="7"/>
      <c r="BM110" s="1"/>
    </row>
    <row r="111" spans="1:65" ht="15" customHeight="1">
      <c r="A111" s="6"/>
      <c r="BK111" s="7"/>
      <c r="BM111" s="1"/>
    </row>
    <row r="112" spans="1:65" ht="15" customHeight="1">
      <c r="A112" s="6"/>
      <c r="BK112" s="7"/>
      <c r="BM112" s="1"/>
    </row>
    <row r="113" spans="1:65" ht="15" customHeight="1">
      <c r="A113" s="6"/>
      <c r="BK113" s="7"/>
      <c r="BM113" s="1"/>
    </row>
    <row r="114" spans="1:65" ht="15" customHeight="1">
      <c r="A114" s="6"/>
      <c r="BK114" s="7"/>
      <c r="BM114" s="1"/>
    </row>
    <row r="115" spans="1:65" ht="15" customHeight="1">
      <c r="A115" s="6"/>
      <c r="BK115" s="7"/>
      <c r="BM115" s="1"/>
    </row>
    <row r="116" spans="1:65" ht="15" customHeight="1">
      <c r="A116" s="6"/>
      <c r="BK116" s="7"/>
      <c r="BM116" s="1"/>
    </row>
    <row r="117" spans="1:65" ht="15" customHeight="1">
      <c r="A117" s="6"/>
      <c r="BK117" s="7"/>
      <c r="BM117" s="1"/>
    </row>
    <row r="118" spans="1:65" ht="15" customHeight="1">
      <c r="A118" s="6"/>
      <c r="BK118" s="7"/>
      <c r="BM118" s="1"/>
    </row>
    <row r="119" spans="1:65" ht="15" customHeight="1">
      <c r="A119" s="6"/>
      <c r="BK119" s="7"/>
      <c r="BM119" s="1"/>
    </row>
    <row r="120" spans="1:65" ht="15" customHeight="1">
      <c r="A120" s="6"/>
      <c r="BK120" s="7"/>
      <c r="BM120" s="1"/>
    </row>
    <row r="121" spans="1:65" ht="15" customHeight="1">
      <c r="A121" s="6"/>
      <c r="BK121" s="7"/>
      <c r="BM121" s="1"/>
    </row>
    <row r="122" spans="1:65" ht="15" customHeight="1">
      <c r="A122" s="6"/>
      <c r="BK122" s="7"/>
      <c r="BM122" s="1"/>
    </row>
    <row r="123" spans="1:65" ht="15" customHeight="1">
      <c r="A123" s="6"/>
      <c r="BK123" s="7"/>
      <c r="BM123" s="1"/>
    </row>
    <row r="124" spans="1:65" ht="15" customHeight="1">
      <c r="A124" s="6"/>
      <c r="BK124" s="7"/>
      <c r="BM124" s="1"/>
    </row>
    <row r="125" spans="1:65" ht="15" customHeight="1">
      <c r="A125" s="6"/>
      <c r="BK125" s="7"/>
      <c r="BM125" s="1"/>
    </row>
    <row r="126" spans="1:65" ht="15" customHeight="1">
      <c r="A126" s="6"/>
      <c r="BK126" s="7"/>
      <c r="BM126" s="1"/>
    </row>
    <row r="127" spans="1:65" ht="15" customHeight="1">
      <c r="A127" s="6"/>
      <c r="BK127" s="7"/>
      <c r="BM127" s="1"/>
    </row>
    <row r="128" spans="1:65" ht="15" customHeight="1">
      <c r="A128" s="6"/>
      <c r="BK128" s="7"/>
      <c r="BM128" s="1"/>
    </row>
    <row r="129" spans="1:65" ht="15" customHeight="1">
      <c r="A129" s="6"/>
      <c r="BK129" s="7"/>
      <c r="BM129" s="1"/>
    </row>
    <row r="130" spans="1:65" ht="15" customHeight="1">
      <c r="A130" s="6"/>
      <c r="BK130" s="7"/>
      <c r="BM130" s="1"/>
    </row>
    <row r="131" spans="1:65" ht="15" customHeight="1">
      <c r="A131" s="6"/>
      <c r="BK131" s="7"/>
      <c r="BM131" s="1"/>
    </row>
    <row r="132" spans="1:65" ht="15" customHeight="1">
      <c r="A132" s="6"/>
      <c r="BK132" s="7"/>
      <c r="BM132" s="1"/>
    </row>
    <row r="133" spans="1:65" ht="15" customHeight="1">
      <c r="A133" s="6"/>
      <c r="BK133" s="7"/>
      <c r="BM133" s="1"/>
    </row>
    <row r="134" spans="1:65" ht="15" customHeight="1">
      <c r="A134" s="6"/>
      <c r="BK134" s="7"/>
      <c r="BM134" s="1"/>
    </row>
    <row r="135" spans="1:65" ht="15" customHeight="1">
      <c r="A135" s="6"/>
      <c r="BK135" s="7"/>
      <c r="BM135" s="1"/>
    </row>
    <row r="136" spans="1:65" ht="15" customHeight="1">
      <c r="A136" s="6"/>
      <c r="BK136" s="7"/>
      <c r="BM136" s="1"/>
    </row>
    <row r="137" spans="1:65" ht="15" customHeight="1">
      <c r="A137" s="6"/>
      <c r="BK137" s="7"/>
      <c r="BM137" s="1"/>
    </row>
    <row r="138" spans="1:65" ht="15" customHeight="1">
      <c r="A138" s="6"/>
      <c r="BK138" s="7"/>
      <c r="BM138" s="1"/>
    </row>
    <row r="139" spans="1:65" ht="15" customHeight="1">
      <c r="A139" s="6"/>
      <c r="BK139" s="7"/>
      <c r="BM139" s="1"/>
    </row>
    <row r="140" spans="1:65" ht="15" customHeight="1">
      <c r="A140" s="6"/>
      <c r="BK140" s="7"/>
      <c r="BM140" s="1"/>
    </row>
    <row r="141" spans="1:65" ht="15" customHeight="1">
      <c r="A141" s="6"/>
      <c r="BK141" s="7"/>
      <c r="BM141" s="1"/>
    </row>
    <row r="142" spans="1:65" ht="15" customHeight="1">
      <c r="A142" s="6"/>
      <c r="BK142" s="7"/>
      <c r="BM142" s="1"/>
    </row>
    <row r="143" spans="1:65" ht="15" customHeight="1">
      <c r="A143" s="6"/>
      <c r="BK143" s="7"/>
      <c r="BM143" s="1"/>
    </row>
    <row r="144" spans="1:65" ht="15" customHeight="1">
      <c r="A144" s="6"/>
      <c r="BK144" s="7"/>
      <c r="BM144" s="1"/>
    </row>
    <row r="145" spans="1:65" ht="15" customHeight="1">
      <c r="A145" s="6"/>
      <c r="BK145" s="7"/>
      <c r="BM145" s="1"/>
    </row>
    <row r="146" spans="1:65" ht="15" customHeight="1">
      <c r="A146" s="6"/>
      <c r="BK146" s="7"/>
      <c r="BM146" s="1"/>
    </row>
    <row r="147" spans="1:65" ht="15" customHeight="1">
      <c r="A147" s="6"/>
      <c r="BK147" s="7"/>
      <c r="BM147" s="1"/>
    </row>
    <row r="148" spans="1:65" ht="15" customHeight="1">
      <c r="A148" s="6"/>
      <c r="BK148" s="7"/>
      <c r="BM148" s="1"/>
    </row>
    <row r="149" spans="1:65" ht="15" customHeight="1">
      <c r="A149" s="6"/>
      <c r="BK149" s="7"/>
      <c r="BM149" s="1"/>
    </row>
    <row r="150" spans="1:65" ht="15" customHeight="1">
      <c r="A150" s="6"/>
      <c r="BK150" s="7"/>
      <c r="BM150" s="1"/>
    </row>
    <row r="151" spans="1:65" ht="15" customHeight="1">
      <c r="A151" s="6"/>
      <c r="BK151" s="7"/>
      <c r="BM151" s="1"/>
    </row>
    <row r="152" spans="1:65" ht="15" customHeight="1">
      <c r="A152" s="6"/>
      <c r="BK152" s="7"/>
      <c r="BM152" s="1"/>
    </row>
    <row r="153" spans="1:65" ht="15" customHeight="1">
      <c r="A153" s="6"/>
      <c r="BK153" s="7"/>
      <c r="BM153" s="1"/>
    </row>
    <row r="154" spans="1:65" ht="15" customHeight="1">
      <c r="A154" s="6"/>
      <c r="BK154" s="7"/>
      <c r="BM154" s="1"/>
    </row>
    <row r="155" spans="1:65" ht="15" customHeight="1">
      <c r="A155" s="6"/>
      <c r="BK155" s="7"/>
      <c r="BM155" s="1"/>
    </row>
    <row r="156" spans="1:65" ht="15" customHeight="1">
      <c r="A156" s="6"/>
      <c r="BK156" s="7"/>
      <c r="BM156" s="1"/>
    </row>
    <row r="157" spans="1:65" ht="15" customHeight="1">
      <c r="A157" s="6"/>
      <c r="BK157" s="7"/>
      <c r="BM157" s="1"/>
    </row>
    <row r="158" spans="1:65" ht="15" customHeight="1">
      <c r="A158" s="6"/>
      <c r="BK158" s="7"/>
      <c r="BM158" s="1"/>
    </row>
    <row r="159" spans="1:65" ht="15" customHeight="1">
      <c r="A159" s="6"/>
      <c r="BK159" s="7"/>
      <c r="BM159" s="1"/>
    </row>
    <row r="160" spans="1:65" ht="15" customHeight="1">
      <c r="A160" s="6"/>
      <c r="BK160" s="7"/>
      <c r="BM160" s="1"/>
    </row>
    <row r="161" spans="1:65" ht="15" customHeight="1">
      <c r="A161" s="6"/>
      <c r="BK161" s="7"/>
      <c r="BM161" s="1"/>
    </row>
    <row r="162" spans="1:65" ht="15" customHeight="1">
      <c r="A162" s="6"/>
      <c r="BK162" s="7"/>
      <c r="BM162" s="1"/>
    </row>
    <row r="163" spans="1:65" ht="15" customHeight="1">
      <c r="A163" s="6"/>
      <c r="BK163" s="7"/>
      <c r="BM163" s="1"/>
    </row>
    <row r="164" spans="1:65" ht="15" customHeight="1">
      <c r="A164" s="6"/>
      <c r="BK164" s="7"/>
      <c r="BM164" s="1"/>
    </row>
    <row r="165" spans="1:65" ht="15" customHeight="1">
      <c r="A165" s="6"/>
      <c r="BK165" s="7"/>
      <c r="BM165" s="1"/>
    </row>
    <row r="166" spans="1:65" ht="15" customHeight="1">
      <c r="A166" s="6"/>
      <c r="BK166" s="7"/>
      <c r="BM166" s="1"/>
    </row>
    <row r="167" spans="1:65" ht="15" customHeight="1">
      <c r="A167" s="6"/>
      <c r="BK167" s="7"/>
      <c r="BM167" s="1"/>
    </row>
    <row r="168" spans="1:65" ht="15" customHeight="1">
      <c r="A168" s="6"/>
      <c r="BK168" s="7"/>
      <c r="BM168" s="1"/>
    </row>
    <row r="169" spans="1:65" ht="15" customHeight="1">
      <c r="A169" s="6"/>
      <c r="BK169" s="7"/>
      <c r="BM169" s="1"/>
    </row>
    <row r="170" spans="1:65" ht="15" customHeight="1">
      <c r="A170" s="6"/>
      <c r="BK170" s="7"/>
      <c r="BM170" s="1"/>
    </row>
    <row r="171" spans="1:65" ht="15" customHeight="1">
      <c r="A171" s="6"/>
      <c r="BK171" s="7"/>
      <c r="BM171" s="1"/>
    </row>
    <row r="172" spans="1:65" ht="15" customHeight="1">
      <c r="A172" s="6"/>
      <c r="BK172" s="7"/>
      <c r="BM172" s="1"/>
    </row>
    <row r="173" spans="1:65" ht="15" customHeight="1">
      <c r="A173" s="6"/>
      <c r="BK173" s="7"/>
      <c r="BM173" s="1"/>
    </row>
    <row r="174" spans="1:65" ht="15" customHeight="1">
      <c r="A174" s="6"/>
      <c r="BK174" s="7"/>
      <c r="BM174" s="1"/>
    </row>
    <row r="175" spans="1:65" ht="15" customHeight="1">
      <c r="A175" s="6"/>
      <c r="BK175" s="7"/>
      <c r="BM175" s="1"/>
    </row>
    <row r="176" spans="1:65" ht="15" customHeight="1">
      <c r="A176" s="6"/>
      <c r="BK176" s="7"/>
      <c r="BM176" s="1"/>
    </row>
    <row r="177" spans="1:65" ht="15" customHeight="1">
      <c r="A177" s="6"/>
      <c r="BK177" s="7"/>
      <c r="BM177" s="1"/>
    </row>
    <row r="178" spans="1:65" ht="15" customHeight="1">
      <c r="A178" s="6"/>
      <c r="BK178" s="7"/>
      <c r="BM178" s="1"/>
    </row>
    <row r="179" spans="1:65" ht="15" customHeight="1">
      <c r="A179" s="6"/>
      <c r="BK179" s="7"/>
      <c r="BM179" s="1"/>
    </row>
    <row r="180" spans="1:65" ht="15" customHeight="1">
      <c r="A180" s="6"/>
      <c r="BK180" s="7"/>
      <c r="BM180" s="1"/>
    </row>
    <row r="181" spans="1:65" ht="15" customHeight="1">
      <c r="A181" s="6"/>
      <c r="BK181" s="7"/>
      <c r="BM181" s="1"/>
    </row>
    <row r="182" spans="1:65" s="8" customFormat="1" ht="15" customHeight="1">
      <c r="A182" s="9"/>
      <c r="B182" s="53" t="s">
        <v>51</v>
      </c>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c r="AA182" s="53"/>
      <c r="AB182" s="53"/>
      <c r="AC182" s="53"/>
      <c r="AD182" s="53"/>
      <c r="AE182" s="53"/>
      <c r="AF182" s="53"/>
      <c r="AG182" s="53"/>
      <c r="AH182" s="53"/>
      <c r="AI182" s="53"/>
      <c r="AJ182" s="53"/>
      <c r="AK182" s="53"/>
      <c r="AL182" s="53"/>
      <c r="AM182" s="53"/>
      <c r="AN182" s="53"/>
      <c r="AO182" s="53"/>
      <c r="AP182" s="53"/>
      <c r="AQ182" s="53"/>
      <c r="AR182" s="53"/>
      <c r="AS182" s="53"/>
      <c r="AT182" s="53"/>
      <c r="AU182" s="53"/>
      <c r="AV182" s="53"/>
      <c r="AW182" s="53"/>
      <c r="AX182" s="53"/>
      <c r="AY182" s="53"/>
      <c r="AZ182" s="53"/>
      <c r="BA182" s="53"/>
      <c r="BB182" s="53"/>
      <c r="BC182" s="53"/>
      <c r="BD182" s="53"/>
      <c r="BE182" s="53"/>
      <c r="BF182" s="53"/>
      <c r="BG182" s="53"/>
      <c r="BH182" s="53"/>
      <c r="BI182" s="53"/>
      <c r="BJ182" s="53"/>
      <c r="BK182" s="10"/>
      <c r="BM182" s="1"/>
    </row>
    <row r="183" spans="1:65" ht="15" customHeight="1">
      <c r="A183" s="6"/>
      <c r="BK183" s="7"/>
      <c r="BM183" s="1"/>
    </row>
    <row r="184" spans="1:65" ht="15" customHeight="1">
      <c r="A184" s="6"/>
      <c r="B184" s="137" t="s">
        <v>38</v>
      </c>
      <c r="C184" s="137"/>
      <c r="D184" s="137"/>
      <c r="E184" s="137"/>
      <c r="F184" s="137"/>
      <c r="G184" s="137"/>
      <c r="H184" s="138" t="s">
        <v>39</v>
      </c>
      <c r="I184" s="138"/>
      <c r="J184" s="138"/>
      <c r="K184" s="138"/>
      <c r="L184" s="138"/>
      <c r="M184" s="138"/>
      <c r="N184" s="138" t="s">
        <v>47</v>
      </c>
      <c r="O184" s="138"/>
      <c r="P184" s="138"/>
      <c r="Q184" s="138"/>
      <c r="R184" s="138"/>
      <c r="S184" s="138"/>
      <c r="T184" s="139" t="s">
        <v>49</v>
      </c>
      <c r="U184" s="140"/>
      <c r="V184" s="140"/>
      <c r="W184" s="140"/>
      <c r="X184" s="140"/>
      <c r="Y184" s="140"/>
      <c r="Z184" s="140"/>
      <c r="AA184" s="140"/>
      <c r="AB184" s="140"/>
      <c r="AC184" s="140"/>
      <c r="AD184" s="140"/>
      <c r="AE184" s="140"/>
      <c r="AF184" s="140"/>
      <c r="AG184" s="140"/>
      <c r="AH184" s="140"/>
      <c r="AI184" s="140"/>
      <c r="AJ184" s="140"/>
      <c r="AK184" s="141"/>
      <c r="AL184" s="142" t="s">
        <v>52</v>
      </c>
      <c r="AM184" s="142"/>
      <c r="AN184" s="142"/>
      <c r="AO184" s="142"/>
      <c r="AP184" s="142"/>
      <c r="AQ184" s="142"/>
      <c r="AY184" s="134" t="s">
        <v>40</v>
      </c>
      <c r="AZ184" s="134"/>
      <c r="BA184" s="134"/>
      <c r="BB184" s="134"/>
      <c r="BC184" s="134"/>
      <c r="BD184" s="134"/>
      <c r="BE184" s="134" t="s">
        <v>41</v>
      </c>
      <c r="BF184" s="134"/>
      <c r="BG184" s="134"/>
      <c r="BH184" s="134"/>
      <c r="BI184" s="134"/>
      <c r="BJ184" s="134"/>
      <c r="BK184" s="7"/>
      <c r="BM184" s="1"/>
    </row>
    <row r="185" spans="1:65" ht="15" customHeight="1">
      <c r="A185" s="6"/>
      <c r="B185" s="137"/>
      <c r="C185" s="137"/>
      <c r="D185" s="137"/>
      <c r="E185" s="137"/>
      <c r="F185" s="137"/>
      <c r="G185" s="137"/>
      <c r="H185" s="138"/>
      <c r="I185" s="138"/>
      <c r="J185" s="138"/>
      <c r="K185" s="138"/>
      <c r="L185" s="138"/>
      <c r="M185" s="138"/>
      <c r="N185" s="138"/>
      <c r="O185" s="138"/>
      <c r="P185" s="138"/>
      <c r="Q185" s="138"/>
      <c r="R185" s="138"/>
      <c r="S185" s="138"/>
      <c r="T185" s="139" t="s">
        <v>50</v>
      </c>
      <c r="U185" s="140"/>
      <c r="V185" s="140"/>
      <c r="W185" s="140"/>
      <c r="X185" s="140"/>
      <c r="Y185" s="141"/>
      <c r="Z185" s="139" t="s">
        <v>44</v>
      </c>
      <c r="AA185" s="140"/>
      <c r="AB185" s="140"/>
      <c r="AC185" s="140"/>
      <c r="AD185" s="140"/>
      <c r="AE185" s="141"/>
      <c r="AF185" s="139" t="s">
        <v>45</v>
      </c>
      <c r="AG185" s="140"/>
      <c r="AH185" s="140"/>
      <c r="AI185" s="140"/>
      <c r="AJ185" s="140"/>
      <c r="AK185" s="141"/>
      <c r="AL185" s="142"/>
      <c r="AM185" s="142"/>
      <c r="AN185" s="142"/>
      <c r="AO185" s="142"/>
      <c r="AP185" s="142"/>
      <c r="AQ185" s="142"/>
      <c r="AY185" s="134"/>
      <c r="AZ185" s="134"/>
      <c r="BA185" s="134"/>
      <c r="BB185" s="134"/>
      <c r="BC185" s="134"/>
      <c r="BD185" s="134"/>
      <c r="BE185" s="134"/>
      <c r="BF185" s="134"/>
      <c r="BG185" s="134"/>
      <c r="BH185" s="134"/>
      <c r="BI185" s="134"/>
      <c r="BJ185" s="134"/>
      <c r="BK185" s="7"/>
      <c r="BM185" s="1"/>
    </row>
    <row r="186" spans="1:65" ht="15" customHeight="1">
      <c r="A186" s="6"/>
      <c r="BK186" s="7"/>
      <c r="BM186" s="1"/>
    </row>
    <row r="187" spans="1:65" ht="15" customHeight="1">
      <c r="A187" s="6"/>
      <c r="BK187" s="7"/>
      <c r="BM187" s="1"/>
    </row>
    <row r="188" spans="1:65" ht="15" customHeight="1">
      <c r="A188" s="6"/>
      <c r="BK188" s="7"/>
      <c r="BM188" s="1"/>
    </row>
    <row r="189" spans="1:65" ht="15" customHeight="1">
      <c r="A189" s="6"/>
      <c r="BK189" s="7"/>
      <c r="BM189" s="1"/>
    </row>
    <row r="190" spans="1:65" ht="15" customHeight="1">
      <c r="A190" s="6"/>
      <c r="BK190" s="7"/>
      <c r="BM190" s="1"/>
    </row>
    <row r="191" spans="1:65" ht="15" customHeight="1">
      <c r="A191" s="6"/>
      <c r="BK191" s="7"/>
      <c r="BM191" s="1"/>
    </row>
    <row r="192" spans="1:65" ht="15" customHeight="1">
      <c r="A192" s="6"/>
      <c r="BK192" s="7"/>
      <c r="BM192" s="1"/>
    </row>
    <row r="193" spans="1:65" ht="15" customHeight="1">
      <c r="A193" s="6"/>
      <c r="BK193" s="7"/>
      <c r="BM193" s="1"/>
    </row>
    <row r="194" spans="1:65" ht="15" customHeight="1">
      <c r="A194" s="6"/>
      <c r="BK194" s="7"/>
      <c r="BM194" s="1"/>
    </row>
    <row r="195" spans="1:65" ht="15" customHeight="1">
      <c r="A195" s="6"/>
      <c r="BK195" s="7"/>
      <c r="BM195" s="1"/>
    </row>
    <row r="196" spans="1:65" ht="15" customHeight="1">
      <c r="A196" s="6"/>
      <c r="BK196" s="7"/>
      <c r="BM196" s="1"/>
    </row>
    <row r="197" spans="1:65" ht="15" customHeight="1">
      <c r="A197" s="6"/>
      <c r="BK197" s="7"/>
      <c r="BM197" s="1"/>
    </row>
    <row r="198" spans="1:65" ht="15" customHeight="1">
      <c r="A198" s="6"/>
      <c r="BK198" s="7"/>
      <c r="BM198" s="1"/>
    </row>
    <row r="199" spans="1:65" ht="15" customHeight="1">
      <c r="A199" s="6"/>
      <c r="BK199" s="7"/>
      <c r="BM199" s="1"/>
    </row>
    <row r="200" spans="1:65" ht="15" customHeight="1">
      <c r="A200" s="6"/>
      <c r="BK200" s="7"/>
      <c r="BM200" s="1"/>
    </row>
    <row r="201" spans="1:65" ht="15" customHeight="1">
      <c r="A201" s="6"/>
      <c r="BK201" s="7"/>
      <c r="BM201" s="1"/>
    </row>
    <row r="202" spans="1:65" ht="15" customHeight="1">
      <c r="A202" s="6"/>
      <c r="BK202" s="7"/>
      <c r="BM202" s="1"/>
    </row>
    <row r="203" spans="1:65" ht="15" customHeight="1">
      <c r="A203" s="6"/>
      <c r="BK203" s="7"/>
      <c r="BM203" s="1"/>
    </row>
    <row r="204" spans="1:65" ht="15" customHeight="1">
      <c r="A204" s="6"/>
      <c r="BK204" s="7"/>
      <c r="BM204" s="1"/>
    </row>
    <row r="205" spans="1:65" ht="15" customHeight="1">
      <c r="A205" s="6"/>
      <c r="BK205" s="7"/>
      <c r="BM205" s="1"/>
    </row>
    <row r="206" spans="1:65" ht="15" customHeight="1">
      <c r="A206" s="6"/>
      <c r="K206" s="8"/>
      <c r="BK206" s="7"/>
      <c r="BM206" s="1"/>
    </row>
    <row r="207" spans="1:65" s="8" customFormat="1" ht="15" customHeight="1">
      <c r="A207" s="9"/>
      <c r="BK207" s="10"/>
      <c r="BM207" s="1"/>
    </row>
    <row r="208" spans="1:65" s="8" customFormat="1" ht="15" customHeight="1">
      <c r="A208" s="9"/>
      <c r="BK208" s="10"/>
      <c r="BM208" s="1"/>
    </row>
    <row r="209" spans="1:65" s="8" customFormat="1" ht="15" customHeight="1">
      <c r="A209" s="9"/>
      <c r="BK209" s="10"/>
      <c r="BM209" s="1"/>
    </row>
    <row r="210" spans="1:65" s="8" customFormat="1" ht="15" customHeight="1">
      <c r="A210" s="9"/>
      <c r="BK210" s="10"/>
      <c r="BM210" s="1"/>
    </row>
    <row r="211" spans="1:65" s="8" customFormat="1" ht="15" customHeight="1">
      <c r="A211" s="9"/>
      <c r="BK211" s="10"/>
      <c r="BM211" s="1"/>
    </row>
    <row r="212" spans="1:65" s="8" customFormat="1" ht="15" customHeight="1">
      <c r="A212" s="9"/>
      <c r="BK212" s="10"/>
      <c r="BM212" s="1"/>
    </row>
    <row r="213" spans="1:65" ht="15" customHeight="1">
      <c r="BK213" s="10"/>
    </row>
    <row r="214" spans="1:65" ht="15" customHeight="1">
      <c r="BK214" s="10"/>
    </row>
    <row r="215" spans="1:65" ht="15" customHeight="1">
      <c r="BK215" s="10"/>
    </row>
    <row r="216" spans="1:65" ht="15" customHeight="1">
      <c r="BK216" s="10"/>
    </row>
    <row r="217" spans="1:65" ht="15" customHeight="1">
      <c r="BK217" s="10"/>
    </row>
    <row r="218" spans="1:65" ht="15" customHeight="1">
      <c r="BK218" s="10"/>
    </row>
    <row r="219" spans="1:65" ht="15" customHeight="1">
      <c r="BK219" s="10"/>
    </row>
    <row r="220" spans="1:65" ht="15" customHeight="1">
      <c r="BK220" s="10"/>
    </row>
    <row r="221" spans="1:65" ht="15" customHeight="1">
      <c r="BK221" s="10"/>
    </row>
    <row r="222" spans="1:65" ht="15" customHeight="1">
      <c r="BK222" s="10"/>
    </row>
    <row r="223" spans="1:65" ht="15" customHeight="1">
      <c r="BK223" s="10"/>
    </row>
    <row r="224" spans="1:65" ht="15" customHeight="1">
      <c r="BK224" s="10"/>
    </row>
    <row r="225" spans="63:63" ht="15" customHeight="1">
      <c r="BK225" s="10"/>
    </row>
    <row r="226" spans="63:63" ht="15" customHeight="1">
      <c r="BK226" s="10"/>
    </row>
    <row r="227" spans="63:63" ht="15" customHeight="1">
      <c r="BK227" s="10"/>
    </row>
    <row r="228" spans="63:63" ht="15" customHeight="1">
      <c r="BK228" s="10"/>
    </row>
    <row r="229" spans="63:63" ht="15" customHeight="1">
      <c r="BK229" s="10"/>
    </row>
    <row r="230" spans="63:63" ht="15" customHeight="1">
      <c r="BK230" s="10"/>
    </row>
    <row r="231" spans="63:63" ht="15" customHeight="1">
      <c r="BK231" s="10"/>
    </row>
    <row r="232" spans="63:63" ht="15" customHeight="1">
      <c r="BK232" s="10"/>
    </row>
    <row r="233" spans="63:63" ht="15" customHeight="1">
      <c r="BK233" s="10"/>
    </row>
    <row r="234" spans="63:63" ht="15" customHeight="1">
      <c r="BK234" s="10"/>
    </row>
    <row r="235" spans="63:63" ht="15" customHeight="1">
      <c r="BK235" s="10"/>
    </row>
    <row r="236" spans="63:63" ht="15" customHeight="1">
      <c r="BK236" s="10"/>
    </row>
    <row r="237" spans="63:63" ht="15" customHeight="1">
      <c r="BK237" s="10"/>
    </row>
    <row r="238" spans="63:63" ht="15" customHeight="1">
      <c r="BK238" s="10"/>
    </row>
    <row r="239" spans="63:63" ht="15" customHeight="1">
      <c r="BK239" s="10"/>
    </row>
    <row r="240" spans="63:63" ht="15" customHeight="1">
      <c r="BK240" s="10"/>
    </row>
    <row r="241" spans="1:65" ht="15" customHeight="1">
      <c r="BK241" s="10"/>
    </row>
    <row r="242" spans="1:65" ht="15" customHeight="1">
      <c r="BK242" s="10"/>
    </row>
    <row r="243" spans="1:65" ht="15" customHeight="1">
      <c r="BK243" s="10"/>
    </row>
    <row r="244" spans="1:65" ht="15" customHeight="1">
      <c r="BK244" s="10"/>
    </row>
    <row r="245" spans="1:65" ht="15" customHeight="1">
      <c r="BK245" s="10"/>
    </row>
    <row r="246" spans="1:65" ht="15" customHeight="1">
      <c r="BK246" s="10"/>
    </row>
    <row r="247" spans="1:65" s="8" customFormat="1" ht="15" customHeight="1">
      <c r="A247" s="9"/>
      <c r="B247" s="53" t="s">
        <v>53</v>
      </c>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c r="AA247" s="53"/>
      <c r="AB247" s="53"/>
      <c r="AC247" s="53"/>
      <c r="AD247" s="53"/>
      <c r="AE247" s="53"/>
      <c r="AF247" s="53"/>
      <c r="AG247" s="53"/>
      <c r="AH247" s="53"/>
      <c r="AI247" s="53"/>
      <c r="AJ247" s="53"/>
      <c r="AK247" s="53"/>
      <c r="AL247" s="53"/>
      <c r="AM247" s="53"/>
      <c r="AN247" s="53"/>
      <c r="AO247" s="53"/>
      <c r="AP247" s="53"/>
      <c r="AQ247" s="53"/>
      <c r="AR247" s="53"/>
      <c r="AS247" s="53"/>
      <c r="AT247" s="53"/>
      <c r="AU247" s="53"/>
      <c r="AV247" s="53"/>
      <c r="AW247" s="53"/>
      <c r="AX247" s="53"/>
      <c r="AY247" s="53"/>
      <c r="AZ247" s="53"/>
      <c r="BA247" s="53"/>
      <c r="BB247" s="53"/>
      <c r="BC247" s="53"/>
      <c r="BD247" s="53"/>
      <c r="BE247" s="53"/>
      <c r="BF247" s="53"/>
      <c r="BG247" s="53"/>
      <c r="BH247" s="53"/>
      <c r="BI247" s="53"/>
      <c r="BJ247" s="53"/>
      <c r="BK247" s="10"/>
      <c r="BM247" s="1"/>
    </row>
    <row r="248" spans="1:65" ht="15" customHeight="1">
      <c r="A248" s="6"/>
      <c r="BK248" s="7"/>
      <c r="BM248" s="1"/>
    </row>
    <row r="249" spans="1:65" ht="15" customHeight="1">
      <c r="A249" s="6"/>
      <c r="B249" s="137" t="s">
        <v>38</v>
      </c>
      <c r="C249" s="137"/>
      <c r="D249" s="137"/>
      <c r="E249" s="137"/>
      <c r="F249" s="137"/>
      <c r="G249" s="137"/>
      <c r="H249" s="138" t="s">
        <v>39</v>
      </c>
      <c r="I249" s="138"/>
      <c r="J249" s="138"/>
      <c r="K249" s="138"/>
      <c r="L249" s="138"/>
      <c r="M249" s="138"/>
      <c r="N249" s="138" t="s">
        <v>47</v>
      </c>
      <c r="O249" s="138"/>
      <c r="P249" s="138"/>
      <c r="Q249" s="138"/>
      <c r="R249" s="138"/>
      <c r="S249" s="138"/>
      <c r="T249" s="139" t="s">
        <v>49</v>
      </c>
      <c r="U249" s="140"/>
      <c r="V249" s="140"/>
      <c r="W249" s="140"/>
      <c r="X249" s="140"/>
      <c r="Y249" s="140"/>
      <c r="Z249" s="140"/>
      <c r="AA249" s="140"/>
      <c r="AB249" s="140"/>
      <c r="AC249" s="140"/>
      <c r="AD249" s="140"/>
      <c r="AE249" s="140"/>
      <c r="AF249" s="140"/>
      <c r="AG249" s="140"/>
      <c r="AH249" s="140"/>
      <c r="AI249" s="140"/>
      <c r="AJ249" s="140"/>
      <c r="AK249" s="141"/>
      <c r="AL249" s="142" t="s">
        <v>52</v>
      </c>
      <c r="AM249" s="142"/>
      <c r="AN249" s="142"/>
      <c r="AO249" s="142"/>
      <c r="AP249" s="142"/>
      <c r="AQ249" s="142"/>
      <c r="AY249" s="134" t="s">
        <v>40</v>
      </c>
      <c r="AZ249" s="134"/>
      <c r="BA249" s="134"/>
      <c r="BB249" s="134"/>
      <c r="BC249" s="134"/>
      <c r="BD249" s="134"/>
      <c r="BE249" s="134" t="s">
        <v>41</v>
      </c>
      <c r="BF249" s="134"/>
      <c r="BG249" s="134"/>
      <c r="BH249" s="134"/>
      <c r="BI249" s="134"/>
      <c r="BJ249" s="134"/>
      <c r="BK249" s="7"/>
      <c r="BM249" s="1"/>
    </row>
    <row r="250" spans="1:65" ht="15" customHeight="1">
      <c r="A250" s="6"/>
      <c r="B250" s="137"/>
      <c r="C250" s="137"/>
      <c r="D250" s="137"/>
      <c r="E250" s="137"/>
      <c r="F250" s="137"/>
      <c r="G250" s="137"/>
      <c r="H250" s="138"/>
      <c r="I250" s="138"/>
      <c r="J250" s="138"/>
      <c r="K250" s="138"/>
      <c r="L250" s="138"/>
      <c r="M250" s="138"/>
      <c r="N250" s="138"/>
      <c r="O250" s="138"/>
      <c r="P250" s="138"/>
      <c r="Q250" s="138"/>
      <c r="R250" s="138"/>
      <c r="S250" s="138"/>
      <c r="T250" s="139" t="s">
        <v>50</v>
      </c>
      <c r="U250" s="140"/>
      <c r="V250" s="140"/>
      <c r="W250" s="140"/>
      <c r="X250" s="140"/>
      <c r="Y250" s="141"/>
      <c r="Z250" s="139" t="s">
        <v>44</v>
      </c>
      <c r="AA250" s="140"/>
      <c r="AB250" s="140"/>
      <c r="AC250" s="140"/>
      <c r="AD250" s="140"/>
      <c r="AE250" s="141"/>
      <c r="AF250" s="139" t="s">
        <v>45</v>
      </c>
      <c r="AG250" s="140"/>
      <c r="AH250" s="140"/>
      <c r="AI250" s="140"/>
      <c r="AJ250" s="140"/>
      <c r="AK250" s="141"/>
      <c r="AL250" s="142"/>
      <c r="AM250" s="142"/>
      <c r="AN250" s="142"/>
      <c r="AO250" s="142"/>
      <c r="AP250" s="142"/>
      <c r="AQ250" s="142"/>
      <c r="AY250" s="134"/>
      <c r="AZ250" s="134"/>
      <c r="BA250" s="134"/>
      <c r="BB250" s="134"/>
      <c r="BC250" s="134"/>
      <c r="BD250" s="134"/>
      <c r="BE250" s="134"/>
      <c r="BF250" s="134"/>
      <c r="BG250" s="134"/>
      <c r="BH250" s="134"/>
      <c r="BI250" s="134"/>
      <c r="BJ250" s="134"/>
      <c r="BK250" s="7"/>
      <c r="BM250" s="1"/>
    </row>
    <row r="251" spans="1:65" ht="15" customHeight="1">
      <c r="A251" s="6"/>
      <c r="BK251" s="7"/>
      <c r="BM251" s="1"/>
    </row>
    <row r="252" spans="1:65" ht="15" customHeight="1">
      <c r="A252" s="6"/>
      <c r="BK252" s="7"/>
      <c r="BM252" s="1"/>
    </row>
    <row r="253" spans="1:65" ht="15" customHeight="1">
      <c r="A253" s="6"/>
      <c r="BK253" s="7"/>
      <c r="BM253" s="1"/>
    </row>
    <row r="254" spans="1:65" ht="15" customHeight="1">
      <c r="A254" s="6"/>
      <c r="BK254" s="7"/>
      <c r="BM254" s="1"/>
    </row>
    <row r="255" spans="1:65" ht="15" customHeight="1">
      <c r="A255" s="6"/>
      <c r="BK255" s="7"/>
      <c r="BM255" s="1"/>
    </row>
    <row r="256" spans="1:65" ht="15" customHeight="1">
      <c r="A256" s="6"/>
      <c r="BK256" s="7"/>
      <c r="BM256" s="1"/>
    </row>
    <row r="257" spans="1:65" ht="15" customHeight="1">
      <c r="A257" s="6"/>
      <c r="BK257" s="7"/>
      <c r="BM257" s="1"/>
    </row>
    <row r="258" spans="1:65" ht="15" customHeight="1">
      <c r="A258" s="6"/>
      <c r="BK258" s="7"/>
      <c r="BM258" s="1"/>
    </row>
    <row r="259" spans="1:65" ht="15" customHeight="1">
      <c r="A259" s="6"/>
      <c r="BK259" s="7"/>
      <c r="BM259" s="1"/>
    </row>
    <row r="260" spans="1:65" ht="15" customHeight="1">
      <c r="A260" s="6"/>
      <c r="BK260" s="7"/>
      <c r="BM260" s="1"/>
    </row>
    <row r="261" spans="1:65" ht="15" customHeight="1">
      <c r="A261" s="6"/>
      <c r="BK261" s="7"/>
      <c r="BM261" s="1"/>
    </row>
    <row r="262" spans="1:65" ht="15" customHeight="1">
      <c r="A262" s="6"/>
      <c r="BK262" s="7"/>
      <c r="BM262" s="1"/>
    </row>
    <row r="263" spans="1:65" ht="15" customHeight="1">
      <c r="A263" s="6"/>
      <c r="BK263" s="7"/>
      <c r="BM263" s="1"/>
    </row>
    <row r="264" spans="1:65" ht="15" customHeight="1">
      <c r="A264" s="6"/>
      <c r="BK264" s="7"/>
      <c r="BM264" s="1"/>
    </row>
    <row r="265" spans="1:65" ht="15" customHeight="1">
      <c r="A265" s="6"/>
      <c r="BK265" s="7"/>
      <c r="BM265" s="1"/>
    </row>
    <row r="266" spans="1:65" ht="15" customHeight="1">
      <c r="A266" s="6"/>
      <c r="BK266" s="7"/>
      <c r="BM266" s="1"/>
    </row>
    <row r="267" spans="1:65" ht="15" customHeight="1">
      <c r="A267" s="6"/>
      <c r="BK267" s="7"/>
      <c r="BM267" s="1"/>
    </row>
    <row r="268" spans="1:65" ht="15" customHeight="1">
      <c r="A268" s="6"/>
      <c r="BK268" s="7"/>
      <c r="BM268" s="1"/>
    </row>
    <row r="269" spans="1:65" ht="15" customHeight="1">
      <c r="A269" s="6"/>
      <c r="BK269" s="7"/>
      <c r="BM269" s="1"/>
    </row>
    <row r="270" spans="1:65" ht="15" customHeight="1">
      <c r="A270" s="6"/>
      <c r="BK270" s="7"/>
      <c r="BM270" s="1"/>
    </row>
    <row r="271" spans="1:65" ht="15" customHeight="1">
      <c r="A271" s="6"/>
      <c r="K271" s="8"/>
      <c r="BK271" s="7"/>
      <c r="BM271" s="1"/>
    </row>
    <row r="272" spans="1:65" s="8" customFormat="1" ht="15" customHeight="1">
      <c r="A272" s="9"/>
      <c r="BK272" s="10"/>
      <c r="BM272" s="1"/>
    </row>
    <row r="273" spans="1:65" s="8" customFormat="1" ht="15" customHeight="1">
      <c r="A273" s="9"/>
      <c r="BK273" s="10"/>
      <c r="BM273" s="1"/>
    </row>
    <row r="274" spans="1:65" s="8" customFormat="1" ht="15" customHeight="1">
      <c r="A274" s="9"/>
      <c r="BK274" s="10"/>
      <c r="BM274" s="1"/>
    </row>
    <row r="275" spans="1:65" s="8" customFormat="1" ht="15" customHeight="1">
      <c r="A275" s="9"/>
      <c r="BK275" s="10"/>
      <c r="BM275" s="1"/>
    </row>
    <row r="276" spans="1:65" s="8" customFormat="1" ht="15" customHeight="1">
      <c r="A276" s="9"/>
      <c r="BK276" s="10"/>
      <c r="BM276" s="1"/>
    </row>
    <row r="277" spans="1:65" s="8" customFormat="1" ht="15" customHeight="1">
      <c r="A277" s="9"/>
      <c r="BK277" s="10"/>
      <c r="BM277" s="1"/>
    </row>
    <row r="278" spans="1:65" s="8" customFormat="1" ht="15" customHeight="1">
      <c r="A278" s="9"/>
      <c r="BK278" s="10"/>
      <c r="BM278" s="1"/>
    </row>
    <row r="279" spans="1:65" ht="15" customHeight="1">
      <c r="BK279" s="10"/>
    </row>
    <row r="280" spans="1:65" ht="15" customHeight="1">
      <c r="BK280" s="10"/>
    </row>
    <row r="281" spans="1:65" ht="15" customHeight="1">
      <c r="BK281" s="10"/>
    </row>
    <row r="282" spans="1:65" ht="15" customHeight="1">
      <c r="BK282" s="10"/>
    </row>
    <row r="283" spans="1:65" ht="15" customHeight="1">
      <c r="BK283" s="10"/>
    </row>
    <row r="284" spans="1:65" ht="15" customHeight="1">
      <c r="BK284" s="10"/>
    </row>
  </sheetData>
  <mergeCells count="69">
    <mergeCell ref="AY249:BD250"/>
    <mergeCell ref="BE249:BJ250"/>
    <mergeCell ref="T250:Y250"/>
    <mergeCell ref="Z250:AE250"/>
    <mergeCell ref="AF250:AK250"/>
    <mergeCell ref="B249:G250"/>
    <mergeCell ref="H249:M250"/>
    <mergeCell ref="N249:S250"/>
    <mergeCell ref="T249:AK249"/>
    <mergeCell ref="AL249:AQ250"/>
    <mergeCell ref="AY184:BD185"/>
    <mergeCell ref="BE184:BJ185"/>
    <mergeCell ref="AL184:AQ185"/>
    <mergeCell ref="B184:G185"/>
    <mergeCell ref="H184:M185"/>
    <mergeCell ref="N184:S185"/>
    <mergeCell ref="T184:AK184"/>
    <mergeCell ref="T185:Y185"/>
    <mergeCell ref="Z185:AE185"/>
    <mergeCell ref="AF185:AK185"/>
    <mergeCell ref="AY64:BD65"/>
    <mergeCell ref="BE64:BJ65"/>
    <mergeCell ref="B108:G109"/>
    <mergeCell ref="H108:M109"/>
    <mergeCell ref="N108:S109"/>
    <mergeCell ref="T109:Y109"/>
    <mergeCell ref="Z109:AE109"/>
    <mergeCell ref="AF109:AK109"/>
    <mergeCell ref="T108:AK108"/>
    <mergeCell ref="AY108:BD109"/>
    <mergeCell ref="BE108:BJ109"/>
    <mergeCell ref="B64:Y64"/>
    <mergeCell ref="Z64:AE65"/>
    <mergeCell ref="AF64:AK65"/>
    <mergeCell ref="B65:G65"/>
    <mergeCell ref="H65:M65"/>
    <mergeCell ref="N65:S65"/>
    <mergeCell ref="T65:Y65"/>
    <mergeCell ref="AI9:AN10"/>
    <mergeCell ref="AO9:AT10"/>
    <mergeCell ref="AL64:AQ65"/>
    <mergeCell ref="BE9:BJ10"/>
    <mergeCell ref="AY9:BD10"/>
    <mergeCell ref="B9:J10"/>
    <mergeCell ref="K10:P10"/>
    <mergeCell ref="Q10:V10"/>
    <mergeCell ref="W10:AB10"/>
    <mergeCell ref="AC10:AH10"/>
    <mergeCell ref="K9:AH9"/>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honeticPr fontId="13"/>
  <printOptions horizontalCentered="1" verticalCentered="1"/>
  <pageMargins left="0.59055118110236204" right="0.59055118110236204" top="0.39370078740157499" bottom="0.39370078740157499" header="0.31496062992126" footer="0.31496062992126"/>
  <pageSetup paperSize="9" scale="12" orientation="landscape" r:id="rId1"/>
  <headerFooter>
    <oddHeader>&amp;R&amp;F</oddHeader>
    <oddFooter>&amp;C&amp;P / &amp;N ページ</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A3A58-3CF9-4CB8-A465-FCC4DA19A4A9}">
  <sheetPr>
    <pageSetUpPr fitToPage="1"/>
  </sheetPr>
  <dimension ref="A1:BK41"/>
  <sheetViews>
    <sheetView view="pageBreakPreview" zoomScale="130" zoomScaleNormal="75" zoomScaleSheetLayoutView="130" workbookViewId="0">
      <selection activeCell="AB37" sqref="AB37"/>
    </sheetView>
  </sheetViews>
  <sheetFormatPr defaultColWidth="2.44140625" defaultRowHeight="15" customHeight="1"/>
  <cols>
    <col min="10" max="10" width="6.33203125" customWidth="1"/>
  </cols>
  <sheetData>
    <row r="1" spans="1:63" ht="24.95" customHeight="1">
      <c r="A1" s="70" t="s">
        <v>0</v>
      </c>
      <c r="B1" s="71"/>
      <c r="C1" s="71"/>
      <c r="D1" s="71"/>
      <c r="E1" s="71"/>
      <c r="F1" s="71"/>
      <c r="G1" s="71"/>
      <c r="H1" s="71"/>
      <c r="I1" s="71"/>
      <c r="J1" s="72"/>
      <c r="K1" s="70" t="s">
        <v>1</v>
      </c>
      <c r="L1" s="71"/>
      <c r="M1" s="71"/>
      <c r="N1" s="71"/>
      <c r="O1" s="71"/>
      <c r="P1" s="71"/>
      <c r="Q1" s="71"/>
      <c r="R1" s="71"/>
      <c r="S1" s="71"/>
      <c r="T1" s="71"/>
      <c r="U1" s="71"/>
      <c r="V1" s="72"/>
      <c r="W1" s="90" t="e">
        <f ca="1">IF( che [11]phủ!W1="","", che [11]phủ!W1)</f>
        <v>#NAME?</v>
      </c>
      <c r="X1" s="91"/>
      <c r="Y1" s="91"/>
      <c r="Z1" s="91"/>
      <c r="AA1" s="91"/>
      <c r="AB1" s="91"/>
      <c r="AC1" s="91"/>
      <c r="AD1" s="91"/>
      <c r="AE1" s="91"/>
      <c r="AF1" s="91"/>
      <c r="AG1" s="91"/>
      <c r="AH1" s="91"/>
      <c r="AI1" s="91"/>
      <c r="AJ1" s="91"/>
      <c r="AK1" s="91"/>
      <c r="AL1" s="91"/>
      <c r="AM1" s="91"/>
      <c r="AN1" s="91"/>
      <c r="AO1" s="92"/>
      <c r="AP1" s="70" t="s">
        <v>3</v>
      </c>
      <c r="AQ1" s="71"/>
      <c r="AR1" s="71"/>
      <c r="AS1" s="72"/>
      <c r="AT1" s="70" t="s">
        <v>4</v>
      </c>
      <c r="AU1" s="71"/>
      <c r="AV1" s="71"/>
      <c r="AW1" s="71"/>
      <c r="AX1" s="72"/>
      <c r="AY1" s="70" t="s">
        <v>5</v>
      </c>
      <c r="AZ1" s="71"/>
      <c r="BA1" s="71"/>
      <c r="BB1" s="72"/>
      <c r="BC1" s="70" t="s">
        <v>6</v>
      </c>
      <c r="BD1" s="71"/>
      <c r="BE1" s="71"/>
      <c r="BF1" s="71"/>
      <c r="BG1" s="72"/>
      <c r="BH1" s="70" t="s">
        <v>7</v>
      </c>
      <c r="BI1" s="71"/>
      <c r="BJ1" s="71"/>
      <c r="BK1" s="72"/>
    </row>
    <row r="2" spans="1:63" ht="15" customHeight="1">
      <c r="A2" s="55" t="e">
        <f ca="1">IF( che [11]phủ!A2="","", che [11]phủ!A2)</f>
        <v>#NAME?</v>
      </c>
      <c r="B2" s="56"/>
      <c r="C2" s="56"/>
      <c r="D2" s="56"/>
      <c r="E2" s="56"/>
      <c r="F2" s="56"/>
      <c r="G2" s="56"/>
      <c r="H2" s="56"/>
      <c r="I2" s="56"/>
      <c r="J2" s="57"/>
      <c r="K2" s="55" t="e">
        <f ca="1">IF( che [11]phủ!K2="","", che [11]phủ!K2)</f>
        <v>#NAME?</v>
      </c>
      <c r="L2" s="56"/>
      <c r="M2" s="56"/>
      <c r="N2" s="56"/>
      <c r="O2" s="56"/>
      <c r="P2" s="56"/>
      <c r="Q2" s="56"/>
      <c r="R2" s="56"/>
      <c r="S2" s="56"/>
      <c r="T2" s="56"/>
      <c r="U2" s="56"/>
      <c r="V2" s="57"/>
      <c r="W2" s="93"/>
      <c r="X2" s="94"/>
      <c r="Y2" s="94"/>
      <c r="Z2" s="94"/>
      <c r="AA2" s="94"/>
      <c r="AB2" s="94"/>
      <c r="AC2" s="94"/>
      <c r="AD2" s="94"/>
      <c r="AE2" s="94"/>
      <c r="AF2" s="94"/>
      <c r="AG2" s="94"/>
      <c r="AH2" s="94"/>
      <c r="AI2" s="94"/>
      <c r="AJ2" s="94"/>
      <c r="AK2" s="94"/>
      <c r="AL2" s="94"/>
      <c r="AM2" s="94"/>
      <c r="AN2" s="94"/>
      <c r="AO2" s="95"/>
      <c r="AP2" s="55" t="e">
        <f ca="1">IF( che [11]phủ!AP2="","", che [11]phủ!AP2)</f>
        <v>#NAME?</v>
      </c>
      <c r="AQ2" s="56"/>
      <c r="AR2" s="56"/>
      <c r="AS2" s="57"/>
      <c r="AT2" s="84" t="e">
        <f ca="1">IF( che [11]phủ!AT2="","", che [11]phủ!AT2)</f>
        <v>#NAME?</v>
      </c>
      <c r="AU2" s="85"/>
      <c r="AV2" s="85"/>
      <c r="AW2" s="85"/>
      <c r="AX2" s="86"/>
      <c r="AY2" s="55" t="e">
        <f ca="1">IF( che [11]phủ!AY2="","", che [11]phủ!AY2)</f>
        <v>#NAME?</v>
      </c>
      <c r="AZ2" s="56"/>
      <c r="BA2" s="56"/>
      <c r="BB2" s="57"/>
      <c r="BC2" s="84" t="e">
        <f ca="1">IF( che [11]phủ!BC2="","", che [11]phủ!BC2)</f>
        <v>#NAME?</v>
      </c>
      <c r="BD2" s="85"/>
      <c r="BE2" s="85"/>
      <c r="BF2" s="85"/>
      <c r="BG2" s="86"/>
      <c r="BH2" s="55" t="e">
        <f ca="1">IF( che [11]phủ!BH2="","", che [11]phủ!BH2)</f>
        <v>#NAME?</v>
      </c>
      <c r="BI2" s="56"/>
      <c r="BJ2" s="56"/>
      <c r="BK2" s="57"/>
    </row>
    <row r="3" spans="1:63" ht="15" customHeight="1">
      <c r="A3" s="61"/>
      <c r="B3" s="62"/>
      <c r="C3" s="62"/>
      <c r="D3" s="62"/>
      <c r="E3" s="62"/>
      <c r="F3" s="62"/>
      <c r="G3" s="62"/>
      <c r="H3" s="62"/>
      <c r="I3" s="62"/>
      <c r="J3" s="63"/>
      <c r="K3" s="61"/>
      <c r="L3" s="62"/>
      <c r="M3" s="62"/>
      <c r="N3" s="62"/>
      <c r="O3" s="62"/>
      <c r="P3" s="62"/>
      <c r="Q3" s="62"/>
      <c r="R3" s="62"/>
      <c r="S3" s="62"/>
      <c r="T3" s="62"/>
      <c r="U3" s="62"/>
      <c r="V3" s="63"/>
      <c r="W3" s="96"/>
      <c r="X3" s="97"/>
      <c r="Y3" s="97"/>
      <c r="Z3" s="97"/>
      <c r="AA3" s="97"/>
      <c r="AB3" s="97"/>
      <c r="AC3" s="97"/>
      <c r="AD3" s="97"/>
      <c r="AE3" s="97"/>
      <c r="AF3" s="97"/>
      <c r="AG3" s="97"/>
      <c r="AH3" s="97"/>
      <c r="AI3" s="97"/>
      <c r="AJ3" s="97"/>
      <c r="AK3" s="97"/>
      <c r="AL3" s="97"/>
      <c r="AM3" s="97"/>
      <c r="AN3" s="97"/>
      <c r="AO3" s="98"/>
      <c r="AP3" s="61"/>
      <c r="AQ3" s="62"/>
      <c r="AR3" s="62"/>
      <c r="AS3" s="63"/>
      <c r="AT3" s="87"/>
      <c r="AU3" s="88"/>
      <c r="AV3" s="88"/>
      <c r="AW3" s="88"/>
      <c r="AX3" s="89"/>
      <c r="AY3" s="61"/>
      <c r="AZ3" s="62"/>
      <c r="BA3" s="62"/>
      <c r="BB3" s="63"/>
      <c r="BC3" s="87"/>
      <c r="BD3" s="88"/>
      <c r="BE3" s="88"/>
      <c r="BF3" s="88"/>
      <c r="BG3" s="89"/>
      <c r="BH3" s="61"/>
      <c r="BI3" s="62"/>
      <c r="BJ3" s="62"/>
      <c r="BK3" s="63"/>
    </row>
    <row r="4" spans="1:63" ht="24.95" customHeight="1">
      <c r="A4" s="70" t="s">
        <v>10</v>
      </c>
      <c r="B4" s="71"/>
      <c r="C4" s="71"/>
      <c r="D4" s="71"/>
      <c r="E4" s="71"/>
      <c r="F4" s="71"/>
      <c r="G4" s="72"/>
      <c r="H4" s="75" t="e">
        <f ca="1">IF( che [11]phủ!H4="","", che [11]phủ!H4)</f>
        <v>#NAME?</v>
      </c>
      <c r="I4" s="76"/>
      <c r="J4" s="76"/>
      <c r="K4" s="76"/>
      <c r="L4" s="76"/>
      <c r="M4" s="76"/>
      <c r="N4" s="76"/>
      <c r="O4" s="76"/>
      <c r="P4" s="76"/>
      <c r="Q4" s="76"/>
      <c r="R4" s="76"/>
      <c r="S4" s="76"/>
      <c r="T4" s="77"/>
      <c r="U4" s="70" t="s">
        <v>12</v>
      </c>
      <c r="V4" s="71"/>
      <c r="W4" s="71"/>
      <c r="X4" s="71"/>
      <c r="Y4" s="72"/>
      <c r="Z4" s="75" t="e">
        <f ca="1">IF( che [11]phủ!Z4="","", che [11]phủ!Z4)</f>
        <v>#NAME?</v>
      </c>
      <c r="AA4" s="76"/>
      <c r="AB4" s="76"/>
      <c r="AC4" s="76"/>
      <c r="AD4" s="76"/>
      <c r="AE4" s="76"/>
      <c r="AF4" s="76"/>
      <c r="AG4" s="76"/>
      <c r="AH4" s="76"/>
      <c r="AI4" s="76"/>
      <c r="AJ4" s="76"/>
      <c r="AK4" s="76"/>
      <c r="AL4" s="76"/>
      <c r="AM4" s="76"/>
      <c r="AN4" s="76"/>
      <c r="AO4" s="77"/>
      <c r="AP4" s="75" t="e" cm="1">
        <f t="array" aca="1" ref="AP4" ca="1">RIGHT(CELL("filename",$A$1),LEN(CELL("filename",$A$1))-FIND("]",CELL("filename",$A$1)))</f>
        <v>#VALUE!</v>
      </c>
      <c r="AQ4" s="76"/>
      <c r="AR4" s="76"/>
      <c r="AS4" s="76"/>
      <c r="AT4" s="76"/>
      <c r="AU4" s="76"/>
      <c r="AV4" s="76"/>
      <c r="AW4" s="76"/>
      <c r="AX4" s="76"/>
      <c r="AY4" s="76"/>
      <c r="AZ4" s="76"/>
      <c r="BA4" s="76"/>
      <c r="BB4" s="76"/>
      <c r="BC4" s="76"/>
      <c r="BD4" s="76"/>
      <c r="BE4" s="76"/>
      <c r="BF4" s="76"/>
      <c r="BG4" s="76"/>
      <c r="BH4" s="76"/>
      <c r="BI4" s="76"/>
      <c r="BJ4" s="76"/>
      <c r="BK4" s="77"/>
    </row>
    <row r="5" spans="1:63" ht="5.0999999999999996" customHeight="1">
      <c r="A5" s="15"/>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7"/>
    </row>
    <row r="6" spans="1:63" ht="15" customHeight="1">
      <c r="A6" s="18" t="s">
        <v>54</v>
      </c>
      <c r="BK6" s="19"/>
    </row>
    <row r="7" spans="1:63" ht="15" customHeight="1">
      <c r="A7" s="18"/>
      <c r="B7" t="s">
        <v>55</v>
      </c>
      <c r="BK7" s="19"/>
    </row>
    <row r="8" spans="1:63" ht="15" customHeight="1">
      <c r="A8" s="18"/>
      <c r="B8" t="s">
        <v>56</v>
      </c>
      <c r="BK8" s="19"/>
    </row>
    <row r="9" spans="1:63" ht="15" customHeight="1">
      <c r="A9" s="18"/>
      <c r="B9" t="s">
        <v>57</v>
      </c>
      <c r="BK9" s="19"/>
    </row>
    <row r="10" spans="1:63" ht="15" customHeight="1">
      <c r="A10" s="18"/>
      <c r="B10" t="s">
        <v>58</v>
      </c>
      <c r="BK10" s="19"/>
    </row>
    <row r="11" spans="1:63" ht="15" customHeight="1">
      <c r="A11" s="18"/>
      <c r="B11" t="s">
        <v>59</v>
      </c>
      <c r="BK11" s="19"/>
    </row>
    <row r="12" spans="1:63" ht="15.95">
      <c r="A12" s="18"/>
      <c r="B12" s="147" t="s">
        <v>60</v>
      </c>
      <c r="C12" s="147"/>
      <c r="D12" s="147"/>
      <c r="E12" s="147" t="s">
        <v>61</v>
      </c>
      <c r="F12" s="147"/>
      <c r="G12" s="147"/>
      <c r="H12" s="147"/>
      <c r="I12" s="147"/>
      <c r="J12" s="147"/>
      <c r="K12" s="147"/>
      <c r="L12" s="147" t="s">
        <v>62</v>
      </c>
      <c r="M12" s="147"/>
      <c r="N12" s="147"/>
      <c r="O12" s="147"/>
      <c r="P12" s="147"/>
      <c r="Q12" s="147"/>
      <c r="R12" s="147"/>
      <c r="S12" s="147"/>
      <c r="T12" s="147"/>
      <c r="U12" s="147"/>
      <c r="V12" s="147"/>
      <c r="W12" s="147"/>
      <c r="X12" s="147" t="s">
        <v>63</v>
      </c>
      <c r="Y12" s="147"/>
      <c r="Z12" s="147"/>
      <c r="AA12" s="147"/>
      <c r="AB12" s="147"/>
      <c r="AC12" s="147"/>
      <c r="AD12" s="147"/>
      <c r="AE12" s="147"/>
      <c r="AF12" s="147"/>
      <c r="AG12" s="147"/>
      <c r="AH12" s="147"/>
      <c r="AI12" s="147"/>
      <c r="AJ12" s="147"/>
      <c r="AK12" s="147"/>
      <c r="AL12" s="147"/>
      <c r="AM12" s="147" t="s">
        <v>64</v>
      </c>
      <c r="AN12" s="147"/>
      <c r="AO12" s="147"/>
      <c r="AP12" s="147"/>
      <c r="AQ12" s="147"/>
      <c r="AR12" s="147"/>
      <c r="AS12" s="147"/>
      <c r="AT12" s="147"/>
      <c r="AU12" s="147"/>
      <c r="AV12" s="147"/>
      <c r="AW12" s="147"/>
      <c r="AX12" s="147"/>
      <c r="AY12" s="147"/>
      <c r="AZ12" s="147"/>
      <c r="BA12" s="147"/>
      <c r="BB12" s="147"/>
      <c r="BC12" s="147"/>
      <c r="BD12" s="147"/>
      <c r="BE12" s="147"/>
      <c r="BF12" s="147"/>
      <c r="BG12" s="147"/>
      <c r="BH12" s="147"/>
      <c r="BI12" s="147"/>
      <c r="BJ12" s="147"/>
      <c r="BK12" s="43"/>
    </row>
    <row r="13" spans="1:63" ht="15.95">
      <c r="A13" s="18"/>
      <c r="B13" s="143">
        <v>1</v>
      </c>
      <c r="C13" s="143"/>
      <c r="D13" s="143"/>
      <c r="E13" s="144" t="s">
        <v>65</v>
      </c>
      <c r="F13" s="144"/>
      <c r="G13" s="144"/>
      <c r="H13" s="144"/>
      <c r="I13" s="144"/>
      <c r="J13" s="144"/>
      <c r="K13" s="144"/>
      <c r="L13" s="148" t="s">
        <v>66</v>
      </c>
      <c r="M13" s="148"/>
      <c r="N13" s="148"/>
      <c r="O13" s="148"/>
      <c r="P13" s="148"/>
      <c r="Q13" s="148"/>
      <c r="R13" s="148"/>
      <c r="S13" s="148"/>
      <c r="T13" s="148"/>
      <c r="U13" s="148"/>
      <c r="V13" s="148"/>
      <c r="W13" s="148"/>
      <c r="X13" s="144" t="s">
        <v>67</v>
      </c>
      <c r="Y13" s="144"/>
      <c r="Z13" s="144"/>
      <c r="AA13" s="144"/>
      <c r="AB13" s="144"/>
      <c r="AC13" s="144"/>
      <c r="AD13" s="144"/>
      <c r="AE13" s="144"/>
      <c r="AF13" s="144"/>
      <c r="AG13" s="144"/>
      <c r="AH13" s="144"/>
      <c r="AI13" s="144"/>
      <c r="AJ13" s="144"/>
      <c r="AK13" s="144"/>
      <c r="AL13" s="144"/>
      <c r="AM13" s="144" t="s">
        <v>68</v>
      </c>
      <c r="AN13" s="144"/>
      <c r="AO13" s="144"/>
      <c r="AP13" s="144"/>
      <c r="AQ13" s="144"/>
      <c r="AR13" s="144"/>
      <c r="AS13" s="144"/>
      <c r="AT13" s="144"/>
      <c r="AU13" s="144"/>
      <c r="AV13" s="144"/>
      <c r="AW13" s="144"/>
      <c r="AX13" s="144"/>
      <c r="AY13" s="144"/>
      <c r="AZ13" s="144"/>
      <c r="BA13" s="144"/>
      <c r="BB13" s="144"/>
      <c r="BC13" s="144"/>
      <c r="BD13" s="144"/>
      <c r="BE13" s="144"/>
      <c r="BF13" s="144"/>
      <c r="BG13" s="144"/>
      <c r="BH13" s="144"/>
      <c r="BI13" s="144"/>
      <c r="BJ13" s="144"/>
      <c r="BK13" s="19"/>
    </row>
    <row r="14" spans="1:63" ht="15" customHeight="1">
      <c r="A14" s="18"/>
      <c r="B14" s="143">
        <v>2</v>
      </c>
      <c r="C14" s="143"/>
      <c r="D14" s="143"/>
      <c r="E14" s="144"/>
      <c r="F14" s="144"/>
      <c r="G14" s="144"/>
      <c r="H14" s="144"/>
      <c r="I14" s="144"/>
      <c r="J14" s="144"/>
      <c r="K14" s="144"/>
      <c r="L14" s="145"/>
      <c r="M14" s="145"/>
      <c r="N14" s="145"/>
      <c r="O14" s="145"/>
      <c r="P14" s="145"/>
      <c r="Q14" s="145"/>
      <c r="R14" s="145"/>
      <c r="S14" s="145"/>
      <c r="T14" s="145"/>
      <c r="U14" s="145"/>
      <c r="V14" s="145"/>
      <c r="W14" s="145"/>
      <c r="X14" s="144" t="s">
        <v>69</v>
      </c>
      <c r="Y14" s="144"/>
      <c r="Z14" s="144"/>
      <c r="AA14" s="144"/>
      <c r="AB14" s="144"/>
      <c r="AC14" s="144"/>
      <c r="AD14" s="144"/>
      <c r="AE14" s="144"/>
      <c r="AF14" s="144"/>
      <c r="AG14" s="144"/>
      <c r="AH14" s="144"/>
      <c r="AI14" s="144"/>
      <c r="AJ14" s="144"/>
      <c r="AK14" s="144"/>
      <c r="AL14" s="144"/>
      <c r="AM14" s="144" t="s">
        <v>70</v>
      </c>
      <c r="AN14" s="144"/>
      <c r="AO14" s="144"/>
      <c r="AP14" s="144"/>
      <c r="AQ14" s="144"/>
      <c r="AR14" s="144"/>
      <c r="AS14" s="144"/>
      <c r="AT14" s="144"/>
      <c r="AU14" s="144"/>
      <c r="AV14" s="144"/>
      <c r="AW14" s="144"/>
      <c r="AX14" s="144"/>
      <c r="AY14" s="144"/>
      <c r="AZ14" s="144"/>
      <c r="BA14" s="144"/>
      <c r="BB14" s="144"/>
      <c r="BC14" s="144"/>
      <c r="BD14" s="144"/>
      <c r="BE14" s="144"/>
      <c r="BF14" s="144"/>
      <c r="BG14" s="144"/>
      <c r="BH14" s="144"/>
      <c r="BI14" s="144"/>
      <c r="BJ14" s="144"/>
      <c r="BK14" s="19"/>
    </row>
    <row r="15" spans="1:63" ht="15" customHeight="1">
      <c r="A15" s="18"/>
      <c r="B15" s="143">
        <v>3</v>
      </c>
      <c r="C15" s="143"/>
      <c r="D15" s="143"/>
      <c r="E15" s="144"/>
      <c r="F15" s="144"/>
      <c r="G15" s="144"/>
      <c r="H15" s="144"/>
      <c r="I15" s="144"/>
      <c r="J15" s="144"/>
      <c r="K15" s="144"/>
      <c r="L15" s="145"/>
      <c r="M15" s="145"/>
      <c r="N15" s="145"/>
      <c r="O15" s="145"/>
      <c r="P15" s="145"/>
      <c r="Q15" s="145"/>
      <c r="R15" s="145"/>
      <c r="S15" s="145"/>
      <c r="T15" s="145"/>
      <c r="U15" s="145"/>
      <c r="V15" s="145"/>
      <c r="W15" s="145"/>
      <c r="X15" s="144" t="s">
        <v>71</v>
      </c>
      <c r="Y15" s="144"/>
      <c r="Z15" s="144"/>
      <c r="AA15" s="144"/>
      <c r="AB15" s="144"/>
      <c r="AC15" s="144"/>
      <c r="AD15" s="144"/>
      <c r="AE15" s="144"/>
      <c r="AF15" s="144"/>
      <c r="AG15" s="144"/>
      <c r="AH15" s="144"/>
      <c r="AI15" s="144"/>
      <c r="AJ15" s="144"/>
      <c r="AK15" s="144"/>
      <c r="AL15" s="144"/>
      <c r="AM15" s="144" t="s">
        <v>72</v>
      </c>
      <c r="AN15" s="144"/>
      <c r="AO15" s="144"/>
      <c r="AP15" s="144"/>
      <c r="AQ15" s="144"/>
      <c r="AR15" s="144"/>
      <c r="AS15" s="144"/>
      <c r="AT15" s="144"/>
      <c r="AU15" s="144"/>
      <c r="AV15" s="144"/>
      <c r="AW15" s="144"/>
      <c r="AX15" s="144"/>
      <c r="AY15" s="144"/>
      <c r="AZ15" s="144"/>
      <c r="BA15" s="144"/>
      <c r="BB15" s="144"/>
      <c r="BC15" s="144"/>
      <c r="BD15" s="144"/>
      <c r="BE15" s="144"/>
      <c r="BF15" s="144"/>
      <c r="BG15" s="144"/>
      <c r="BH15" s="144"/>
      <c r="BI15" s="144"/>
      <c r="BJ15" s="144"/>
      <c r="BK15" s="19"/>
    </row>
    <row r="16" spans="1:63" ht="15" customHeight="1">
      <c r="A16" s="18"/>
      <c r="B16" s="143">
        <v>4</v>
      </c>
      <c r="C16" s="143"/>
      <c r="D16" s="143"/>
      <c r="E16" s="144"/>
      <c r="F16" s="144"/>
      <c r="G16" s="144"/>
      <c r="H16" s="144"/>
      <c r="I16" s="144"/>
      <c r="J16" s="144"/>
      <c r="K16" s="144"/>
      <c r="L16" s="145"/>
      <c r="M16" s="145"/>
      <c r="N16" s="145"/>
      <c r="O16" s="145"/>
      <c r="P16" s="145"/>
      <c r="Q16" s="145"/>
      <c r="R16" s="145"/>
      <c r="S16" s="145"/>
      <c r="T16" s="145"/>
      <c r="U16" s="145"/>
      <c r="V16" s="145"/>
      <c r="W16" s="145"/>
      <c r="X16" s="144" t="s">
        <v>73</v>
      </c>
      <c r="Y16" s="144"/>
      <c r="Z16" s="144"/>
      <c r="AA16" s="144"/>
      <c r="AB16" s="144"/>
      <c r="AC16" s="144"/>
      <c r="AD16" s="144"/>
      <c r="AE16" s="144"/>
      <c r="AF16" s="144"/>
      <c r="AG16" s="144"/>
      <c r="AH16" s="144"/>
      <c r="AI16" s="144"/>
      <c r="AJ16" s="144"/>
      <c r="AK16" s="144"/>
      <c r="AL16" s="144"/>
      <c r="AM16" s="144" t="s">
        <v>74</v>
      </c>
      <c r="AN16" s="144"/>
      <c r="AO16" s="144"/>
      <c r="AP16" s="144"/>
      <c r="AQ16" s="144"/>
      <c r="AR16" s="144"/>
      <c r="AS16" s="144"/>
      <c r="AT16" s="144"/>
      <c r="AU16" s="144"/>
      <c r="AV16" s="144"/>
      <c r="AW16" s="144"/>
      <c r="AX16" s="144"/>
      <c r="AY16" s="144"/>
      <c r="AZ16" s="144"/>
      <c r="BA16" s="144"/>
      <c r="BB16" s="144"/>
      <c r="BC16" s="144"/>
      <c r="BD16" s="144"/>
      <c r="BE16" s="144"/>
      <c r="BF16" s="144"/>
      <c r="BG16" s="144"/>
      <c r="BH16" s="144"/>
      <c r="BI16" s="144"/>
      <c r="BJ16" s="144"/>
      <c r="BK16" s="19"/>
    </row>
    <row r="17" spans="1:63" ht="15" customHeight="1">
      <c r="A17" s="18"/>
      <c r="B17" s="143">
        <v>5</v>
      </c>
      <c r="C17" s="143"/>
      <c r="D17" s="143"/>
      <c r="E17" s="144"/>
      <c r="F17" s="144"/>
      <c r="G17" s="144"/>
      <c r="H17" s="144"/>
      <c r="I17" s="144"/>
      <c r="J17" s="144"/>
      <c r="K17" s="144"/>
      <c r="L17" s="145"/>
      <c r="M17" s="145"/>
      <c r="N17" s="145"/>
      <c r="O17" s="145"/>
      <c r="P17" s="145"/>
      <c r="Q17" s="145"/>
      <c r="R17" s="145"/>
      <c r="S17" s="145"/>
      <c r="T17" s="145"/>
      <c r="U17" s="145"/>
      <c r="V17" s="145"/>
      <c r="W17" s="145"/>
      <c r="X17" s="144" t="s">
        <v>75</v>
      </c>
      <c r="Y17" s="144"/>
      <c r="Z17" s="144"/>
      <c r="AA17" s="144"/>
      <c r="AB17" s="144"/>
      <c r="AC17" s="144"/>
      <c r="AD17" s="144"/>
      <c r="AE17" s="144"/>
      <c r="AF17" s="144"/>
      <c r="AG17" s="144"/>
      <c r="AH17" s="144"/>
      <c r="AI17" s="144"/>
      <c r="AJ17" s="144"/>
      <c r="AK17" s="144"/>
      <c r="AL17" s="144"/>
      <c r="AM17" s="144" t="s">
        <v>76</v>
      </c>
      <c r="AN17" s="144"/>
      <c r="AO17" s="144"/>
      <c r="AP17" s="144"/>
      <c r="AQ17" s="144"/>
      <c r="AR17" s="144"/>
      <c r="AS17" s="144"/>
      <c r="AT17" s="144"/>
      <c r="AU17" s="144"/>
      <c r="AV17" s="144"/>
      <c r="AW17" s="144"/>
      <c r="AX17" s="144"/>
      <c r="AY17" s="144"/>
      <c r="AZ17" s="144"/>
      <c r="BA17" s="144"/>
      <c r="BB17" s="144"/>
      <c r="BC17" s="144"/>
      <c r="BD17" s="144"/>
      <c r="BE17" s="144"/>
      <c r="BF17" s="144"/>
      <c r="BG17" s="144"/>
      <c r="BH17" s="144"/>
      <c r="BI17" s="144"/>
      <c r="BJ17" s="144"/>
      <c r="BK17" s="19"/>
    </row>
    <row r="18" spans="1:63" ht="15" customHeight="1">
      <c r="A18" s="18"/>
      <c r="B18" s="143">
        <v>6</v>
      </c>
      <c r="C18" s="143"/>
      <c r="D18" s="143"/>
      <c r="E18" s="144"/>
      <c r="F18" s="144"/>
      <c r="G18" s="144"/>
      <c r="H18" s="144"/>
      <c r="I18" s="144"/>
      <c r="J18" s="144"/>
      <c r="K18" s="144"/>
      <c r="L18" s="145"/>
      <c r="M18" s="145"/>
      <c r="N18" s="145"/>
      <c r="O18" s="145"/>
      <c r="P18" s="145"/>
      <c r="Q18" s="145"/>
      <c r="R18" s="145"/>
      <c r="S18" s="145"/>
      <c r="T18" s="145"/>
      <c r="U18" s="145"/>
      <c r="V18" s="145"/>
      <c r="W18" s="145"/>
      <c r="X18" s="144" t="s">
        <v>77</v>
      </c>
      <c r="Y18" s="144"/>
      <c r="Z18" s="144"/>
      <c r="AA18" s="144"/>
      <c r="AB18" s="144"/>
      <c r="AC18" s="144"/>
      <c r="AD18" s="144"/>
      <c r="AE18" s="144"/>
      <c r="AF18" s="144"/>
      <c r="AG18" s="144"/>
      <c r="AH18" s="144"/>
      <c r="AI18" s="144"/>
      <c r="AJ18" s="144"/>
      <c r="AK18" s="144"/>
      <c r="AL18" s="144"/>
      <c r="AM18" s="144" t="s">
        <v>78</v>
      </c>
      <c r="AN18" s="144"/>
      <c r="AO18" s="144"/>
      <c r="AP18" s="144"/>
      <c r="AQ18" s="144"/>
      <c r="AR18" s="144"/>
      <c r="AS18" s="144"/>
      <c r="AT18" s="144"/>
      <c r="AU18" s="144"/>
      <c r="AV18" s="144"/>
      <c r="AW18" s="144"/>
      <c r="AX18" s="144"/>
      <c r="AY18" s="144"/>
      <c r="AZ18" s="144"/>
      <c r="BA18" s="144"/>
      <c r="BB18" s="144"/>
      <c r="BC18" s="144"/>
      <c r="BD18" s="144"/>
      <c r="BE18" s="144"/>
      <c r="BF18" s="144"/>
      <c r="BG18" s="144"/>
      <c r="BH18" s="144"/>
      <c r="BI18" s="144"/>
      <c r="BJ18" s="144"/>
      <c r="BK18" s="19"/>
    </row>
    <row r="19" spans="1:63" ht="15" customHeight="1">
      <c r="A19" s="18"/>
      <c r="B19" s="143">
        <v>7</v>
      </c>
      <c r="C19" s="143"/>
      <c r="D19" s="143"/>
      <c r="E19" s="144"/>
      <c r="F19" s="144"/>
      <c r="G19" s="144"/>
      <c r="H19" s="144"/>
      <c r="I19" s="144"/>
      <c r="J19" s="144"/>
      <c r="K19" s="144"/>
      <c r="L19" s="145"/>
      <c r="M19" s="145"/>
      <c r="N19" s="145"/>
      <c r="O19" s="145"/>
      <c r="P19" s="145"/>
      <c r="Q19" s="145"/>
      <c r="R19" s="145"/>
      <c r="S19" s="145"/>
      <c r="T19" s="145"/>
      <c r="U19" s="145"/>
      <c r="V19" s="145"/>
      <c r="W19" s="145"/>
      <c r="X19" s="144" t="s">
        <v>79</v>
      </c>
      <c r="Y19" s="144"/>
      <c r="Z19" s="144"/>
      <c r="AA19" s="144"/>
      <c r="AB19" s="144"/>
      <c r="AC19" s="144"/>
      <c r="AD19" s="144"/>
      <c r="AE19" s="144"/>
      <c r="AF19" s="144"/>
      <c r="AG19" s="144"/>
      <c r="AH19" s="144"/>
      <c r="AI19" s="144"/>
      <c r="AJ19" s="144"/>
      <c r="AK19" s="144"/>
      <c r="AL19" s="144"/>
      <c r="AM19" s="144" t="s">
        <v>80</v>
      </c>
      <c r="AN19" s="144"/>
      <c r="AO19" s="144"/>
      <c r="AP19" s="144"/>
      <c r="AQ19" s="144"/>
      <c r="AR19" s="144"/>
      <c r="AS19" s="144"/>
      <c r="AT19" s="144"/>
      <c r="AU19" s="144"/>
      <c r="AV19" s="144"/>
      <c r="AW19" s="144"/>
      <c r="AX19" s="144"/>
      <c r="AY19" s="144"/>
      <c r="AZ19" s="144"/>
      <c r="BA19" s="144"/>
      <c r="BB19" s="144"/>
      <c r="BC19" s="144"/>
      <c r="BD19" s="144"/>
      <c r="BE19" s="144"/>
      <c r="BF19" s="144"/>
      <c r="BG19" s="144"/>
      <c r="BH19" s="144"/>
      <c r="BI19" s="144"/>
      <c r="BJ19" s="144"/>
      <c r="BK19" s="19"/>
    </row>
    <row r="20" spans="1:63" ht="15" customHeight="1">
      <c r="A20" s="18"/>
      <c r="B20" s="143">
        <v>8</v>
      </c>
      <c r="C20" s="143"/>
      <c r="D20" s="143"/>
      <c r="E20" s="144"/>
      <c r="F20" s="144"/>
      <c r="G20" s="144"/>
      <c r="H20" s="144"/>
      <c r="I20" s="144"/>
      <c r="J20" s="144"/>
      <c r="K20" s="144"/>
      <c r="L20" s="145"/>
      <c r="M20" s="145"/>
      <c r="N20" s="145"/>
      <c r="O20" s="145"/>
      <c r="P20" s="145"/>
      <c r="Q20" s="145"/>
      <c r="R20" s="145"/>
      <c r="S20" s="145"/>
      <c r="T20" s="145"/>
      <c r="U20" s="145"/>
      <c r="V20" s="145"/>
      <c r="W20" s="145"/>
      <c r="X20" s="144" t="s">
        <v>81</v>
      </c>
      <c r="Y20" s="144"/>
      <c r="Z20" s="144"/>
      <c r="AA20" s="144"/>
      <c r="AB20" s="144"/>
      <c r="AC20" s="144"/>
      <c r="AD20" s="144"/>
      <c r="AE20" s="144"/>
      <c r="AF20" s="144"/>
      <c r="AG20" s="144"/>
      <c r="AH20" s="144"/>
      <c r="AI20" s="144"/>
      <c r="AJ20" s="144"/>
      <c r="AK20" s="144"/>
      <c r="AL20" s="144"/>
      <c r="AM20" s="144" t="s">
        <v>82</v>
      </c>
      <c r="AN20" s="144"/>
      <c r="AO20" s="144"/>
      <c r="AP20" s="144"/>
      <c r="AQ20" s="144"/>
      <c r="AR20" s="144"/>
      <c r="AS20" s="144"/>
      <c r="AT20" s="144"/>
      <c r="AU20" s="144"/>
      <c r="AV20" s="144"/>
      <c r="AW20" s="144"/>
      <c r="AX20" s="144"/>
      <c r="AY20" s="144"/>
      <c r="AZ20" s="144"/>
      <c r="BA20" s="144"/>
      <c r="BB20" s="144"/>
      <c r="BC20" s="144"/>
      <c r="BD20" s="144"/>
      <c r="BE20" s="144"/>
      <c r="BF20" s="144"/>
      <c r="BG20" s="144"/>
      <c r="BH20" s="144"/>
      <c r="BI20" s="144"/>
      <c r="BJ20" s="144"/>
      <c r="BK20" s="19"/>
    </row>
    <row r="21" spans="1:63" ht="15" customHeight="1">
      <c r="A21" s="18"/>
      <c r="B21" s="143">
        <v>9</v>
      </c>
      <c r="C21" s="143"/>
      <c r="D21" s="143"/>
      <c r="E21" s="144"/>
      <c r="F21" s="144"/>
      <c r="G21" s="144"/>
      <c r="H21" s="144"/>
      <c r="I21" s="144"/>
      <c r="J21" s="144"/>
      <c r="K21" s="144"/>
      <c r="L21" s="145"/>
      <c r="M21" s="145"/>
      <c r="N21" s="145"/>
      <c r="O21" s="145"/>
      <c r="P21" s="145"/>
      <c r="Q21" s="145"/>
      <c r="R21" s="145"/>
      <c r="S21" s="145"/>
      <c r="T21" s="145"/>
      <c r="U21" s="145"/>
      <c r="V21" s="145"/>
      <c r="W21" s="145"/>
      <c r="X21" s="146" t="s">
        <v>83</v>
      </c>
      <c r="Y21" s="144"/>
      <c r="Z21" s="144"/>
      <c r="AA21" s="144"/>
      <c r="AB21" s="144"/>
      <c r="AC21" s="144"/>
      <c r="AD21" s="144"/>
      <c r="AE21" s="144"/>
      <c r="AF21" s="144"/>
      <c r="AG21" s="144"/>
      <c r="AH21" s="144"/>
      <c r="AI21" s="144"/>
      <c r="AJ21" s="144"/>
      <c r="AK21" s="144"/>
      <c r="AL21" s="144"/>
      <c r="AM21" s="144" t="s">
        <v>84</v>
      </c>
      <c r="AN21" s="144"/>
      <c r="AO21" s="144"/>
      <c r="AP21" s="144"/>
      <c r="AQ21" s="144"/>
      <c r="AR21" s="144"/>
      <c r="AS21" s="144"/>
      <c r="AT21" s="144"/>
      <c r="AU21" s="144"/>
      <c r="AV21" s="144"/>
      <c r="AW21" s="144"/>
      <c r="AX21" s="144"/>
      <c r="AY21" s="144"/>
      <c r="AZ21" s="144"/>
      <c r="BA21" s="144"/>
      <c r="BB21" s="144"/>
      <c r="BC21" s="144"/>
      <c r="BD21" s="144"/>
      <c r="BE21" s="144"/>
      <c r="BF21" s="144"/>
      <c r="BG21" s="144"/>
      <c r="BH21" s="144"/>
      <c r="BI21" s="144"/>
      <c r="BJ21" s="144"/>
      <c r="BK21" s="19"/>
    </row>
    <row r="22" spans="1:63" ht="15" customHeight="1">
      <c r="A22" s="18"/>
      <c r="B22" s="143">
        <v>10</v>
      </c>
      <c r="C22" s="143"/>
      <c r="D22" s="143"/>
      <c r="E22" s="144"/>
      <c r="F22" s="144"/>
      <c r="G22" s="144"/>
      <c r="H22" s="144"/>
      <c r="I22" s="144"/>
      <c r="J22" s="144"/>
      <c r="K22" s="144"/>
      <c r="L22" s="145"/>
      <c r="M22" s="145"/>
      <c r="N22" s="145"/>
      <c r="O22" s="145"/>
      <c r="P22" s="145"/>
      <c r="Q22" s="145"/>
      <c r="R22" s="145"/>
      <c r="S22" s="145"/>
      <c r="T22" s="145"/>
      <c r="U22" s="145"/>
      <c r="V22" s="145"/>
      <c r="W22" s="145"/>
      <c r="X22" s="144" t="s">
        <v>85</v>
      </c>
      <c r="Y22" s="144"/>
      <c r="Z22" s="144"/>
      <c r="AA22" s="144"/>
      <c r="AB22" s="144"/>
      <c r="AC22" s="144"/>
      <c r="AD22" s="144"/>
      <c r="AE22" s="144"/>
      <c r="AF22" s="144"/>
      <c r="AG22" s="144"/>
      <c r="AH22" s="144"/>
      <c r="AI22" s="144"/>
      <c r="AJ22" s="144"/>
      <c r="AK22" s="144"/>
      <c r="AL22" s="144"/>
      <c r="AM22" s="144" t="s">
        <v>86</v>
      </c>
      <c r="AN22" s="144"/>
      <c r="AO22" s="144"/>
      <c r="AP22" s="144"/>
      <c r="AQ22" s="144"/>
      <c r="AR22" s="144"/>
      <c r="AS22" s="144"/>
      <c r="AT22" s="144"/>
      <c r="AU22" s="144"/>
      <c r="AV22" s="144"/>
      <c r="AW22" s="144"/>
      <c r="AX22" s="144"/>
      <c r="AY22" s="144"/>
      <c r="AZ22" s="144"/>
      <c r="BA22" s="144"/>
      <c r="BB22" s="144"/>
      <c r="BC22" s="144"/>
      <c r="BD22" s="144"/>
      <c r="BE22" s="144"/>
      <c r="BF22" s="144"/>
      <c r="BG22" s="144"/>
      <c r="BH22" s="144"/>
      <c r="BI22" s="144"/>
      <c r="BJ22" s="144"/>
      <c r="BK22" s="19"/>
    </row>
    <row r="23" spans="1:63" ht="15" customHeight="1">
      <c r="A23" s="18"/>
      <c r="B23" s="143">
        <v>11</v>
      </c>
      <c r="C23" s="143"/>
      <c r="D23" s="143"/>
      <c r="E23" s="144"/>
      <c r="F23" s="144"/>
      <c r="G23" s="144"/>
      <c r="H23" s="144"/>
      <c r="I23" s="144"/>
      <c r="J23" s="144"/>
      <c r="K23" s="144"/>
      <c r="L23" s="145"/>
      <c r="M23" s="145"/>
      <c r="N23" s="145"/>
      <c r="O23" s="145"/>
      <c r="P23" s="145"/>
      <c r="Q23" s="145"/>
      <c r="R23" s="145"/>
      <c r="S23" s="145"/>
      <c r="T23" s="145"/>
      <c r="U23" s="145"/>
      <c r="V23" s="145"/>
      <c r="W23" s="145"/>
      <c r="X23" s="144" t="s">
        <v>87</v>
      </c>
      <c r="Y23" s="144"/>
      <c r="Z23" s="144"/>
      <c r="AA23" s="144"/>
      <c r="AB23" s="144"/>
      <c r="AC23" s="144"/>
      <c r="AD23" s="144"/>
      <c r="AE23" s="144"/>
      <c r="AF23" s="144"/>
      <c r="AG23" s="144"/>
      <c r="AH23" s="144"/>
      <c r="AI23" s="144"/>
      <c r="AJ23" s="144"/>
      <c r="AK23" s="144"/>
      <c r="AL23" s="144"/>
      <c r="AM23" s="144" t="s">
        <v>88</v>
      </c>
      <c r="AN23" s="144"/>
      <c r="AO23" s="144"/>
      <c r="AP23" s="144"/>
      <c r="AQ23" s="144"/>
      <c r="AR23" s="144"/>
      <c r="AS23" s="144"/>
      <c r="AT23" s="144"/>
      <c r="AU23" s="144"/>
      <c r="AV23" s="144"/>
      <c r="AW23" s="144"/>
      <c r="AX23" s="144"/>
      <c r="AY23" s="144"/>
      <c r="AZ23" s="144"/>
      <c r="BA23" s="144"/>
      <c r="BB23" s="144"/>
      <c r="BC23" s="144"/>
      <c r="BD23" s="144"/>
      <c r="BE23" s="144"/>
      <c r="BF23" s="144"/>
      <c r="BG23" s="144"/>
      <c r="BH23" s="144"/>
      <c r="BI23" s="144"/>
      <c r="BJ23" s="144"/>
      <c r="BK23" s="19"/>
    </row>
    <row r="24" spans="1:63" ht="15" customHeight="1">
      <c r="A24" s="18"/>
      <c r="B24" s="143">
        <v>12</v>
      </c>
      <c r="C24" s="143"/>
      <c r="D24" s="143"/>
      <c r="E24" s="144"/>
      <c r="F24" s="144"/>
      <c r="G24" s="144"/>
      <c r="H24" s="144"/>
      <c r="I24" s="144"/>
      <c r="J24" s="144"/>
      <c r="K24" s="144"/>
      <c r="L24" s="145"/>
      <c r="M24" s="145"/>
      <c r="N24" s="145"/>
      <c r="O24" s="145"/>
      <c r="P24" s="145"/>
      <c r="Q24" s="145"/>
      <c r="R24" s="145"/>
      <c r="S24" s="145"/>
      <c r="T24" s="145"/>
      <c r="U24" s="145"/>
      <c r="V24" s="145"/>
      <c r="W24" s="145"/>
      <c r="X24" s="144" t="s">
        <v>89</v>
      </c>
      <c r="Y24" s="144"/>
      <c r="Z24" s="144"/>
      <c r="AA24" s="144"/>
      <c r="AB24" s="144"/>
      <c r="AC24" s="144"/>
      <c r="AD24" s="144"/>
      <c r="AE24" s="144"/>
      <c r="AF24" s="144"/>
      <c r="AG24" s="144"/>
      <c r="AH24" s="144"/>
      <c r="AI24" s="144"/>
      <c r="AJ24" s="144"/>
      <c r="AK24" s="144"/>
      <c r="AL24" s="144"/>
      <c r="AM24" s="144" t="s">
        <v>90</v>
      </c>
      <c r="AN24" s="144"/>
      <c r="AO24" s="144"/>
      <c r="AP24" s="144"/>
      <c r="AQ24" s="144"/>
      <c r="AR24" s="144"/>
      <c r="AS24" s="144"/>
      <c r="AT24" s="144"/>
      <c r="AU24" s="144"/>
      <c r="AV24" s="144"/>
      <c r="AW24" s="144"/>
      <c r="AX24" s="144"/>
      <c r="AY24" s="144"/>
      <c r="AZ24" s="144"/>
      <c r="BA24" s="144"/>
      <c r="BB24" s="144"/>
      <c r="BC24" s="144"/>
      <c r="BD24" s="144"/>
      <c r="BE24" s="144"/>
      <c r="BF24" s="144"/>
      <c r="BG24" s="144"/>
      <c r="BH24" s="144"/>
      <c r="BI24" s="144"/>
      <c r="BJ24" s="144"/>
      <c r="BK24" s="19"/>
    </row>
    <row r="25" spans="1:63" ht="15" customHeight="1">
      <c r="A25" s="18"/>
      <c r="B25" s="143">
        <v>13</v>
      </c>
      <c r="C25" s="143"/>
      <c r="D25" s="143"/>
      <c r="E25" s="144"/>
      <c r="F25" s="144"/>
      <c r="G25" s="144"/>
      <c r="H25" s="144"/>
      <c r="I25" s="144"/>
      <c r="J25" s="144"/>
      <c r="K25" s="144"/>
      <c r="L25" s="145"/>
      <c r="M25" s="145"/>
      <c r="N25" s="145"/>
      <c r="O25" s="145"/>
      <c r="P25" s="145"/>
      <c r="Q25" s="145"/>
      <c r="R25" s="145"/>
      <c r="S25" s="145"/>
      <c r="T25" s="145"/>
      <c r="U25" s="145"/>
      <c r="V25" s="145"/>
      <c r="W25" s="145"/>
      <c r="X25" s="144"/>
      <c r="Y25" s="144"/>
      <c r="Z25" s="144"/>
      <c r="AA25" s="144"/>
      <c r="AB25" s="144"/>
      <c r="AC25" s="144"/>
      <c r="AD25" s="144"/>
      <c r="AE25" s="144"/>
      <c r="AF25" s="144"/>
      <c r="AG25" s="144"/>
      <c r="AH25" s="144"/>
      <c r="AI25" s="144"/>
      <c r="AJ25" s="144"/>
      <c r="AK25" s="144"/>
      <c r="AL25" s="144"/>
      <c r="AM25" s="144"/>
      <c r="AN25" s="144"/>
      <c r="AO25" s="144"/>
      <c r="AP25" s="144"/>
      <c r="AQ25" s="144"/>
      <c r="AR25" s="144"/>
      <c r="AS25" s="144"/>
      <c r="AT25" s="144"/>
      <c r="AU25" s="144"/>
      <c r="AV25" s="144"/>
      <c r="AW25" s="144"/>
      <c r="AX25" s="144"/>
      <c r="AY25" s="144"/>
      <c r="AZ25" s="144"/>
      <c r="BA25" s="144"/>
      <c r="BB25" s="144"/>
      <c r="BC25" s="144"/>
      <c r="BD25" s="144"/>
      <c r="BE25" s="144"/>
      <c r="BF25" s="144"/>
      <c r="BG25" s="144"/>
      <c r="BH25" s="144"/>
      <c r="BI25" s="144"/>
      <c r="BJ25" s="144"/>
      <c r="BK25" s="19"/>
    </row>
    <row r="26" spans="1:63" ht="15" customHeight="1">
      <c r="A26" s="18"/>
      <c r="BK26" s="19"/>
    </row>
    <row r="27" spans="1:63" ht="15" customHeight="1">
      <c r="A27" s="18"/>
      <c r="BK27" s="19"/>
    </row>
    <row r="28" spans="1:63" ht="15" customHeight="1">
      <c r="A28" s="18"/>
      <c r="BK28" s="19"/>
    </row>
    <row r="29" spans="1:63" ht="15" customHeight="1">
      <c r="A29" s="18"/>
      <c r="BK29" s="19"/>
    </row>
    <row r="30" spans="1:63" ht="15" customHeight="1">
      <c r="A30" s="18"/>
      <c r="BK30" s="19"/>
    </row>
    <row r="31" spans="1:63" ht="15" customHeight="1">
      <c r="A31" s="18"/>
      <c r="BK31" s="19"/>
    </row>
    <row r="32" spans="1:63" ht="15" customHeight="1">
      <c r="A32" s="18"/>
      <c r="BK32" s="19"/>
    </row>
    <row r="33" spans="1:63" ht="15" customHeight="1">
      <c r="A33" s="18"/>
      <c r="BK33" s="19"/>
    </row>
    <row r="34" spans="1:63" ht="15" customHeight="1">
      <c r="A34" s="18"/>
      <c r="BK34" s="19"/>
    </row>
    <row r="35" spans="1:63" ht="15" customHeight="1">
      <c r="A35" s="18"/>
      <c r="BK35" s="19"/>
    </row>
    <row r="36" spans="1:63" ht="15" customHeight="1">
      <c r="A36" s="18"/>
      <c r="BK36" s="19"/>
    </row>
    <row r="37" spans="1:63" ht="15" customHeight="1">
      <c r="A37" s="18"/>
      <c r="BK37" s="19"/>
    </row>
    <row r="38" spans="1:63" ht="15" customHeight="1">
      <c r="A38" s="18"/>
      <c r="BK38" s="19"/>
    </row>
    <row r="39" spans="1:63" ht="15" customHeight="1">
      <c r="A39" s="18"/>
      <c r="BK39" s="19"/>
    </row>
    <row r="40" spans="1:63" ht="15" customHeight="1">
      <c r="A40" s="18"/>
      <c r="BK40" s="19"/>
    </row>
    <row r="41" spans="1:63" ht="15" customHeight="1">
      <c r="A41" s="15"/>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7"/>
    </row>
  </sheetData>
  <mergeCells count="90">
    <mergeCell ref="AM20:BJ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 ref="X12:AL12"/>
    <mergeCell ref="AM12:BJ12"/>
    <mergeCell ref="X13:AL13"/>
    <mergeCell ref="AM13:BJ13"/>
    <mergeCell ref="B12:D12"/>
    <mergeCell ref="B13:D13"/>
    <mergeCell ref="E12:K12"/>
    <mergeCell ref="E13:K13"/>
    <mergeCell ref="L12:W12"/>
    <mergeCell ref="L13:W13"/>
    <mergeCell ref="X14:AL14"/>
    <mergeCell ref="AM14:BJ14"/>
    <mergeCell ref="X15:AL15"/>
    <mergeCell ref="AM15:BJ15"/>
    <mergeCell ref="B14:D14"/>
    <mergeCell ref="B15:D15"/>
    <mergeCell ref="E14:K14"/>
    <mergeCell ref="E15:K15"/>
    <mergeCell ref="L14:W14"/>
    <mergeCell ref="L15:W15"/>
    <mergeCell ref="X16:AL16"/>
    <mergeCell ref="AM16:BJ16"/>
    <mergeCell ref="X17:AL17"/>
    <mergeCell ref="AM17:BJ17"/>
    <mergeCell ref="B16:D16"/>
    <mergeCell ref="B17:D17"/>
    <mergeCell ref="E16:K16"/>
    <mergeCell ref="L17:W17"/>
    <mergeCell ref="E17:K17"/>
    <mergeCell ref="L16:W16"/>
    <mergeCell ref="X18:AL18"/>
    <mergeCell ref="AM18:BJ18"/>
    <mergeCell ref="X22:AL22"/>
    <mergeCell ref="AM22:BJ22"/>
    <mergeCell ref="B18:D18"/>
    <mergeCell ref="B22:D22"/>
    <mergeCell ref="E18:K18"/>
    <mergeCell ref="E22:K22"/>
    <mergeCell ref="L18:W18"/>
    <mergeCell ref="L22:W22"/>
    <mergeCell ref="AM21:BJ21"/>
    <mergeCell ref="X21:AL21"/>
    <mergeCell ref="B20:D20"/>
    <mergeCell ref="E20:K20"/>
    <mergeCell ref="L20:W20"/>
    <mergeCell ref="X20:AL20"/>
    <mergeCell ref="B19:D19"/>
    <mergeCell ref="E19:K19"/>
    <mergeCell ref="L19:W19"/>
    <mergeCell ref="X19:AL19"/>
    <mergeCell ref="AM19:BJ19"/>
    <mergeCell ref="X23:AL23"/>
    <mergeCell ref="AM23:BJ23"/>
    <mergeCell ref="X24:AL24"/>
    <mergeCell ref="AM24:BJ24"/>
    <mergeCell ref="X25:AL25"/>
    <mergeCell ref="AM25:BJ25"/>
    <mergeCell ref="B25:D25"/>
    <mergeCell ref="E25:K25"/>
    <mergeCell ref="L25:W25"/>
    <mergeCell ref="B21:D21"/>
    <mergeCell ref="E21:K21"/>
    <mergeCell ref="L21:W21"/>
    <mergeCell ref="B23:D23"/>
    <mergeCell ref="B24:D24"/>
    <mergeCell ref="E23:K23"/>
    <mergeCell ref="E24:K24"/>
    <mergeCell ref="L23:W23"/>
    <mergeCell ref="L24:W24"/>
  </mergeCells>
  <printOptions horizontalCentered="1" verticalCentered="1"/>
  <pageMargins left="0.59055118110236204" right="0.59055118110236204" top="0.39370078740157499" bottom="0.39370078740157499" header="0.31496062992126" footer="0.31496062992126"/>
  <pageSetup paperSize="9" scale="68" orientation="landscape" r:id="rId1"/>
  <headerFooter>
    <oddHeader>&amp;R&amp;F</oddHeader>
    <oddFooter>&amp;C&amp;P / &amp;N ページ</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84879-07C4-4FD4-AD97-A81BEA8B9458}">
  <sheetPr>
    <pageSetUpPr fitToPage="1"/>
  </sheetPr>
  <dimension ref="A1:BM62"/>
  <sheetViews>
    <sheetView view="pageBreakPreview" zoomScaleNormal="75" zoomScaleSheetLayoutView="100" workbookViewId="0">
      <selection activeCell="AE19" sqref="AE19:AI19"/>
    </sheetView>
  </sheetViews>
  <sheetFormatPr defaultColWidth="2.6640625" defaultRowHeight="15" customHeight="1"/>
  <cols>
    <col min="1" max="39" width="2.6640625" style="2"/>
    <col min="40" max="40" width="8.44140625" style="2" customWidth="1"/>
    <col min="41" max="44" width="2.6640625" style="2"/>
    <col min="45" max="45" width="22" style="2" customWidth="1"/>
    <col min="46" max="46" width="6.88671875" style="2" bestFit="1" customWidth="1"/>
    <col min="47" max="54" width="2.6640625" style="2"/>
    <col min="55" max="55" width="8.6640625" style="2" customWidth="1"/>
    <col min="56" max="59" width="2.6640625" style="2"/>
    <col min="60" max="60" width="3.6640625" style="2" customWidth="1"/>
    <col min="61" max="16384" width="2.6640625" style="2"/>
  </cols>
  <sheetData>
    <row r="1" spans="1:65" customFormat="1" ht="24.95" customHeight="1">
      <c r="A1" s="70" t="s">
        <v>0</v>
      </c>
      <c r="B1" s="71"/>
      <c r="C1" s="71"/>
      <c r="D1" s="71"/>
      <c r="E1" s="71"/>
      <c r="F1" s="71"/>
      <c r="G1" s="71"/>
      <c r="H1" s="71"/>
      <c r="I1" s="71"/>
      <c r="J1" s="72"/>
      <c r="K1" s="70" t="s">
        <v>1</v>
      </c>
      <c r="L1" s="71"/>
      <c r="M1" s="71"/>
      <c r="N1" s="71"/>
      <c r="O1" s="71"/>
      <c r="P1" s="71"/>
      <c r="Q1" s="71"/>
      <c r="R1" s="71"/>
      <c r="S1" s="71"/>
      <c r="T1" s="71"/>
      <c r="U1" s="71"/>
      <c r="V1" s="72"/>
      <c r="W1" s="90" t="e">
        <f ca="1">IF( che [11]phủ!W1="","", che [11]phủ!W1)</f>
        <v>#NAME?</v>
      </c>
      <c r="X1" s="91"/>
      <c r="Y1" s="91"/>
      <c r="Z1" s="91"/>
      <c r="AA1" s="91"/>
      <c r="AB1" s="91"/>
      <c r="AC1" s="91"/>
      <c r="AD1" s="91"/>
      <c r="AE1" s="91"/>
      <c r="AF1" s="91"/>
      <c r="AG1" s="91"/>
      <c r="AH1" s="91"/>
      <c r="AI1" s="91"/>
      <c r="AJ1" s="91"/>
      <c r="AK1" s="91"/>
      <c r="AL1" s="91"/>
      <c r="AM1" s="91"/>
      <c r="AN1" s="91"/>
      <c r="AO1" s="92"/>
      <c r="AP1" s="70" t="s">
        <v>3</v>
      </c>
      <c r="AQ1" s="71"/>
      <c r="AR1" s="71"/>
      <c r="AS1" s="72"/>
      <c r="AT1" s="70" t="s">
        <v>4</v>
      </c>
      <c r="AU1" s="71"/>
      <c r="AV1" s="71"/>
      <c r="AW1" s="71"/>
      <c r="AX1" s="72"/>
      <c r="AY1" s="70" t="s">
        <v>5</v>
      </c>
      <c r="AZ1" s="71"/>
      <c r="BA1" s="71"/>
      <c r="BB1" s="72"/>
      <c r="BC1" s="70" t="s">
        <v>6</v>
      </c>
      <c r="BD1" s="71"/>
      <c r="BE1" s="71"/>
      <c r="BF1" s="71"/>
      <c r="BG1" s="72"/>
      <c r="BH1" s="70" t="s">
        <v>7</v>
      </c>
      <c r="BI1" s="71"/>
      <c r="BJ1" s="71"/>
      <c r="BK1" s="72"/>
    </row>
    <row r="2" spans="1:65" customFormat="1" ht="15" customHeight="1">
      <c r="A2" s="55" t="e">
        <f ca="1">IF( che [11]phủ!A2="","", che [11]phủ!A2)</f>
        <v>#NAME?</v>
      </c>
      <c r="B2" s="56"/>
      <c r="C2" s="56"/>
      <c r="D2" s="56"/>
      <c r="E2" s="56"/>
      <c r="F2" s="56"/>
      <c r="G2" s="56"/>
      <c r="H2" s="56"/>
      <c r="I2" s="56"/>
      <c r="J2" s="57"/>
      <c r="K2" s="55" t="e">
        <f ca="1">IF( che [11]phủ!K2="","", che [11]phủ!K2)</f>
        <v>#NAME?</v>
      </c>
      <c r="L2" s="56"/>
      <c r="M2" s="56"/>
      <c r="N2" s="56"/>
      <c r="O2" s="56"/>
      <c r="P2" s="56"/>
      <c r="Q2" s="56"/>
      <c r="R2" s="56"/>
      <c r="S2" s="56"/>
      <c r="T2" s="56"/>
      <c r="U2" s="56"/>
      <c r="V2" s="57"/>
      <c r="W2" s="93"/>
      <c r="X2" s="94"/>
      <c r="Y2" s="94"/>
      <c r="Z2" s="94"/>
      <c r="AA2" s="94"/>
      <c r="AB2" s="94"/>
      <c r="AC2" s="94"/>
      <c r="AD2" s="94"/>
      <c r="AE2" s="94"/>
      <c r="AF2" s="94"/>
      <c r="AG2" s="94"/>
      <c r="AH2" s="94"/>
      <c r="AI2" s="94"/>
      <c r="AJ2" s="94"/>
      <c r="AK2" s="94"/>
      <c r="AL2" s="94"/>
      <c r="AM2" s="94"/>
      <c r="AN2" s="94"/>
      <c r="AO2" s="95"/>
      <c r="AP2" s="55" t="e">
        <f ca="1">IF( che [11]phủ!AP2="","", che [11]phủ!AP2)</f>
        <v>#NAME?</v>
      </c>
      <c r="AQ2" s="56"/>
      <c r="AR2" s="56"/>
      <c r="AS2" s="57"/>
      <c r="AT2" s="84" t="e">
        <f ca="1">IF( che [11]phủ!AT2="","", che [11]phủ!AT2)</f>
        <v>#NAME?</v>
      </c>
      <c r="AU2" s="85"/>
      <c r="AV2" s="85"/>
      <c r="AW2" s="85"/>
      <c r="AX2" s="86"/>
      <c r="AY2" s="55" t="e">
        <f ca="1">IF( che [11]phủ!AY2="","", che [11]phủ!AY2)</f>
        <v>#NAME?</v>
      </c>
      <c r="AZ2" s="56"/>
      <c r="BA2" s="56"/>
      <c r="BB2" s="57"/>
      <c r="BC2" s="84" t="e">
        <f ca="1">IF( che [11]phủ!BC2="","", che [11]phủ!BC2)</f>
        <v>#NAME?</v>
      </c>
      <c r="BD2" s="85"/>
      <c r="BE2" s="85"/>
      <c r="BF2" s="85"/>
      <c r="BG2" s="86"/>
      <c r="BH2" s="55" t="e">
        <f ca="1">IF( che [11]phủ!BH2="","", che [11]phủ!BH2)</f>
        <v>#NAME?</v>
      </c>
      <c r="BI2" s="56"/>
      <c r="BJ2" s="56"/>
      <c r="BK2" s="57"/>
    </row>
    <row r="3" spans="1:65" customFormat="1" ht="15" customHeight="1">
      <c r="A3" s="61"/>
      <c r="B3" s="62"/>
      <c r="C3" s="62"/>
      <c r="D3" s="62"/>
      <c r="E3" s="62"/>
      <c r="F3" s="62"/>
      <c r="G3" s="62"/>
      <c r="H3" s="62"/>
      <c r="I3" s="62"/>
      <c r="J3" s="63"/>
      <c r="K3" s="61"/>
      <c r="L3" s="62"/>
      <c r="M3" s="62"/>
      <c r="N3" s="62"/>
      <c r="O3" s="62"/>
      <c r="P3" s="62"/>
      <c r="Q3" s="62"/>
      <c r="R3" s="62"/>
      <c r="S3" s="62"/>
      <c r="T3" s="62"/>
      <c r="U3" s="62"/>
      <c r="V3" s="63"/>
      <c r="W3" s="96"/>
      <c r="X3" s="97"/>
      <c r="Y3" s="97"/>
      <c r="Z3" s="97"/>
      <c r="AA3" s="97"/>
      <c r="AB3" s="97"/>
      <c r="AC3" s="97"/>
      <c r="AD3" s="97"/>
      <c r="AE3" s="97"/>
      <c r="AF3" s="97"/>
      <c r="AG3" s="97"/>
      <c r="AH3" s="97"/>
      <c r="AI3" s="97"/>
      <c r="AJ3" s="97"/>
      <c r="AK3" s="97"/>
      <c r="AL3" s="97"/>
      <c r="AM3" s="97"/>
      <c r="AN3" s="97"/>
      <c r="AO3" s="98"/>
      <c r="AP3" s="61"/>
      <c r="AQ3" s="62"/>
      <c r="AR3" s="62"/>
      <c r="AS3" s="63"/>
      <c r="AT3" s="87"/>
      <c r="AU3" s="88"/>
      <c r="AV3" s="88"/>
      <c r="AW3" s="88"/>
      <c r="AX3" s="89"/>
      <c r="AY3" s="61"/>
      <c r="AZ3" s="62"/>
      <c r="BA3" s="62"/>
      <c r="BB3" s="63"/>
      <c r="BC3" s="87"/>
      <c r="BD3" s="88"/>
      <c r="BE3" s="88"/>
      <c r="BF3" s="88"/>
      <c r="BG3" s="89"/>
      <c r="BH3" s="61"/>
      <c r="BI3" s="62"/>
      <c r="BJ3" s="62"/>
      <c r="BK3" s="63"/>
    </row>
    <row r="4" spans="1:65" customFormat="1" ht="24.95" customHeight="1">
      <c r="A4" s="70" t="s">
        <v>10</v>
      </c>
      <c r="B4" s="71"/>
      <c r="C4" s="71"/>
      <c r="D4" s="71"/>
      <c r="E4" s="71"/>
      <c r="F4" s="71"/>
      <c r="G4" s="72"/>
      <c r="H4" s="75" t="e">
        <f ca="1">IF( che [11]phủ!H4="","", che [11]phủ!H4)</f>
        <v>#NAME?</v>
      </c>
      <c r="I4" s="76"/>
      <c r="J4" s="76"/>
      <c r="K4" s="76"/>
      <c r="L4" s="76"/>
      <c r="M4" s="76"/>
      <c r="N4" s="76"/>
      <c r="O4" s="76"/>
      <c r="P4" s="76"/>
      <c r="Q4" s="76"/>
      <c r="R4" s="76"/>
      <c r="S4" s="76"/>
      <c r="T4" s="77"/>
      <c r="U4" s="70" t="s">
        <v>12</v>
      </c>
      <c r="V4" s="71"/>
      <c r="W4" s="71"/>
      <c r="X4" s="71"/>
      <c r="Y4" s="72"/>
      <c r="Z4" s="75" t="e">
        <f ca="1">IF( che [11]phủ!Z4="","", che [11]phủ!Z4)</f>
        <v>#NAME?</v>
      </c>
      <c r="AA4" s="76"/>
      <c r="AB4" s="76"/>
      <c r="AC4" s="76"/>
      <c r="AD4" s="76"/>
      <c r="AE4" s="76"/>
      <c r="AF4" s="76"/>
      <c r="AG4" s="76"/>
      <c r="AH4" s="76"/>
      <c r="AI4" s="76"/>
      <c r="AJ4" s="76"/>
      <c r="AK4" s="76"/>
      <c r="AL4" s="76"/>
      <c r="AM4" s="76"/>
      <c r="AN4" s="76"/>
      <c r="AO4" s="77"/>
      <c r="AP4" s="75" t="e" cm="1">
        <f t="array" aca="1" ref="AP4" ca="1">RIGHT(CELL("filename",$A$1),LEN(CELL("filename",$A$1))-FIND("]",CELL("filename",$A$1)))</f>
        <v>#VALUE!</v>
      </c>
      <c r="AQ4" s="76"/>
      <c r="AR4" s="76"/>
      <c r="AS4" s="76"/>
      <c r="AT4" s="76"/>
      <c r="AU4" s="76"/>
      <c r="AV4" s="76"/>
      <c r="AW4" s="76"/>
      <c r="AX4" s="76"/>
      <c r="AY4" s="76"/>
      <c r="AZ4" s="76"/>
      <c r="BA4" s="76"/>
      <c r="BB4" s="76"/>
      <c r="BC4" s="76"/>
      <c r="BD4" s="76"/>
      <c r="BE4" s="76"/>
      <c r="BF4" s="76"/>
      <c r="BG4" s="76"/>
      <c r="BH4" s="76"/>
      <c r="BI4" s="76"/>
      <c r="BJ4" s="76"/>
      <c r="BK4" s="77"/>
    </row>
    <row r="5" spans="1:65" customFormat="1" ht="5.0999999999999996" customHeight="1">
      <c r="A5" s="15"/>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7"/>
    </row>
    <row r="6" spans="1:65" ht="15" customHeight="1">
      <c r="A6" s="18"/>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s="19"/>
    </row>
    <row r="7" spans="1:65" ht="15" customHeight="1">
      <c r="A7" s="18"/>
      <c r="B7" s="149" t="s">
        <v>91</v>
      </c>
      <c r="C7" s="149"/>
      <c r="D7" s="149"/>
      <c r="E7" s="149"/>
      <c r="F7" s="149" t="s">
        <v>92</v>
      </c>
      <c r="G7" s="149"/>
      <c r="H7" s="149"/>
      <c r="I7" s="149"/>
      <c r="J7" s="149"/>
      <c r="K7" s="149" t="s">
        <v>93</v>
      </c>
      <c r="L7" s="149"/>
      <c r="M7" s="149"/>
      <c r="N7" s="149"/>
      <c r="O7" s="149"/>
      <c r="P7" s="149" t="s">
        <v>94</v>
      </c>
      <c r="Q7" s="149"/>
      <c r="R7" s="149"/>
      <c r="S7" s="149"/>
      <c r="T7" s="149"/>
      <c r="U7" s="165" t="s">
        <v>95</v>
      </c>
      <c r="V7" s="166"/>
      <c r="W7" s="166"/>
      <c r="X7" s="166"/>
      <c r="Y7" s="166"/>
      <c r="Z7" s="166"/>
      <c r="AA7" s="166"/>
      <c r="AB7" s="166"/>
      <c r="AC7" s="166"/>
      <c r="AD7" s="166"/>
      <c r="AE7" s="166"/>
      <c r="AF7" s="166"/>
      <c r="AG7" s="166"/>
      <c r="AH7" s="166"/>
      <c r="AI7" s="166"/>
      <c r="AJ7" s="166"/>
      <c r="AK7" s="166"/>
      <c r="AL7" s="166"/>
      <c r="AM7" s="166"/>
      <c r="AN7" s="166"/>
      <c r="AO7" s="166"/>
      <c r="AP7" s="166"/>
      <c r="AQ7" s="166"/>
      <c r="AR7" s="166"/>
      <c r="AS7" s="167"/>
      <c r="AT7" s="169" t="s">
        <v>96</v>
      </c>
      <c r="AU7" s="169"/>
      <c r="AV7" s="169"/>
      <c r="AW7" s="169"/>
      <c r="AX7" s="169"/>
      <c r="AY7" s="169"/>
      <c r="AZ7" s="169"/>
      <c r="BA7" s="169"/>
      <c r="BB7" s="169"/>
      <c r="BC7" s="169"/>
      <c r="BD7" s="169"/>
      <c r="BE7" s="169"/>
      <c r="BF7" s="169"/>
      <c r="BG7" s="169"/>
      <c r="BI7"/>
      <c r="BJ7"/>
      <c r="BK7" s="19"/>
      <c r="BM7" s="1"/>
    </row>
    <row r="8" spans="1:65" ht="121.5" customHeight="1">
      <c r="A8" s="18"/>
      <c r="B8" s="150" t="s">
        <v>97</v>
      </c>
      <c r="C8" s="150"/>
      <c r="D8" s="150"/>
      <c r="E8" s="150"/>
      <c r="F8" s="150" t="s">
        <v>98</v>
      </c>
      <c r="G8" s="150"/>
      <c r="H8" s="150"/>
      <c r="I8" s="150"/>
      <c r="J8" s="150"/>
      <c r="K8" s="150" t="s">
        <v>99</v>
      </c>
      <c r="L8" s="150"/>
      <c r="M8" s="150"/>
      <c r="N8" s="150"/>
      <c r="O8" s="150"/>
      <c r="P8" s="163" t="s">
        <v>100</v>
      </c>
      <c r="Q8" s="163"/>
      <c r="R8" s="163"/>
      <c r="S8" s="163"/>
      <c r="T8" s="163"/>
      <c r="U8" s="162" t="s">
        <v>101</v>
      </c>
      <c r="V8" s="150"/>
      <c r="W8" s="150"/>
      <c r="X8" s="150"/>
      <c r="Y8" s="150"/>
      <c r="Z8" s="150" t="s">
        <v>102</v>
      </c>
      <c r="AA8" s="150"/>
      <c r="AB8" s="150"/>
      <c r="AC8" s="150"/>
      <c r="AD8" s="150"/>
      <c r="AE8" s="150" t="s">
        <v>103</v>
      </c>
      <c r="AF8" s="150"/>
      <c r="AG8" s="150"/>
      <c r="AH8" s="150"/>
      <c r="AI8" s="150"/>
      <c r="AJ8" s="150"/>
      <c r="AK8" s="150"/>
      <c r="AL8" s="150"/>
      <c r="AM8" s="150"/>
      <c r="AN8" s="150"/>
      <c r="AO8" s="160"/>
      <c r="AP8" s="161"/>
      <c r="AQ8" s="161"/>
      <c r="AR8" s="161"/>
      <c r="AS8" s="162"/>
      <c r="AT8" s="163" t="s">
        <v>104</v>
      </c>
      <c r="AU8" s="163"/>
      <c r="AV8" s="163"/>
      <c r="AW8" s="163"/>
      <c r="AX8" s="163"/>
      <c r="AY8" s="163"/>
      <c r="AZ8" s="163"/>
      <c r="BA8" s="163"/>
      <c r="BB8" s="163"/>
      <c r="BC8" s="163"/>
      <c r="BD8" s="163"/>
      <c r="BE8" s="163"/>
      <c r="BF8" s="163"/>
      <c r="BG8" s="163"/>
      <c r="BI8"/>
      <c r="BJ8"/>
      <c r="BK8" s="19"/>
      <c r="BM8" s="1"/>
    </row>
    <row r="9" spans="1:65" s="8" customFormat="1" ht="83.25" customHeight="1">
      <c r="A9" s="42"/>
      <c r="B9" s="150"/>
      <c r="C9" s="150"/>
      <c r="D9" s="150"/>
      <c r="E9" s="150"/>
      <c r="F9" s="150"/>
      <c r="G9" s="150"/>
      <c r="H9" s="150"/>
      <c r="I9" s="150"/>
      <c r="J9" s="150"/>
      <c r="K9" s="150"/>
      <c r="L9" s="150"/>
      <c r="M9" s="150"/>
      <c r="N9" s="150"/>
      <c r="O9" s="150"/>
      <c r="P9" s="163"/>
      <c r="Q9" s="163"/>
      <c r="R9" s="163"/>
      <c r="S9" s="163"/>
      <c r="T9" s="163"/>
      <c r="U9" s="162"/>
      <c r="V9" s="150"/>
      <c r="W9" s="150"/>
      <c r="X9" s="150"/>
      <c r="Y9" s="150"/>
      <c r="Z9" s="150"/>
      <c r="AA9" s="150"/>
      <c r="AB9" s="150"/>
      <c r="AC9" s="150"/>
      <c r="AD9" s="150"/>
      <c r="AE9" s="151" t="s">
        <v>105</v>
      </c>
      <c r="AF9" s="152"/>
      <c r="AG9" s="152"/>
      <c r="AH9" s="152"/>
      <c r="AI9" s="153"/>
      <c r="AJ9" s="168" t="s">
        <v>106</v>
      </c>
      <c r="AK9" s="152"/>
      <c r="AL9" s="152"/>
      <c r="AM9" s="152"/>
      <c r="AN9" s="153"/>
      <c r="AO9" s="164" t="s">
        <v>107</v>
      </c>
      <c r="AP9" s="161"/>
      <c r="AQ9" s="161"/>
      <c r="AR9" s="161"/>
      <c r="AS9" s="162"/>
      <c r="AT9" s="163" t="s">
        <v>108</v>
      </c>
      <c r="AU9" s="163"/>
      <c r="AV9" s="163"/>
      <c r="AW9" s="163"/>
      <c r="AX9" s="163"/>
      <c r="AY9" s="163"/>
      <c r="AZ9" s="163"/>
      <c r="BA9" s="163"/>
      <c r="BB9" s="163"/>
      <c r="BC9" s="163"/>
      <c r="BD9" s="163"/>
      <c r="BE9" s="163"/>
      <c r="BF9" s="163"/>
      <c r="BG9" s="163"/>
      <c r="BI9" s="47"/>
      <c r="BJ9" s="47"/>
      <c r="BK9" s="43"/>
      <c r="BM9" s="1"/>
    </row>
    <row r="10" spans="1:65" s="8" customFormat="1" ht="51" customHeight="1">
      <c r="A10" s="42"/>
      <c r="B10" s="150"/>
      <c r="C10" s="150"/>
      <c r="D10" s="150"/>
      <c r="E10" s="150"/>
      <c r="F10" s="150"/>
      <c r="G10" s="150"/>
      <c r="H10" s="150"/>
      <c r="I10" s="150"/>
      <c r="J10" s="150"/>
      <c r="K10" s="150"/>
      <c r="L10" s="150"/>
      <c r="M10" s="150"/>
      <c r="N10" s="150"/>
      <c r="O10" s="150"/>
      <c r="P10" s="163"/>
      <c r="Q10" s="163"/>
      <c r="R10" s="163"/>
      <c r="S10" s="163"/>
      <c r="T10" s="163"/>
      <c r="U10" s="162"/>
      <c r="V10" s="150"/>
      <c r="W10" s="150"/>
      <c r="X10" s="150"/>
      <c r="Y10" s="150"/>
      <c r="Z10" s="150"/>
      <c r="AA10" s="150"/>
      <c r="AB10" s="150"/>
      <c r="AC10" s="150"/>
      <c r="AD10" s="150"/>
      <c r="AE10" s="154"/>
      <c r="AF10" s="155"/>
      <c r="AG10" s="155"/>
      <c r="AH10" s="155"/>
      <c r="AI10" s="156"/>
      <c r="AJ10" s="157"/>
      <c r="AK10" s="158"/>
      <c r="AL10" s="158"/>
      <c r="AM10" s="158"/>
      <c r="AN10" s="159"/>
      <c r="AO10" s="164" t="s">
        <v>109</v>
      </c>
      <c r="AP10" s="161"/>
      <c r="AQ10" s="161"/>
      <c r="AR10" s="161"/>
      <c r="AS10" s="162"/>
      <c r="AT10" s="163" t="s">
        <v>110</v>
      </c>
      <c r="AU10" s="163"/>
      <c r="AV10" s="163"/>
      <c r="AW10" s="163"/>
      <c r="AX10" s="163"/>
      <c r="AY10" s="163"/>
      <c r="AZ10" s="163"/>
      <c r="BA10" s="163"/>
      <c r="BB10" s="163"/>
      <c r="BC10" s="163"/>
      <c r="BD10" s="163"/>
      <c r="BE10" s="163"/>
      <c r="BF10" s="163"/>
      <c r="BG10" s="163"/>
      <c r="BI10" s="47"/>
      <c r="BJ10" s="47"/>
      <c r="BK10" s="43"/>
      <c r="BM10" s="1"/>
    </row>
    <row r="11" spans="1:65" s="8" customFormat="1" ht="15.95">
      <c r="A11" s="42"/>
      <c r="B11" s="150"/>
      <c r="C11" s="150"/>
      <c r="D11" s="150"/>
      <c r="E11" s="150"/>
      <c r="F11" s="150"/>
      <c r="G11" s="150"/>
      <c r="H11" s="150"/>
      <c r="I11" s="150"/>
      <c r="J11" s="150"/>
      <c r="K11" s="150"/>
      <c r="L11" s="150"/>
      <c r="M11" s="150"/>
      <c r="N11" s="150"/>
      <c r="O11" s="150"/>
      <c r="P11" s="163"/>
      <c r="Q11" s="163"/>
      <c r="R11" s="163"/>
      <c r="S11" s="163"/>
      <c r="T11" s="163"/>
      <c r="U11" s="162"/>
      <c r="V11" s="150"/>
      <c r="W11" s="150"/>
      <c r="X11" s="150"/>
      <c r="Y11" s="150"/>
      <c r="Z11" s="150"/>
      <c r="AA11" s="150"/>
      <c r="AB11" s="150"/>
      <c r="AC11" s="150"/>
      <c r="AD11" s="150"/>
      <c r="AE11" s="154"/>
      <c r="AF11" s="155"/>
      <c r="AG11" s="155"/>
      <c r="AH11" s="155"/>
      <c r="AI11" s="156"/>
      <c r="AJ11" s="151" t="s">
        <v>111</v>
      </c>
      <c r="AK11" s="152"/>
      <c r="AL11" s="152"/>
      <c r="AM11" s="152"/>
      <c r="AN11" s="153"/>
      <c r="AO11" s="160" t="s">
        <v>112</v>
      </c>
      <c r="AP11" s="161"/>
      <c r="AQ11" s="161"/>
      <c r="AR11" s="161"/>
      <c r="AS11" s="162"/>
      <c r="AT11" s="163"/>
      <c r="AU11" s="163"/>
      <c r="AV11" s="163"/>
      <c r="AW11" s="163"/>
      <c r="AX11" s="163"/>
      <c r="AY11" s="163"/>
      <c r="AZ11" s="163"/>
      <c r="BA11" s="163"/>
      <c r="BB11" s="163"/>
      <c r="BC11" s="163"/>
      <c r="BD11" s="163"/>
      <c r="BE11" s="163"/>
      <c r="BF11" s="163"/>
      <c r="BG11" s="163"/>
      <c r="BI11" s="47"/>
      <c r="BJ11" s="47"/>
      <c r="BK11" s="43"/>
      <c r="BM11" s="1"/>
    </row>
    <row r="12" spans="1:65" s="8" customFormat="1" ht="15.95">
      <c r="A12" s="42"/>
      <c r="B12" s="150"/>
      <c r="C12" s="150"/>
      <c r="D12" s="150"/>
      <c r="E12" s="150"/>
      <c r="F12" s="150"/>
      <c r="G12" s="150"/>
      <c r="H12" s="150"/>
      <c r="I12" s="150"/>
      <c r="J12" s="150"/>
      <c r="K12" s="150"/>
      <c r="L12" s="150"/>
      <c r="M12" s="150"/>
      <c r="N12" s="150"/>
      <c r="O12" s="150"/>
      <c r="P12" s="163"/>
      <c r="Q12" s="163"/>
      <c r="R12" s="163"/>
      <c r="S12" s="163"/>
      <c r="T12" s="163"/>
      <c r="U12" s="162"/>
      <c r="V12" s="150"/>
      <c r="W12" s="150"/>
      <c r="X12" s="150"/>
      <c r="Y12" s="150"/>
      <c r="Z12" s="150"/>
      <c r="AA12" s="150"/>
      <c r="AB12" s="150"/>
      <c r="AC12" s="150"/>
      <c r="AD12" s="150"/>
      <c r="AE12" s="157"/>
      <c r="AF12" s="158"/>
      <c r="AG12" s="158"/>
      <c r="AH12" s="158"/>
      <c r="AI12" s="159"/>
      <c r="AJ12" s="157"/>
      <c r="AK12" s="158"/>
      <c r="AL12" s="158"/>
      <c r="AM12" s="158"/>
      <c r="AN12" s="159"/>
      <c r="AO12" s="160" t="s">
        <v>113</v>
      </c>
      <c r="AP12" s="161"/>
      <c r="AQ12" s="161"/>
      <c r="AR12" s="161"/>
      <c r="AS12" s="162"/>
      <c r="AT12" s="163"/>
      <c r="AU12" s="163"/>
      <c r="AV12" s="163"/>
      <c r="AW12" s="163"/>
      <c r="AX12" s="163"/>
      <c r="AY12" s="163"/>
      <c r="AZ12" s="163"/>
      <c r="BA12" s="163"/>
      <c r="BB12" s="163"/>
      <c r="BC12" s="163"/>
      <c r="BD12" s="163"/>
      <c r="BE12" s="163"/>
      <c r="BF12" s="163"/>
      <c r="BG12" s="163"/>
      <c r="BI12" s="47"/>
      <c r="BJ12" s="47"/>
      <c r="BK12" s="43"/>
      <c r="BM12" s="1"/>
    </row>
    <row r="13" spans="1:65" s="8" customFormat="1" ht="33" customHeight="1">
      <c r="A13" s="42"/>
      <c r="B13" s="150"/>
      <c r="C13" s="150"/>
      <c r="D13" s="150"/>
      <c r="E13" s="150"/>
      <c r="F13" s="150"/>
      <c r="G13" s="150"/>
      <c r="H13" s="150"/>
      <c r="I13" s="150"/>
      <c r="J13" s="150"/>
      <c r="K13" s="150"/>
      <c r="L13" s="150"/>
      <c r="M13" s="150"/>
      <c r="N13" s="150"/>
      <c r="O13" s="150"/>
      <c r="P13" s="163"/>
      <c r="Q13" s="163"/>
      <c r="R13" s="163"/>
      <c r="S13" s="163"/>
      <c r="T13" s="163"/>
      <c r="U13" s="162"/>
      <c r="V13" s="150"/>
      <c r="W13" s="150"/>
      <c r="X13" s="150"/>
      <c r="Y13" s="150"/>
      <c r="Z13" s="150"/>
      <c r="AA13" s="150"/>
      <c r="AB13" s="150"/>
      <c r="AC13" s="150"/>
      <c r="AD13" s="150"/>
      <c r="AE13" s="151" t="s">
        <v>114</v>
      </c>
      <c r="AF13" s="152"/>
      <c r="AG13" s="152"/>
      <c r="AH13" s="152"/>
      <c r="AI13" s="153"/>
      <c r="AJ13" s="151" t="s">
        <v>111</v>
      </c>
      <c r="AK13" s="152"/>
      <c r="AL13" s="152"/>
      <c r="AM13" s="152"/>
      <c r="AN13" s="153"/>
      <c r="AO13" s="150" t="s">
        <v>112</v>
      </c>
      <c r="AP13" s="150"/>
      <c r="AQ13" s="150"/>
      <c r="AR13" s="150"/>
      <c r="AS13" s="150"/>
      <c r="AT13" s="163" t="s">
        <v>115</v>
      </c>
      <c r="AU13" s="163"/>
      <c r="AV13" s="163"/>
      <c r="AW13" s="163"/>
      <c r="AX13" s="163"/>
      <c r="AY13" s="163"/>
      <c r="AZ13" s="163"/>
      <c r="BA13" s="163"/>
      <c r="BB13" s="163"/>
      <c r="BC13" s="163"/>
      <c r="BD13" s="163"/>
      <c r="BE13" s="163"/>
      <c r="BF13" s="163"/>
      <c r="BG13" s="163"/>
      <c r="BI13" s="47"/>
      <c r="BJ13" s="47"/>
      <c r="BK13" s="43"/>
      <c r="BM13" s="1"/>
    </row>
    <row r="14" spans="1:65" s="8" customFormat="1" ht="29.25" customHeight="1">
      <c r="A14" s="42"/>
      <c r="B14" s="150"/>
      <c r="C14" s="150"/>
      <c r="D14" s="150"/>
      <c r="E14" s="150"/>
      <c r="F14" s="150"/>
      <c r="G14" s="150"/>
      <c r="H14" s="150"/>
      <c r="I14" s="150"/>
      <c r="J14" s="150"/>
      <c r="K14" s="150"/>
      <c r="L14" s="150"/>
      <c r="M14" s="150"/>
      <c r="N14" s="150"/>
      <c r="O14" s="150"/>
      <c r="P14" s="163"/>
      <c r="Q14" s="163"/>
      <c r="R14" s="163"/>
      <c r="S14" s="163"/>
      <c r="T14" s="163"/>
      <c r="U14" s="162"/>
      <c r="V14" s="150"/>
      <c r="W14" s="150"/>
      <c r="X14" s="150"/>
      <c r="Y14" s="150"/>
      <c r="Z14" s="150"/>
      <c r="AA14" s="150"/>
      <c r="AB14" s="150"/>
      <c r="AC14" s="150"/>
      <c r="AD14" s="150"/>
      <c r="AE14" s="154"/>
      <c r="AF14" s="155"/>
      <c r="AG14" s="155"/>
      <c r="AH14" s="155"/>
      <c r="AI14" s="156"/>
      <c r="AJ14" s="157"/>
      <c r="AK14" s="158"/>
      <c r="AL14" s="158"/>
      <c r="AM14" s="158"/>
      <c r="AN14" s="159"/>
      <c r="AO14" s="150" t="s">
        <v>113</v>
      </c>
      <c r="AP14" s="150"/>
      <c r="AQ14" s="150"/>
      <c r="AR14" s="150"/>
      <c r="AS14" s="150"/>
      <c r="AT14" s="163" t="s">
        <v>110</v>
      </c>
      <c r="AU14" s="163"/>
      <c r="AV14" s="163"/>
      <c r="AW14" s="163"/>
      <c r="AX14" s="163"/>
      <c r="AY14" s="163"/>
      <c r="AZ14" s="163"/>
      <c r="BA14" s="163"/>
      <c r="BB14" s="163"/>
      <c r="BC14" s="163"/>
      <c r="BD14" s="163"/>
      <c r="BE14" s="163"/>
      <c r="BF14" s="163"/>
      <c r="BG14" s="163"/>
      <c r="BI14" s="47"/>
      <c r="BJ14" s="47"/>
      <c r="BK14" s="43"/>
      <c r="BM14" s="1"/>
    </row>
    <row r="15" spans="1:65" s="8" customFormat="1" ht="15" customHeight="1">
      <c r="A15" s="42"/>
      <c r="B15" s="150"/>
      <c r="C15" s="150"/>
      <c r="D15" s="150"/>
      <c r="E15" s="150"/>
      <c r="F15" s="150"/>
      <c r="G15" s="150"/>
      <c r="H15" s="150"/>
      <c r="I15" s="150"/>
      <c r="J15" s="150"/>
      <c r="K15" s="150"/>
      <c r="L15" s="150"/>
      <c r="M15" s="150"/>
      <c r="N15" s="150"/>
      <c r="O15" s="150"/>
      <c r="P15" s="163"/>
      <c r="Q15" s="163"/>
      <c r="R15" s="163"/>
      <c r="S15" s="163"/>
      <c r="T15" s="163"/>
      <c r="U15" s="162"/>
      <c r="V15" s="150"/>
      <c r="W15" s="150"/>
      <c r="X15" s="150"/>
      <c r="Y15" s="150"/>
      <c r="Z15" s="150"/>
      <c r="AA15" s="150"/>
      <c r="AB15" s="150"/>
      <c r="AC15" s="150"/>
      <c r="AD15" s="150"/>
      <c r="AE15" s="154"/>
      <c r="AF15" s="155"/>
      <c r="AG15" s="155"/>
      <c r="AH15" s="155"/>
      <c r="AI15" s="156"/>
      <c r="AJ15" s="151" t="s">
        <v>111</v>
      </c>
      <c r="AK15" s="152"/>
      <c r="AL15" s="152"/>
      <c r="AM15" s="152"/>
      <c r="AN15" s="153"/>
      <c r="AO15" s="150" t="s">
        <v>112</v>
      </c>
      <c r="AP15" s="150"/>
      <c r="AQ15" s="150"/>
      <c r="AR15" s="150"/>
      <c r="AS15" s="150"/>
      <c r="AT15" s="150"/>
      <c r="AU15" s="150"/>
      <c r="AV15" s="150"/>
      <c r="AW15" s="150"/>
      <c r="AX15" s="150"/>
      <c r="AY15" s="150"/>
      <c r="AZ15" s="150"/>
      <c r="BA15" s="150"/>
      <c r="BB15" s="150"/>
      <c r="BC15" s="150"/>
      <c r="BD15" s="150"/>
      <c r="BE15" s="150"/>
      <c r="BF15" s="150"/>
      <c r="BG15" s="150"/>
      <c r="BI15" s="47"/>
      <c r="BJ15" s="47"/>
      <c r="BK15" s="43"/>
      <c r="BM15" s="1"/>
    </row>
    <row r="16" spans="1:65" s="8" customFormat="1" ht="15" customHeight="1">
      <c r="A16" s="42"/>
      <c r="B16" s="150"/>
      <c r="C16" s="150"/>
      <c r="D16" s="150"/>
      <c r="E16" s="150"/>
      <c r="F16" s="150"/>
      <c r="G16" s="150"/>
      <c r="H16" s="150"/>
      <c r="I16" s="150"/>
      <c r="J16" s="150"/>
      <c r="K16" s="150"/>
      <c r="L16" s="150"/>
      <c r="M16" s="150"/>
      <c r="N16" s="150"/>
      <c r="O16" s="150"/>
      <c r="P16" s="163"/>
      <c r="Q16" s="163"/>
      <c r="R16" s="163"/>
      <c r="S16" s="163"/>
      <c r="T16" s="163"/>
      <c r="U16" s="162"/>
      <c r="V16" s="150"/>
      <c r="W16" s="150"/>
      <c r="X16" s="150"/>
      <c r="Y16" s="150"/>
      <c r="Z16" s="150"/>
      <c r="AA16" s="150"/>
      <c r="AB16" s="150"/>
      <c r="AC16" s="150"/>
      <c r="AD16" s="150"/>
      <c r="AE16" s="157"/>
      <c r="AF16" s="158"/>
      <c r="AG16" s="158"/>
      <c r="AH16" s="158"/>
      <c r="AI16" s="159"/>
      <c r="AJ16" s="157"/>
      <c r="AK16" s="158"/>
      <c r="AL16" s="158"/>
      <c r="AM16" s="158"/>
      <c r="AN16" s="159"/>
      <c r="AO16" s="150" t="s">
        <v>113</v>
      </c>
      <c r="AP16" s="150"/>
      <c r="AQ16" s="150"/>
      <c r="AR16" s="150"/>
      <c r="AS16" s="150"/>
      <c r="AT16" s="150"/>
      <c r="AU16" s="150"/>
      <c r="AV16" s="150"/>
      <c r="AW16" s="150"/>
      <c r="AX16" s="150"/>
      <c r="AY16" s="150"/>
      <c r="AZ16" s="150"/>
      <c r="BA16" s="150"/>
      <c r="BB16" s="150"/>
      <c r="BC16" s="150"/>
      <c r="BD16" s="150"/>
      <c r="BE16" s="150"/>
      <c r="BF16" s="150"/>
      <c r="BG16" s="150"/>
      <c r="BI16" s="47"/>
      <c r="BJ16" s="47"/>
      <c r="BK16" s="43"/>
      <c r="BM16" s="1"/>
    </row>
    <row r="17" spans="1:65" s="8" customFormat="1" ht="69.75" customHeight="1">
      <c r="A17" s="42"/>
      <c r="B17" s="150"/>
      <c r="C17" s="150"/>
      <c r="D17" s="150"/>
      <c r="E17" s="150"/>
      <c r="F17" s="150"/>
      <c r="G17" s="150"/>
      <c r="H17" s="150"/>
      <c r="I17" s="150"/>
      <c r="J17" s="150"/>
      <c r="K17" s="150"/>
      <c r="L17" s="150"/>
      <c r="M17" s="150"/>
      <c r="N17" s="150"/>
      <c r="O17" s="150"/>
      <c r="P17" s="163"/>
      <c r="Q17" s="163"/>
      <c r="R17" s="163"/>
      <c r="S17" s="163"/>
      <c r="T17" s="163"/>
      <c r="U17" s="162"/>
      <c r="V17" s="150"/>
      <c r="W17" s="150"/>
      <c r="X17" s="150"/>
      <c r="Y17" s="150"/>
      <c r="Z17" s="150"/>
      <c r="AA17" s="150"/>
      <c r="AB17" s="150"/>
      <c r="AC17" s="150"/>
      <c r="AD17" s="150"/>
      <c r="AE17" s="151" t="s">
        <v>116</v>
      </c>
      <c r="AF17" s="152"/>
      <c r="AG17" s="152"/>
      <c r="AH17" s="152"/>
      <c r="AI17" s="153"/>
      <c r="AJ17" s="160" t="s">
        <v>111</v>
      </c>
      <c r="AK17" s="161"/>
      <c r="AL17" s="161"/>
      <c r="AM17" s="161"/>
      <c r="AN17" s="162"/>
      <c r="AO17" s="150"/>
      <c r="AP17" s="150"/>
      <c r="AQ17" s="150"/>
      <c r="AR17" s="150"/>
      <c r="AS17" s="150"/>
      <c r="AT17" s="163" t="s">
        <v>117</v>
      </c>
      <c r="AU17" s="163"/>
      <c r="AV17" s="163"/>
      <c r="AW17" s="163"/>
      <c r="AX17" s="163"/>
      <c r="AY17" s="163"/>
      <c r="AZ17" s="163"/>
      <c r="BA17" s="163"/>
      <c r="BB17" s="163"/>
      <c r="BC17" s="163"/>
      <c r="BD17" s="163"/>
      <c r="BE17" s="163"/>
      <c r="BF17" s="163"/>
      <c r="BG17" s="163"/>
      <c r="BI17" s="47"/>
      <c r="BJ17" s="47"/>
      <c r="BK17" s="43"/>
      <c r="BM17" s="1"/>
    </row>
    <row r="18" spans="1:65" s="8" customFormat="1" ht="15" customHeight="1">
      <c r="A18" s="42"/>
      <c r="B18" s="150"/>
      <c r="C18" s="150"/>
      <c r="D18" s="150"/>
      <c r="E18" s="150"/>
      <c r="F18" s="150"/>
      <c r="G18" s="150"/>
      <c r="H18" s="150"/>
      <c r="I18" s="150"/>
      <c r="J18" s="150"/>
      <c r="K18" s="150"/>
      <c r="L18" s="150"/>
      <c r="M18" s="150"/>
      <c r="N18" s="150"/>
      <c r="O18" s="150"/>
      <c r="P18" s="163"/>
      <c r="Q18" s="163"/>
      <c r="R18" s="163"/>
      <c r="S18" s="163"/>
      <c r="T18" s="163"/>
      <c r="U18" s="162"/>
      <c r="V18" s="150"/>
      <c r="W18" s="150"/>
      <c r="X18" s="150"/>
      <c r="Y18" s="150"/>
      <c r="Z18" s="150"/>
      <c r="AA18" s="150"/>
      <c r="AB18" s="150"/>
      <c r="AC18" s="150"/>
      <c r="AD18" s="150"/>
      <c r="AE18" s="157"/>
      <c r="AF18" s="158"/>
      <c r="AG18" s="158"/>
      <c r="AH18" s="158"/>
      <c r="AI18" s="159"/>
      <c r="AJ18" s="160" t="s">
        <v>111</v>
      </c>
      <c r="AK18" s="161"/>
      <c r="AL18" s="161"/>
      <c r="AM18" s="161"/>
      <c r="AN18" s="162"/>
      <c r="AO18" s="150"/>
      <c r="AP18" s="150"/>
      <c r="AQ18" s="150"/>
      <c r="AR18" s="150"/>
      <c r="AS18" s="150"/>
      <c r="AT18" s="150"/>
      <c r="AU18" s="150"/>
      <c r="AV18" s="150"/>
      <c r="AW18" s="150"/>
      <c r="AX18" s="150"/>
      <c r="AY18" s="150"/>
      <c r="AZ18" s="150"/>
      <c r="BA18" s="150"/>
      <c r="BB18" s="150"/>
      <c r="BC18" s="150"/>
      <c r="BD18" s="150"/>
      <c r="BE18" s="150"/>
      <c r="BF18" s="150"/>
      <c r="BG18" s="150"/>
      <c r="BI18" s="47"/>
      <c r="BJ18" s="47"/>
      <c r="BK18" s="43"/>
      <c r="BM18" s="1"/>
    </row>
    <row r="19" spans="1:65" s="8" customFormat="1" ht="145.5" customHeight="1">
      <c r="A19" s="42"/>
      <c r="B19" s="150"/>
      <c r="C19" s="150"/>
      <c r="D19" s="150"/>
      <c r="E19" s="150"/>
      <c r="F19" s="150" t="s">
        <v>118</v>
      </c>
      <c r="G19" s="150"/>
      <c r="H19" s="150"/>
      <c r="I19" s="150"/>
      <c r="J19" s="150"/>
      <c r="K19" s="150"/>
      <c r="L19" s="150"/>
      <c r="M19" s="150"/>
      <c r="N19" s="150"/>
      <c r="O19" s="150"/>
      <c r="P19" s="163"/>
      <c r="Q19" s="163"/>
      <c r="R19" s="163"/>
      <c r="S19" s="163"/>
      <c r="T19" s="163"/>
      <c r="U19" s="152" t="s">
        <v>101</v>
      </c>
      <c r="V19" s="152"/>
      <c r="W19" s="152"/>
      <c r="X19" s="152"/>
      <c r="Y19" s="153"/>
      <c r="Z19" s="151" t="s">
        <v>119</v>
      </c>
      <c r="AA19" s="152"/>
      <c r="AB19" s="152"/>
      <c r="AC19" s="152"/>
      <c r="AD19" s="153"/>
      <c r="AE19" s="150" t="s">
        <v>103</v>
      </c>
      <c r="AF19" s="150"/>
      <c r="AG19" s="150"/>
      <c r="AH19" s="150"/>
      <c r="AI19" s="150"/>
      <c r="AJ19" s="150"/>
      <c r="AK19" s="150"/>
      <c r="AL19" s="150"/>
      <c r="AM19" s="150"/>
      <c r="AN19" s="150"/>
      <c r="AO19" s="150"/>
      <c r="AP19" s="150"/>
      <c r="AQ19" s="150"/>
      <c r="AR19" s="150"/>
      <c r="AS19" s="150"/>
      <c r="AT19" s="163" t="s">
        <v>120</v>
      </c>
      <c r="AU19" s="163"/>
      <c r="AV19" s="163"/>
      <c r="AW19" s="163"/>
      <c r="AX19" s="163"/>
      <c r="AY19" s="163"/>
      <c r="AZ19" s="163"/>
      <c r="BA19" s="163"/>
      <c r="BB19" s="163"/>
      <c r="BC19" s="163"/>
      <c r="BD19" s="163"/>
      <c r="BE19" s="163"/>
      <c r="BF19" s="163"/>
      <c r="BG19" s="163"/>
      <c r="BI19" s="47"/>
      <c r="BJ19" s="47"/>
      <c r="BK19" s="43"/>
      <c r="BM19" s="1"/>
    </row>
    <row r="20" spans="1:65" s="8" customFormat="1" ht="51.75" customHeight="1">
      <c r="A20" s="42"/>
      <c r="B20" s="150"/>
      <c r="C20" s="150"/>
      <c r="D20" s="150"/>
      <c r="E20" s="150"/>
      <c r="F20" s="150"/>
      <c r="G20" s="150"/>
      <c r="H20" s="150"/>
      <c r="I20" s="150"/>
      <c r="J20" s="150"/>
      <c r="K20" s="150"/>
      <c r="L20" s="150"/>
      <c r="M20" s="150"/>
      <c r="N20" s="150"/>
      <c r="O20" s="150"/>
      <c r="P20" s="163"/>
      <c r="Q20" s="163"/>
      <c r="R20" s="163"/>
      <c r="S20" s="163"/>
      <c r="T20" s="163"/>
      <c r="U20" s="155"/>
      <c r="V20" s="155"/>
      <c r="W20" s="155"/>
      <c r="X20" s="155"/>
      <c r="Y20" s="156"/>
      <c r="Z20" s="154"/>
      <c r="AA20" s="155"/>
      <c r="AB20" s="155"/>
      <c r="AC20" s="155"/>
      <c r="AD20" s="156"/>
      <c r="AE20" s="151" t="s">
        <v>105</v>
      </c>
      <c r="AF20" s="152"/>
      <c r="AG20" s="152"/>
      <c r="AH20" s="152"/>
      <c r="AI20" s="153"/>
      <c r="AJ20" s="151" t="s">
        <v>121</v>
      </c>
      <c r="AK20" s="152"/>
      <c r="AL20" s="152"/>
      <c r="AM20" s="152"/>
      <c r="AN20" s="153"/>
      <c r="AO20" s="163" t="s">
        <v>122</v>
      </c>
      <c r="AP20" s="150"/>
      <c r="AQ20" s="150"/>
      <c r="AR20" s="150"/>
      <c r="AS20" s="150"/>
      <c r="AT20" s="163" t="s">
        <v>123</v>
      </c>
      <c r="AU20" s="163"/>
      <c r="AV20" s="163"/>
      <c r="AW20" s="163"/>
      <c r="AX20" s="163"/>
      <c r="AY20" s="163"/>
      <c r="AZ20" s="163"/>
      <c r="BA20" s="163"/>
      <c r="BB20" s="163"/>
      <c r="BC20" s="163"/>
      <c r="BD20" s="163"/>
      <c r="BE20" s="163"/>
      <c r="BF20" s="163"/>
      <c r="BG20" s="163"/>
      <c r="BI20" s="47"/>
      <c r="BJ20" s="47"/>
      <c r="BK20" s="43"/>
      <c r="BM20" s="1"/>
    </row>
    <row r="21" spans="1:65" s="8" customFormat="1" ht="50.25" customHeight="1">
      <c r="A21" s="42"/>
      <c r="B21" s="150"/>
      <c r="C21" s="150"/>
      <c r="D21" s="150"/>
      <c r="E21" s="150"/>
      <c r="F21" s="150"/>
      <c r="G21" s="150"/>
      <c r="H21" s="150"/>
      <c r="I21" s="150"/>
      <c r="J21" s="150"/>
      <c r="K21" s="150"/>
      <c r="L21" s="150"/>
      <c r="M21" s="150"/>
      <c r="N21" s="150"/>
      <c r="O21" s="150"/>
      <c r="P21" s="163"/>
      <c r="Q21" s="163"/>
      <c r="R21" s="163"/>
      <c r="S21" s="163"/>
      <c r="T21" s="163"/>
      <c r="U21" s="155"/>
      <c r="V21" s="155"/>
      <c r="W21" s="155"/>
      <c r="X21" s="155"/>
      <c r="Y21" s="156"/>
      <c r="Z21" s="154"/>
      <c r="AA21" s="155"/>
      <c r="AB21" s="155"/>
      <c r="AC21" s="155"/>
      <c r="AD21" s="156"/>
      <c r="AE21" s="154"/>
      <c r="AF21" s="155"/>
      <c r="AG21" s="155"/>
      <c r="AH21" s="155"/>
      <c r="AI21" s="156"/>
      <c r="AJ21" s="154"/>
      <c r="AK21" s="155"/>
      <c r="AL21" s="155"/>
      <c r="AM21" s="155"/>
      <c r="AN21" s="156"/>
      <c r="AO21" s="163" t="s">
        <v>124</v>
      </c>
      <c r="AP21" s="150"/>
      <c r="AQ21" s="150"/>
      <c r="AR21" s="150"/>
      <c r="AS21" s="150"/>
      <c r="AT21" s="163" t="s">
        <v>125</v>
      </c>
      <c r="AU21" s="163"/>
      <c r="AV21" s="163"/>
      <c r="AW21" s="163"/>
      <c r="AX21" s="163"/>
      <c r="AY21" s="163"/>
      <c r="AZ21" s="163"/>
      <c r="BA21" s="163"/>
      <c r="BB21" s="163"/>
      <c r="BC21" s="163"/>
      <c r="BD21" s="163"/>
      <c r="BE21" s="163"/>
      <c r="BF21" s="163"/>
      <c r="BG21" s="163"/>
      <c r="BI21" s="47"/>
      <c r="BJ21" s="47"/>
      <c r="BK21" s="43"/>
      <c r="BM21" s="1"/>
    </row>
    <row r="22" spans="1:65" s="8" customFormat="1" ht="58.5" customHeight="1">
      <c r="A22" s="42"/>
      <c r="B22" s="150"/>
      <c r="C22" s="150"/>
      <c r="D22" s="150"/>
      <c r="E22" s="150"/>
      <c r="F22" s="150"/>
      <c r="G22" s="150"/>
      <c r="H22" s="150"/>
      <c r="I22" s="150"/>
      <c r="J22" s="150"/>
      <c r="K22" s="150"/>
      <c r="L22" s="150"/>
      <c r="M22" s="150"/>
      <c r="N22" s="150"/>
      <c r="O22" s="150"/>
      <c r="P22" s="163"/>
      <c r="Q22" s="163"/>
      <c r="R22" s="163"/>
      <c r="S22" s="163"/>
      <c r="T22" s="163"/>
      <c r="U22" s="155"/>
      <c r="V22" s="155"/>
      <c r="W22" s="155"/>
      <c r="X22" s="155"/>
      <c r="Y22" s="156"/>
      <c r="Z22" s="154"/>
      <c r="AA22" s="155"/>
      <c r="AB22" s="155"/>
      <c r="AC22" s="155"/>
      <c r="AD22" s="156"/>
      <c r="AE22" s="154"/>
      <c r="AF22" s="155"/>
      <c r="AG22" s="155"/>
      <c r="AH22" s="155"/>
      <c r="AI22" s="156"/>
      <c r="AJ22" s="157"/>
      <c r="AK22" s="158"/>
      <c r="AL22" s="158"/>
      <c r="AM22" s="158"/>
      <c r="AN22" s="159"/>
      <c r="AO22" s="163" t="s">
        <v>126</v>
      </c>
      <c r="AP22" s="150"/>
      <c r="AQ22" s="150"/>
      <c r="AR22" s="150"/>
      <c r="AS22" s="150"/>
      <c r="AT22" s="163" t="s">
        <v>127</v>
      </c>
      <c r="AU22" s="163"/>
      <c r="AV22" s="163"/>
      <c r="AW22" s="163"/>
      <c r="AX22" s="163"/>
      <c r="AY22" s="163"/>
      <c r="AZ22" s="163"/>
      <c r="BA22" s="163"/>
      <c r="BB22" s="163"/>
      <c r="BC22" s="163"/>
      <c r="BD22" s="163"/>
      <c r="BE22" s="163"/>
      <c r="BF22" s="163"/>
      <c r="BG22" s="163"/>
      <c r="BI22" s="47"/>
      <c r="BJ22" s="47"/>
      <c r="BK22" s="43"/>
      <c r="BM22" s="1"/>
    </row>
    <row r="23" spans="1:65" s="8" customFormat="1" ht="15" customHeight="1">
      <c r="A23" s="42"/>
      <c r="B23" s="150"/>
      <c r="C23" s="150"/>
      <c r="D23" s="150"/>
      <c r="E23" s="150"/>
      <c r="F23" s="150"/>
      <c r="G23" s="150"/>
      <c r="H23" s="150"/>
      <c r="I23" s="150"/>
      <c r="J23" s="150"/>
      <c r="K23" s="150"/>
      <c r="L23" s="150"/>
      <c r="M23" s="150"/>
      <c r="N23" s="150"/>
      <c r="O23" s="150"/>
      <c r="P23" s="163"/>
      <c r="Q23" s="163"/>
      <c r="R23" s="163"/>
      <c r="S23" s="163"/>
      <c r="T23" s="163"/>
      <c r="U23" s="155"/>
      <c r="V23" s="155"/>
      <c r="W23" s="155"/>
      <c r="X23" s="155"/>
      <c r="Y23" s="156"/>
      <c r="Z23" s="154"/>
      <c r="AA23" s="155"/>
      <c r="AB23" s="155"/>
      <c r="AC23" s="155"/>
      <c r="AD23" s="156"/>
      <c r="AE23" s="157"/>
      <c r="AF23" s="158"/>
      <c r="AG23" s="158"/>
      <c r="AH23" s="158"/>
      <c r="AI23" s="159"/>
      <c r="AJ23" s="150" t="s">
        <v>111</v>
      </c>
      <c r="AK23" s="150"/>
      <c r="AL23" s="150"/>
      <c r="AM23" s="150"/>
      <c r="AN23" s="150"/>
      <c r="AO23" s="150"/>
      <c r="AP23" s="150"/>
      <c r="AQ23" s="150"/>
      <c r="AR23" s="150"/>
      <c r="AS23" s="150"/>
      <c r="AT23" s="150"/>
      <c r="AU23" s="150"/>
      <c r="AV23" s="150"/>
      <c r="AW23" s="150"/>
      <c r="AX23" s="150"/>
      <c r="AY23" s="150"/>
      <c r="AZ23" s="150"/>
      <c r="BA23" s="150"/>
      <c r="BB23" s="150"/>
      <c r="BC23" s="150"/>
      <c r="BD23" s="150"/>
      <c r="BE23" s="150"/>
      <c r="BF23" s="150"/>
      <c r="BG23" s="150"/>
      <c r="BI23" s="47"/>
      <c r="BJ23" s="47"/>
      <c r="BK23" s="43"/>
      <c r="BM23" s="1"/>
    </row>
    <row r="24" spans="1:65" s="8" customFormat="1" ht="15" customHeight="1">
      <c r="A24" s="42"/>
      <c r="B24" s="150"/>
      <c r="C24" s="150"/>
      <c r="D24" s="150"/>
      <c r="E24" s="150"/>
      <c r="F24" s="150"/>
      <c r="G24" s="150"/>
      <c r="H24" s="150"/>
      <c r="I24" s="150"/>
      <c r="J24" s="150"/>
      <c r="K24" s="150"/>
      <c r="L24" s="150"/>
      <c r="M24" s="150"/>
      <c r="N24" s="150"/>
      <c r="O24" s="150"/>
      <c r="P24" s="163"/>
      <c r="Q24" s="163"/>
      <c r="R24" s="163"/>
      <c r="S24" s="163"/>
      <c r="T24" s="163"/>
      <c r="U24" s="155"/>
      <c r="V24" s="155"/>
      <c r="W24" s="155"/>
      <c r="X24" s="155"/>
      <c r="Y24" s="156"/>
      <c r="Z24" s="154"/>
      <c r="AA24" s="155"/>
      <c r="AB24" s="155"/>
      <c r="AC24" s="155"/>
      <c r="AD24" s="156"/>
      <c r="AE24" s="151" t="s">
        <v>114</v>
      </c>
      <c r="AF24" s="152"/>
      <c r="AG24" s="152"/>
      <c r="AH24" s="152"/>
      <c r="AI24" s="153"/>
      <c r="AJ24" s="151" t="s">
        <v>111</v>
      </c>
      <c r="AK24" s="152"/>
      <c r="AL24" s="152"/>
      <c r="AM24" s="152"/>
      <c r="AN24" s="153"/>
      <c r="AO24" s="150" t="s">
        <v>128</v>
      </c>
      <c r="AP24" s="150"/>
      <c r="AQ24" s="150"/>
      <c r="AR24" s="150"/>
      <c r="AS24" s="150"/>
      <c r="AT24" s="150" t="s">
        <v>129</v>
      </c>
      <c r="AU24" s="150"/>
      <c r="AV24" s="150"/>
      <c r="AW24" s="150"/>
      <c r="AX24" s="150"/>
      <c r="AY24" s="150"/>
      <c r="AZ24" s="150"/>
      <c r="BA24" s="150"/>
      <c r="BB24" s="150"/>
      <c r="BC24" s="150"/>
      <c r="BD24" s="150"/>
      <c r="BE24" s="150"/>
      <c r="BF24" s="150"/>
      <c r="BG24" s="150"/>
      <c r="BI24" s="47"/>
      <c r="BJ24" s="47"/>
      <c r="BK24" s="43"/>
      <c r="BM24" s="1"/>
    </row>
    <row r="25" spans="1:65" s="8" customFormat="1" ht="15" customHeight="1">
      <c r="A25" s="42"/>
      <c r="B25" s="150"/>
      <c r="C25" s="150"/>
      <c r="D25" s="150"/>
      <c r="E25" s="150"/>
      <c r="F25" s="150"/>
      <c r="G25" s="150"/>
      <c r="H25" s="150"/>
      <c r="I25" s="150"/>
      <c r="J25" s="150"/>
      <c r="K25" s="150"/>
      <c r="L25" s="150"/>
      <c r="M25" s="150"/>
      <c r="N25" s="150"/>
      <c r="O25" s="150"/>
      <c r="P25" s="163"/>
      <c r="Q25" s="163"/>
      <c r="R25" s="163"/>
      <c r="S25" s="163"/>
      <c r="T25" s="163"/>
      <c r="U25" s="155"/>
      <c r="V25" s="155"/>
      <c r="W25" s="155"/>
      <c r="X25" s="155"/>
      <c r="Y25" s="156"/>
      <c r="Z25" s="154"/>
      <c r="AA25" s="155"/>
      <c r="AB25" s="155"/>
      <c r="AC25" s="155"/>
      <c r="AD25" s="156"/>
      <c r="AE25" s="154"/>
      <c r="AF25" s="155"/>
      <c r="AG25" s="155"/>
      <c r="AH25" s="155"/>
      <c r="AI25" s="156"/>
      <c r="AJ25" s="154"/>
      <c r="AK25" s="155"/>
      <c r="AL25" s="155"/>
      <c r="AM25" s="155"/>
      <c r="AN25" s="156"/>
      <c r="AO25" s="150" t="s">
        <v>128</v>
      </c>
      <c r="AP25" s="150"/>
      <c r="AQ25" s="150"/>
      <c r="AR25" s="150"/>
      <c r="AS25" s="150"/>
      <c r="AT25" s="150" t="s">
        <v>130</v>
      </c>
      <c r="AU25" s="150"/>
      <c r="AV25" s="150"/>
      <c r="AW25" s="150"/>
      <c r="AX25" s="150"/>
      <c r="AY25" s="150"/>
      <c r="AZ25" s="150"/>
      <c r="BA25" s="150"/>
      <c r="BB25" s="150"/>
      <c r="BC25" s="150"/>
      <c r="BD25" s="150"/>
      <c r="BE25" s="150"/>
      <c r="BF25" s="150"/>
      <c r="BG25" s="150"/>
      <c r="BI25" s="47"/>
      <c r="BJ25" s="47"/>
      <c r="BK25" s="43"/>
      <c r="BM25" s="1"/>
    </row>
    <row r="26" spans="1:65" s="8" customFormat="1" ht="15" customHeight="1">
      <c r="A26" s="42"/>
      <c r="B26" s="150"/>
      <c r="C26" s="150"/>
      <c r="D26" s="150"/>
      <c r="E26" s="150"/>
      <c r="F26" s="150"/>
      <c r="G26" s="150"/>
      <c r="H26" s="150"/>
      <c r="I26" s="150"/>
      <c r="J26" s="150"/>
      <c r="K26" s="150"/>
      <c r="L26" s="150"/>
      <c r="M26" s="150"/>
      <c r="N26" s="150"/>
      <c r="O26" s="150"/>
      <c r="P26" s="163"/>
      <c r="Q26" s="163"/>
      <c r="R26" s="163"/>
      <c r="S26" s="163"/>
      <c r="T26" s="163"/>
      <c r="U26" s="155"/>
      <c r="V26" s="155"/>
      <c r="W26" s="155"/>
      <c r="X26" s="155"/>
      <c r="Y26" s="156"/>
      <c r="Z26" s="154"/>
      <c r="AA26" s="155"/>
      <c r="AB26" s="155"/>
      <c r="AC26" s="155"/>
      <c r="AD26" s="156"/>
      <c r="AE26" s="154"/>
      <c r="AF26" s="155"/>
      <c r="AG26" s="155"/>
      <c r="AH26" s="155"/>
      <c r="AI26" s="156"/>
      <c r="AJ26" s="157"/>
      <c r="AK26" s="158"/>
      <c r="AL26" s="158"/>
      <c r="AM26" s="158"/>
      <c r="AN26" s="159"/>
      <c r="AO26" s="150" t="s">
        <v>128</v>
      </c>
      <c r="AP26" s="150"/>
      <c r="AQ26" s="150"/>
      <c r="AR26" s="150"/>
      <c r="AS26" s="150"/>
      <c r="AT26" s="150" t="s">
        <v>131</v>
      </c>
      <c r="AU26" s="150"/>
      <c r="AV26" s="150"/>
      <c r="AW26" s="150"/>
      <c r="AX26" s="150"/>
      <c r="AY26" s="150"/>
      <c r="AZ26" s="150"/>
      <c r="BA26" s="150"/>
      <c r="BB26" s="150"/>
      <c r="BC26" s="150"/>
      <c r="BD26" s="150"/>
      <c r="BE26" s="150"/>
      <c r="BF26" s="150"/>
      <c r="BG26" s="150"/>
      <c r="BI26" s="47"/>
      <c r="BJ26" s="47"/>
      <c r="BK26" s="43"/>
      <c r="BM26" s="1"/>
    </row>
    <row r="27" spans="1:65" s="8" customFormat="1" ht="15" customHeight="1">
      <c r="A27" s="48"/>
      <c r="B27" s="150"/>
      <c r="C27" s="150"/>
      <c r="D27" s="150"/>
      <c r="E27" s="150"/>
      <c r="F27" s="150"/>
      <c r="G27" s="150"/>
      <c r="H27" s="150"/>
      <c r="I27" s="150"/>
      <c r="J27" s="150"/>
      <c r="K27" s="150"/>
      <c r="L27" s="150"/>
      <c r="M27" s="150"/>
      <c r="N27" s="150"/>
      <c r="O27" s="150"/>
      <c r="P27" s="163"/>
      <c r="Q27" s="163"/>
      <c r="R27" s="163"/>
      <c r="S27" s="163"/>
      <c r="T27" s="163"/>
      <c r="U27" s="155"/>
      <c r="V27" s="155"/>
      <c r="W27" s="155"/>
      <c r="X27" s="155"/>
      <c r="Y27" s="156"/>
      <c r="Z27" s="154"/>
      <c r="AA27" s="155"/>
      <c r="AB27" s="155"/>
      <c r="AC27" s="155"/>
      <c r="AD27" s="156"/>
      <c r="AE27" s="157"/>
      <c r="AF27" s="158"/>
      <c r="AG27" s="158"/>
      <c r="AH27" s="158"/>
      <c r="AI27" s="159"/>
      <c r="AJ27" s="150" t="s">
        <v>111</v>
      </c>
      <c r="AK27" s="150"/>
      <c r="AL27" s="150"/>
      <c r="AM27" s="150"/>
      <c r="AN27" s="150"/>
      <c r="AO27" s="150"/>
      <c r="AP27" s="150"/>
      <c r="AQ27" s="150"/>
      <c r="AR27" s="150"/>
      <c r="AS27" s="150"/>
      <c r="AT27" s="150"/>
      <c r="AU27" s="150"/>
      <c r="AV27" s="150"/>
      <c r="AW27" s="150"/>
      <c r="AX27" s="150"/>
      <c r="AY27" s="150"/>
      <c r="AZ27" s="150"/>
      <c r="BA27" s="150"/>
      <c r="BB27" s="150"/>
      <c r="BC27" s="150"/>
      <c r="BD27" s="150"/>
      <c r="BE27" s="150"/>
      <c r="BF27" s="150"/>
      <c r="BG27" s="150"/>
      <c r="BI27" s="47"/>
      <c r="BJ27" s="47"/>
      <c r="BK27" s="43"/>
      <c r="BM27" s="1"/>
    </row>
    <row r="28" spans="1:65" s="8" customFormat="1" ht="50.25" customHeight="1">
      <c r="A28" s="48"/>
      <c r="B28" s="150"/>
      <c r="C28" s="150"/>
      <c r="D28" s="150"/>
      <c r="E28" s="150"/>
      <c r="F28" s="150"/>
      <c r="G28" s="150"/>
      <c r="H28" s="150"/>
      <c r="I28" s="150"/>
      <c r="J28" s="150"/>
      <c r="K28" s="150"/>
      <c r="L28" s="150"/>
      <c r="M28" s="150"/>
      <c r="N28" s="150"/>
      <c r="O28" s="150"/>
      <c r="P28" s="163"/>
      <c r="Q28" s="163"/>
      <c r="R28" s="163"/>
      <c r="S28" s="163"/>
      <c r="T28" s="163"/>
      <c r="U28" s="155"/>
      <c r="V28" s="155"/>
      <c r="W28" s="155"/>
      <c r="X28" s="155"/>
      <c r="Y28" s="156"/>
      <c r="Z28" s="154"/>
      <c r="AA28" s="155"/>
      <c r="AB28" s="155"/>
      <c r="AC28" s="155"/>
      <c r="AD28" s="156"/>
      <c r="AE28" s="151" t="s">
        <v>116</v>
      </c>
      <c r="AF28" s="152"/>
      <c r="AG28" s="152"/>
      <c r="AH28" s="152"/>
      <c r="AI28" s="153"/>
      <c r="AJ28" s="150" t="s">
        <v>111</v>
      </c>
      <c r="AK28" s="150"/>
      <c r="AL28" s="150"/>
      <c r="AM28" s="150"/>
      <c r="AN28" s="150"/>
      <c r="AO28" s="150"/>
      <c r="AP28" s="150"/>
      <c r="AQ28" s="150"/>
      <c r="AR28" s="150"/>
      <c r="AS28" s="150"/>
      <c r="AT28" s="163" t="s">
        <v>132</v>
      </c>
      <c r="AU28" s="163"/>
      <c r="AV28" s="163"/>
      <c r="AW28" s="163"/>
      <c r="AX28" s="163"/>
      <c r="AY28" s="163"/>
      <c r="AZ28" s="163"/>
      <c r="BA28" s="163"/>
      <c r="BB28" s="163"/>
      <c r="BC28" s="163"/>
      <c r="BD28" s="163"/>
      <c r="BE28" s="163"/>
      <c r="BF28" s="163"/>
      <c r="BG28" s="163"/>
      <c r="BI28" s="47"/>
      <c r="BJ28" s="47"/>
      <c r="BK28" s="43"/>
      <c r="BM28" s="1"/>
    </row>
    <row r="29" spans="1:65" s="8" customFormat="1" ht="15" customHeight="1">
      <c r="A29" s="42"/>
      <c r="B29" s="150"/>
      <c r="C29" s="150"/>
      <c r="D29" s="150"/>
      <c r="E29" s="150"/>
      <c r="F29" s="150"/>
      <c r="G29" s="150"/>
      <c r="H29" s="150"/>
      <c r="I29" s="150"/>
      <c r="J29" s="150"/>
      <c r="K29" s="150"/>
      <c r="L29" s="150"/>
      <c r="M29" s="150"/>
      <c r="N29" s="150"/>
      <c r="O29" s="150"/>
      <c r="P29" s="163"/>
      <c r="Q29" s="163"/>
      <c r="R29" s="163"/>
      <c r="S29" s="163"/>
      <c r="T29" s="163"/>
      <c r="U29" s="158"/>
      <c r="V29" s="158"/>
      <c r="W29" s="158"/>
      <c r="X29" s="158"/>
      <c r="Y29" s="159"/>
      <c r="Z29" s="157"/>
      <c r="AA29" s="158"/>
      <c r="AB29" s="158"/>
      <c r="AC29" s="158"/>
      <c r="AD29" s="159"/>
      <c r="AE29" s="157"/>
      <c r="AF29" s="158"/>
      <c r="AG29" s="158"/>
      <c r="AH29" s="158"/>
      <c r="AI29" s="159"/>
      <c r="AJ29" s="150" t="s">
        <v>111</v>
      </c>
      <c r="AK29" s="150"/>
      <c r="AL29" s="150"/>
      <c r="AM29" s="150"/>
      <c r="AN29" s="150"/>
      <c r="AO29" s="150"/>
      <c r="AP29" s="150"/>
      <c r="AQ29" s="150"/>
      <c r="AR29" s="150"/>
      <c r="AS29" s="150"/>
      <c r="AT29" s="150"/>
      <c r="AU29" s="150"/>
      <c r="AV29" s="150"/>
      <c r="AW29" s="150"/>
      <c r="AX29" s="150"/>
      <c r="AY29" s="150"/>
      <c r="AZ29" s="150"/>
      <c r="BA29" s="150"/>
      <c r="BB29" s="150"/>
      <c r="BC29" s="150"/>
      <c r="BD29" s="150"/>
      <c r="BE29" s="150"/>
      <c r="BF29" s="150"/>
      <c r="BG29" s="150"/>
      <c r="BI29" s="47"/>
      <c r="BJ29" s="47"/>
      <c r="BK29" s="43"/>
      <c r="BM29" s="1"/>
    </row>
    <row r="30" spans="1:65" s="8" customFormat="1" ht="101.25" customHeight="1">
      <c r="A30" s="42"/>
      <c r="B30" s="150"/>
      <c r="C30" s="150"/>
      <c r="D30" s="150"/>
      <c r="E30" s="150"/>
      <c r="F30" s="150" t="s">
        <v>133</v>
      </c>
      <c r="G30" s="150"/>
      <c r="H30" s="150"/>
      <c r="I30" s="150"/>
      <c r="J30" s="150"/>
      <c r="K30" s="150" t="s">
        <v>134</v>
      </c>
      <c r="L30" s="150"/>
      <c r="M30" s="150"/>
      <c r="N30" s="150"/>
      <c r="O30" s="150"/>
      <c r="P30" s="163"/>
      <c r="Q30" s="163"/>
      <c r="R30" s="163"/>
      <c r="S30" s="163"/>
      <c r="T30" s="163"/>
      <c r="U30" s="150" t="s">
        <v>135</v>
      </c>
      <c r="V30" s="150"/>
      <c r="W30" s="150"/>
      <c r="X30" s="150"/>
      <c r="Y30" s="150"/>
      <c r="Z30" s="150" t="s">
        <v>66</v>
      </c>
      <c r="AA30" s="150"/>
      <c r="AB30" s="150"/>
      <c r="AC30" s="150"/>
      <c r="AD30" s="150"/>
      <c r="AE30" s="150" t="s">
        <v>105</v>
      </c>
      <c r="AF30" s="150"/>
      <c r="AG30" s="150"/>
      <c r="AH30" s="150"/>
      <c r="AI30" s="150"/>
      <c r="AJ30" s="150" t="s">
        <v>111</v>
      </c>
      <c r="AK30" s="150"/>
      <c r="AL30" s="150"/>
      <c r="AM30" s="150"/>
      <c r="AN30" s="150"/>
      <c r="AO30" s="150"/>
      <c r="AP30" s="150"/>
      <c r="AQ30" s="150"/>
      <c r="AR30" s="150"/>
      <c r="AS30" s="150"/>
      <c r="AT30" s="163" t="s">
        <v>136</v>
      </c>
      <c r="AU30" s="150"/>
      <c r="AV30" s="150"/>
      <c r="AW30" s="150"/>
      <c r="AX30" s="150"/>
      <c r="AY30" s="150"/>
      <c r="AZ30" s="150"/>
      <c r="BA30" s="150"/>
      <c r="BB30" s="150"/>
      <c r="BC30" s="150"/>
      <c r="BD30" s="150"/>
      <c r="BE30" s="150"/>
      <c r="BF30" s="150"/>
      <c r="BG30" s="150"/>
      <c r="BI30" s="47"/>
      <c r="BJ30" s="47"/>
      <c r="BK30" s="43"/>
      <c r="BM30" s="1"/>
    </row>
    <row r="31" spans="1:65" s="8" customFormat="1" ht="15" customHeight="1">
      <c r="A31" s="42"/>
      <c r="B31" s="150"/>
      <c r="C31" s="150"/>
      <c r="D31" s="150"/>
      <c r="E31" s="150"/>
      <c r="F31" s="150"/>
      <c r="G31" s="150"/>
      <c r="H31" s="150"/>
      <c r="I31" s="150"/>
      <c r="J31" s="150"/>
      <c r="K31" s="150"/>
      <c r="L31" s="150"/>
      <c r="M31" s="150"/>
      <c r="N31" s="150"/>
      <c r="O31" s="150"/>
      <c r="P31" s="163"/>
      <c r="Q31" s="163"/>
      <c r="R31" s="163"/>
      <c r="S31" s="163"/>
      <c r="T31" s="163"/>
      <c r="U31" s="150"/>
      <c r="V31" s="150"/>
      <c r="W31" s="150"/>
      <c r="X31" s="150"/>
      <c r="Y31" s="150"/>
      <c r="Z31" s="150"/>
      <c r="AA31" s="150"/>
      <c r="AB31" s="150"/>
      <c r="AC31" s="150"/>
      <c r="AD31" s="150"/>
      <c r="AE31" s="150"/>
      <c r="AF31" s="150"/>
      <c r="AG31" s="150"/>
      <c r="AH31" s="150"/>
      <c r="AI31" s="150"/>
      <c r="AJ31" s="150" t="s">
        <v>111</v>
      </c>
      <c r="AK31" s="150"/>
      <c r="AL31" s="150"/>
      <c r="AM31" s="150"/>
      <c r="AN31" s="150"/>
      <c r="AO31" s="150"/>
      <c r="AP31" s="150"/>
      <c r="AQ31" s="150"/>
      <c r="AR31" s="150"/>
      <c r="AS31" s="150"/>
      <c r="AT31" s="150"/>
      <c r="AU31" s="150"/>
      <c r="AV31" s="150"/>
      <c r="AW31" s="150"/>
      <c r="AX31" s="150"/>
      <c r="AY31" s="150"/>
      <c r="AZ31" s="150"/>
      <c r="BA31" s="150"/>
      <c r="BB31" s="150"/>
      <c r="BC31" s="150"/>
      <c r="BD31" s="150"/>
      <c r="BE31" s="150"/>
      <c r="BF31" s="150"/>
      <c r="BG31" s="150"/>
      <c r="BI31" s="47"/>
      <c r="BJ31" s="47"/>
      <c r="BK31" s="43"/>
      <c r="BM31" s="1"/>
    </row>
    <row r="32" spans="1:65" s="8" customFormat="1" ht="102" customHeight="1">
      <c r="A32" s="42"/>
      <c r="B32" s="150"/>
      <c r="C32" s="150"/>
      <c r="D32" s="150"/>
      <c r="E32" s="150"/>
      <c r="F32" s="150"/>
      <c r="G32" s="150"/>
      <c r="H32" s="150"/>
      <c r="I32" s="150"/>
      <c r="J32" s="150"/>
      <c r="K32" s="150"/>
      <c r="L32" s="150"/>
      <c r="M32" s="150"/>
      <c r="N32" s="150"/>
      <c r="O32" s="150"/>
      <c r="P32" s="163"/>
      <c r="Q32" s="163"/>
      <c r="R32" s="163"/>
      <c r="S32" s="163"/>
      <c r="T32" s="163"/>
      <c r="U32" s="150"/>
      <c r="V32" s="150"/>
      <c r="W32" s="150"/>
      <c r="X32" s="150"/>
      <c r="Y32" s="150"/>
      <c r="Z32" s="150"/>
      <c r="AA32" s="150"/>
      <c r="AB32" s="150"/>
      <c r="AC32" s="150"/>
      <c r="AD32" s="150"/>
      <c r="AE32" s="150" t="s">
        <v>114</v>
      </c>
      <c r="AF32" s="150"/>
      <c r="AG32" s="150"/>
      <c r="AH32" s="150"/>
      <c r="AI32" s="150"/>
      <c r="AJ32" s="150" t="s">
        <v>111</v>
      </c>
      <c r="AK32" s="150"/>
      <c r="AL32" s="150"/>
      <c r="AM32" s="150"/>
      <c r="AN32" s="150"/>
      <c r="AO32" s="150"/>
      <c r="AP32" s="150"/>
      <c r="AQ32" s="150"/>
      <c r="AR32" s="150"/>
      <c r="AS32" s="150"/>
      <c r="AT32" s="163" t="s">
        <v>136</v>
      </c>
      <c r="AU32" s="150"/>
      <c r="AV32" s="150"/>
      <c r="AW32" s="150"/>
      <c r="AX32" s="150"/>
      <c r="AY32" s="150"/>
      <c r="AZ32" s="150"/>
      <c r="BA32" s="150"/>
      <c r="BB32" s="150"/>
      <c r="BC32" s="150"/>
      <c r="BD32" s="150"/>
      <c r="BE32" s="150"/>
      <c r="BF32" s="150"/>
      <c r="BG32" s="150"/>
      <c r="BI32" s="47"/>
      <c r="BJ32" s="47"/>
      <c r="BK32" s="43"/>
      <c r="BM32" s="1"/>
    </row>
    <row r="33" spans="1:63" ht="15" customHeight="1">
      <c r="A33" s="18"/>
      <c r="B33" s="150"/>
      <c r="C33" s="150"/>
      <c r="D33" s="150"/>
      <c r="E33" s="150"/>
      <c r="F33" s="150"/>
      <c r="G33" s="150"/>
      <c r="H33" s="150"/>
      <c r="I33" s="150"/>
      <c r="J33" s="150"/>
      <c r="K33" s="150"/>
      <c r="L33" s="150"/>
      <c r="M33" s="150"/>
      <c r="N33" s="150"/>
      <c r="O33" s="150"/>
      <c r="P33" s="163"/>
      <c r="Q33" s="163"/>
      <c r="R33" s="163"/>
      <c r="S33" s="163"/>
      <c r="T33" s="163"/>
      <c r="U33" s="150"/>
      <c r="V33" s="150"/>
      <c r="W33" s="150"/>
      <c r="X33" s="150"/>
      <c r="Y33" s="150"/>
      <c r="Z33" s="150"/>
      <c r="AA33" s="150"/>
      <c r="AB33" s="150"/>
      <c r="AC33" s="150"/>
      <c r="AD33" s="150"/>
      <c r="AE33" s="150"/>
      <c r="AF33" s="150"/>
      <c r="AG33" s="150"/>
      <c r="AH33" s="150"/>
      <c r="AI33" s="150"/>
      <c r="AJ33" s="150" t="s">
        <v>111</v>
      </c>
      <c r="AK33" s="150"/>
      <c r="AL33" s="150"/>
      <c r="AM33" s="150"/>
      <c r="AN33" s="150"/>
      <c r="AO33" s="150"/>
      <c r="AP33" s="150"/>
      <c r="AQ33" s="150"/>
      <c r="AR33" s="150"/>
      <c r="AS33" s="150"/>
      <c r="AT33" s="150"/>
      <c r="AU33" s="150"/>
      <c r="AV33" s="150"/>
      <c r="AW33" s="150"/>
      <c r="AX33" s="150"/>
      <c r="AY33" s="150"/>
      <c r="AZ33" s="150"/>
      <c r="BA33" s="150"/>
      <c r="BB33" s="150"/>
      <c r="BC33" s="150"/>
      <c r="BD33" s="150"/>
      <c r="BE33" s="150"/>
      <c r="BF33" s="150"/>
      <c r="BG33" s="150"/>
      <c r="BI33"/>
      <c r="BJ33"/>
      <c r="BK33" s="43"/>
    </row>
    <row r="34" spans="1:63" ht="100.5" customHeight="1">
      <c r="A34" s="18"/>
      <c r="B34" s="150"/>
      <c r="C34" s="150"/>
      <c r="D34" s="150"/>
      <c r="E34" s="150"/>
      <c r="F34" s="150"/>
      <c r="G34" s="150"/>
      <c r="H34" s="150"/>
      <c r="I34" s="150"/>
      <c r="J34" s="150"/>
      <c r="K34" s="150"/>
      <c r="L34" s="150"/>
      <c r="M34" s="150"/>
      <c r="N34" s="150"/>
      <c r="O34" s="150"/>
      <c r="P34" s="163"/>
      <c r="Q34" s="163"/>
      <c r="R34" s="163"/>
      <c r="S34" s="163"/>
      <c r="T34" s="163"/>
      <c r="U34" s="150"/>
      <c r="V34" s="150"/>
      <c r="W34" s="150"/>
      <c r="X34" s="150"/>
      <c r="Y34" s="150"/>
      <c r="Z34" s="150"/>
      <c r="AA34" s="150"/>
      <c r="AB34" s="150"/>
      <c r="AC34" s="150"/>
      <c r="AD34" s="150"/>
      <c r="AE34" s="151" t="s">
        <v>116</v>
      </c>
      <c r="AF34" s="152"/>
      <c r="AG34" s="152"/>
      <c r="AH34" s="152"/>
      <c r="AI34" s="153"/>
      <c r="AJ34" s="150" t="s">
        <v>111</v>
      </c>
      <c r="AK34" s="150"/>
      <c r="AL34" s="150"/>
      <c r="AM34" s="150"/>
      <c r="AN34" s="150"/>
      <c r="AO34" s="150"/>
      <c r="AP34" s="150"/>
      <c r="AQ34" s="150"/>
      <c r="AR34" s="150"/>
      <c r="AS34" s="150"/>
      <c r="AT34" s="163" t="s">
        <v>137</v>
      </c>
      <c r="AU34" s="150"/>
      <c r="AV34" s="150"/>
      <c r="AW34" s="150"/>
      <c r="AX34" s="150"/>
      <c r="AY34" s="150"/>
      <c r="AZ34" s="150"/>
      <c r="BA34" s="150"/>
      <c r="BB34" s="150"/>
      <c r="BC34" s="150"/>
      <c r="BD34" s="150"/>
      <c r="BE34" s="150"/>
      <c r="BF34" s="150"/>
      <c r="BG34" s="150"/>
      <c r="BI34"/>
      <c r="BJ34"/>
      <c r="BK34" s="43"/>
    </row>
    <row r="35" spans="1:63" ht="15" customHeight="1">
      <c r="A35" s="18"/>
      <c r="B35" s="150"/>
      <c r="C35" s="150"/>
      <c r="D35" s="150"/>
      <c r="E35" s="150"/>
      <c r="F35" s="150"/>
      <c r="G35" s="150"/>
      <c r="H35" s="150"/>
      <c r="I35" s="150"/>
      <c r="J35" s="150"/>
      <c r="K35" s="150"/>
      <c r="L35" s="150"/>
      <c r="M35" s="150"/>
      <c r="N35" s="150"/>
      <c r="O35" s="150"/>
      <c r="P35" s="163"/>
      <c r="Q35" s="163"/>
      <c r="R35" s="163"/>
      <c r="S35" s="163"/>
      <c r="T35" s="163"/>
      <c r="U35" s="150"/>
      <c r="V35" s="150"/>
      <c r="W35" s="150"/>
      <c r="X35" s="150"/>
      <c r="Y35" s="150"/>
      <c r="Z35" s="150"/>
      <c r="AA35" s="150"/>
      <c r="AB35" s="150"/>
      <c r="AC35" s="150"/>
      <c r="AD35" s="150"/>
      <c r="AE35" s="157"/>
      <c r="AF35" s="158"/>
      <c r="AG35" s="158"/>
      <c r="AH35" s="158"/>
      <c r="AI35" s="159"/>
      <c r="AJ35" s="150" t="s">
        <v>111</v>
      </c>
      <c r="AK35" s="150"/>
      <c r="AL35" s="150"/>
      <c r="AM35" s="150"/>
      <c r="AN35" s="150"/>
      <c r="AO35" s="150"/>
      <c r="AP35" s="150"/>
      <c r="AQ35" s="150"/>
      <c r="AR35" s="150"/>
      <c r="AS35" s="150"/>
      <c r="AT35" s="150"/>
      <c r="AU35" s="150"/>
      <c r="AV35" s="150"/>
      <c r="AW35" s="150"/>
      <c r="AX35" s="150"/>
      <c r="AY35" s="150"/>
      <c r="AZ35" s="150"/>
      <c r="BA35" s="150"/>
      <c r="BB35" s="150"/>
      <c r="BC35" s="150"/>
      <c r="BD35" s="150"/>
      <c r="BE35" s="150"/>
      <c r="BF35" s="150"/>
      <c r="BG35" s="150"/>
      <c r="BI35"/>
      <c r="BJ35"/>
      <c r="BK35" s="43"/>
    </row>
    <row r="36" spans="1:63" ht="15" customHeight="1">
      <c r="A36" s="18"/>
      <c r="B36"/>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s="43"/>
    </row>
    <row r="37" spans="1:63" ht="15" customHeight="1">
      <c r="A37" s="18"/>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s="43"/>
    </row>
    <row r="38" spans="1:63" ht="15" customHeight="1">
      <c r="A38" s="1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s="43"/>
    </row>
    <row r="39" spans="1:63" ht="15" customHeight="1">
      <c r="A39" s="44"/>
      <c r="B39" s="45"/>
      <c r="C39" s="45"/>
      <c r="D39" s="45"/>
      <c r="E39" s="45"/>
      <c r="F39" s="45"/>
      <c r="G39" s="45"/>
      <c r="H39" s="45"/>
      <c r="I39" s="45"/>
      <c r="J39" s="45"/>
      <c r="K39" s="45"/>
      <c r="L39" s="45"/>
      <c r="M39" s="45"/>
      <c r="N39" s="45"/>
      <c r="O39" s="45"/>
      <c r="P39" s="45"/>
      <c r="Q39" s="45"/>
      <c r="R39" s="45"/>
      <c r="S39" s="45"/>
      <c r="T39" s="45"/>
      <c r="U39" s="45"/>
      <c r="V39" s="45"/>
      <c r="W39" s="45"/>
      <c r="X39" s="45"/>
      <c r="Y39" s="45"/>
      <c r="Z39" s="45"/>
      <c r="AA39" s="45"/>
      <c r="AB39" s="45"/>
      <c r="AC39" s="45"/>
      <c r="AD39" s="45"/>
      <c r="AE39" s="45"/>
      <c r="AF39" s="45"/>
      <c r="AG39" s="45"/>
      <c r="AH39" s="45"/>
      <c r="AI39" s="45"/>
      <c r="AJ39" s="45"/>
      <c r="AK39" s="45"/>
      <c r="AL39" s="45"/>
      <c r="AM39" s="45"/>
      <c r="AN39" s="45"/>
      <c r="AO39" s="45"/>
      <c r="AP39" s="45"/>
      <c r="AQ39" s="45"/>
      <c r="AR39" s="45"/>
      <c r="AS39" s="45"/>
      <c r="AT39" s="45"/>
      <c r="AU39" s="45"/>
      <c r="AV39" s="45"/>
      <c r="AW39" s="45"/>
      <c r="AX39" s="45"/>
      <c r="AY39" s="45"/>
      <c r="AZ39" s="45"/>
      <c r="BA39" s="45"/>
      <c r="BB39" s="45"/>
      <c r="BC39" s="45"/>
      <c r="BD39" s="45"/>
      <c r="BE39" s="45"/>
      <c r="BF39" s="45"/>
      <c r="BG39" s="45"/>
      <c r="BH39" s="45"/>
      <c r="BI39" s="45"/>
      <c r="BJ39" s="45"/>
      <c r="BK39" s="46"/>
    </row>
    <row r="40" spans="1:63" ht="15" customHeight="1">
      <c r="A40" s="18"/>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s="19"/>
    </row>
    <row r="41" spans="1:63" ht="15" customHeight="1">
      <c r="A41" s="18"/>
      <c r="B41"/>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s="19"/>
    </row>
    <row r="42" spans="1:63" ht="15" customHeight="1">
      <c r="A42" s="18"/>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s="19"/>
    </row>
    <row r="43" spans="1:63" ht="15" customHeight="1">
      <c r="A43" s="18"/>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s="19"/>
    </row>
    <row r="44" spans="1:63" ht="15" customHeight="1">
      <c r="A44" s="18"/>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s="19"/>
    </row>
    <row r="45" spans="1:63" ht="15" customHeight="1">
      <c r="A45" s="18"/>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s="19"/>
    </row>
    <row r="46" spans="1:63" ht="15" customHeight="1">
      <c r="A46" s="18"/>
      <c r="B46"/>
      <c r="C46"/>
      <c r="D46"/>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s="19"/>
    </row>
    <row r="47" spans="1:63" ht="15" customHeight="1">
      <c r="A47" s="18"/>
      <c r="B47"/>
      <c r="C47"/>
      <c r="D47"/>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s="19"/>
    </row>
    <row r="48" spans="1:63" ht="15" customHeight="1">
      <c r="A48" s="18"/>
      <c r="B48"/>
      <c r="C48"/>
      <c r="D48"/>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s="19"/>
    </row>
    <row r="49" spans="1:63" ht="15" customHeight="1">
      <c r="A49" s="18"/>
      <c r="B49"/>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s="19"/>
    </row>
    <row r="50" spans="1:63" ht="15" customHeight="1">
      <c r="A50" s="18"/>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s="19"/>
    </row>
    <row r="51" spans="1:63" ht="15" customHeight="1">
      <c r="A51" s="18"/>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s="19"/>
    </row>
    <row r="52" spans="1:63" ht="15" customHeight="1">
      <c r="A52" s="18"/>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s="19"/>
    </row>
    <row r="53" spans="1:63" ht="15" customHeight="1">
      <c r="A53" s="18"/>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s="19"/>
    </row>
    <row r="54" spans="1:63" ht="15" customHeight="1">
      <c r="A54" s="18"/>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s="19"/>
    </row>
    <row r="55" spans="1:63" ht="15" customHeight="1">
      <c r="A55" s="18"/>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s="19"/>
    </row>
    <row r="56" spans="1:63" ht="15" customHeight="1">
      <c r="A56" s="18"/>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s="19"/>
    </row>
    <row r="57" spans="1:63" ht="15" customHeight="1">
      <c r="A57" s="18"/>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s="19"/>
    </row>
    <row r="58" spans="1:63" ht="15" customHeight="1">
      <c r="A58" s="1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s="19"/>
    </row>
    <row r="59" spans="1:63" ht="15" customHeight="1">
      <c r="A59" s="18"/>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s="19"/>
    </row>
    <row r="60" spans="1:63" ht="15" customHeight="1">
      <c r="A60" s="18"/>
      <c r="B60"/>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s="19"/>
    </row>
    <row r="61" spans="1:63" ht="15" customHeight="1">
      <c r="A61" s="18"/>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s="19"/>
    </row>
    <row r="62" spans="1:63" ht="15" customHeight="1">
      <c r="A62" s="15"/>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6"/>
      <c r="BK62" s="17"/>
    </row>
  </sheetData>
  <mergeCells count="126">
    <mergeCell ref="AT35:BG35"/>
    <mergeCell ref="AJ34:AN34"/>
    <mergeCell ref="AO34:AS34"/>
    <mergeCell ref="AT34:BG34"/>
    <mergeCell ref="AE34:AI35"/>
    <mergeCell ref="AT7:BG7"/>
    <mergeCell ref="AT8:BG8"/>
    <mergeCell ref="AT9:BG9"/>
    <mergeCell ref="AT10:BG10"/>
    <mergeCell ref="AT11:BG11"/>
    <mergeCell ref="AT12:BG12"/>
    <mergeCell ref="AT13:BG13"/>
    <mergeCell ref="AT14:BG14"/>
    <mergeCell ref="AT15:BG15"/>
    <mergeCell ref="AT16:BG16"/>
    <mergeCell ref="AT17:BG17"/>
    <mergeCell ref="AT18:BG18"/>
    <mergeCell ref="AT19:BG19"/>
    <mergeCell ref="AT20:BG20"/>
    <mergeCell ref="AT21:BG21"/>
    <mergeCell ref="AT22:BG22"/>
    <mergeCell ref="AT23:BG23"/>
    <mergeCell ref="AT24:BG24"/>
    <mergeCell ref="AT25:BG25"/>
    <mergeCell ref="AT26:BG26"/>
    <mergeCell ref="AT27:BG27"/>
    <mergeCell ref="AT28:BG28"/>
    <mergeCell ref="AT29:BG29"/>
    <mergeCell ref="AT30:BG30"/>
    <mergeCell ref="AT31:BG31"/>
    <mergeCell ref="AT32:BG32"/>
    <mergeCell ref="U7:AS7"/>
    <mergeCell ref="B8:E35"/>
    <mergeCell ref="AE9:AI12"/>
    <mergeCell ref="AJ9:AN10"/>
    <mergeCell ref="AO12:AS12"/>
    <mergeCell ref="AO11:AS11"/>
    <mergeCell ref="AJ11:AN12"/>
    <mergeCell ref="AJ15:AN16"/>
    <mergeCell ref="AE17:AI18"/>
    <mergeCell ref="AJ17:AN17"/>
    <mergeCell ref="AO17:AS17"/>
    <mergeCell ref="AJ20:AN22"/>
    <mergeCell ref="AO22:AS22"/>
    <mergeCell ref="AO25:AS25"/>
    <mergeCell ref="AJ31:AN31"/>
    <mergeCell ref="AO31:AS31"/>
    <mergeCell ref="AE32:AI33"/>
    <mergeCell ref="AJ32:AN32"/>
    <mergeCell ref="AO32:AS32"/>
    <mergeCell ref="AJ33:AN33"/>
    <mergeCell ref="AO33:AS33"/>
    <mergeCell ref="AT33:BG33"/>
    <mergeCell ref="F30:J35"/>
    <mergeCell ref="K30:O35"/>
    <mergeCell ref="P8:T35"/>
    <mergeCell ref="U30:Y35"/>
    <mergeCell ref="Z30:AD35"/>
    <mergeCell ref="AE30:AI31"/>
    <mergeCell ref="AJ30:AN30"/>
    <mergeCell ref="AO30:AS30"/>
    <mergeCell ref="AJ35:AN35"/>
    <mergeCell ref="AO35:AS35"/>
    <mergeCell ref="AJ28:AN28"/>
    <mergeCell ref="AO28:AS28"/>
    <mergeCell ref="AE28:AI29"/>
    <mergeCell ref="AE24:AI27"/>
    <mergeCell ref="AJ24:AN26"/>
    <mergeCell ref="AO26:AS26"/>
    <mergeCell ref="AJ13:AN14"/>
    <mergeCell ref="AO16:AS16"/>
    <mergeCell ref="AE13:AI16"/>
    <mergeCell ref="AO21:AS21"/>
    <mergeCell ref="AO14:AS14"/>
    <mergeCell ref="AO23:AS23"/>
    <mergeCell ref="AO24:AS24"/>
    <mergeCell ref="AO20:AS20"/>
    <mergeCell ref="AJ23:AN23"/>
    <mergeCell ref="AO27:AS27"/>
    <mergeCell ref="AO29:AS29"/>
    <mergeCell ref="AO8:AS8"/>
    <mergeCell ref="AO9:AS9"/>
    <mergeCell ref="AO10:AS10"/>
    <mergeCell ref="AO13:AS13"/>
    <mergeCell ref="AO15:AS15"/>
    <mergeCell ref="AO18:AS18"/>
    <mergeCell ref="AO19:AS19"/>
    <mergeCell ref="F19:J29"/>
    <mergeCell ref="K8:O29"/>
    <mergeCell ref="AE19:AI19"/>
    <mergeCell ref="F8:J18"/>
    <mergeCell ref="AE20:AI23"/>
    <mergeCell ref="AJ18:AN18"/>
    <mergeCell ref="AE8:AI8"/>
    <mergeCell ref="U8:Y18"/>
    <mergeCell ref="U19:Y29"/>
    <mergeCell ref="Z8:AD18"/>
    <mergeCell ref="Z19:AD29"/>
    <mergeCell ref="AJ29:AN29"/>
    <mergeCell ref="AJ19:AN19"/>
    <mergeCell ref="AJ8:AN8"/>
    <mergeCell ref="AJ27:AN27"/>
    <mergeCell ref="AY1:BB1"/>
    <mergeCell ref="B7:E7"/>
    <mergeCell ref="F7:J7"/>
    <mergeCell ref="K7:O7"/>
    <mergeCell ref="P7:T7"/>
    <mergeCell ref="BC1:BG1"/>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K1:V1"/>
    <mergeCell ref="W1:AO3"/>
    <mergeCell ref="AP1:AS1"/>
    <mergeCell ref="AT1:AX1"/>
  </mergeCells>
  <phoneticPr fontId="13"/>
  <printOptions horizontalCentered="1" verticalCentered="1"/>
  <pageMargins left="0.59055118110236204" right="0.59055118110236204" top="0.39370078740157499" bottom="0.39370078740157499" header="0.31496062992126" footer="0.31496062992126"/>
  <pageSetup paperSize="9" scale="30" orientation="landscape" r:id="rId1"/>
  <headerFooter>
    <oddHeader>&amp;R&amp;F</oddHeader>
    <oddFooter>&amp;C&amp;P / &amp;N ページ</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70B11-9E4F-4BF4-A3ED-5434BBA98DEB}">
  <sheetPr>
    <pageSetUpPr fitToPage="1"/>
  </sheetPr>
  <dimension ref="A1:BK26"/>
  <sheetViews>
    <sheetView view="pageBreakPreview" zoomScaleNormal="75" zoomScaleSheetLayoutView="100" workbookViewId="0">
      <selection activeCell="AN20" sqref="AN20"/>
    </sheetView>
  </sheetViews>
  <sheetFormatPr defaultColWidth="2.44140625" defaultRowHeight="15" customHeight="1"/>
  <cols>
    <col min="9" max="9" width="5.44140625" customWidth="1"/>
    <col min="10" max="10" width="2.5546875" customWidth="1"/>
    <col min="39" max="39" width="17.44140625" customWidth="1"/>
    <col min="62" max="62" width="2.109375" customWidth="1"/>
  </cols>
  <sheetData>
    <row r="1" spans="1:63" ht="24.95" customHeight="1">
      <c r="A1" s="70" t="s">
        <v>0</v>
      </c>
      <c r="B1" s="71"/>
      <c r="C1" s="71"/>
      <c r="D1" s="71"/>
      <c r="E1" s="71"/>
      <c r="F1" s="71"/>
      <c r="G1" s="71"/>
      <c r="H1" s="71"/>
      <c r="I1" s="71"/>
      <c r="J1" s="72"/>
      <c r="K1" s="70" t="s">
        <v>1</v>
      </c>
      <c r="L1" s="71"/>
      <c r="M1" s="71"/>
      <c r="N1" s="71"/>
      <c r="O1" s="71"/>
      <c r="P1" s="71"/>
      <c r="Q1" s="71"/>
      <c r="R1" s="71"/>
      <c r="S1" s="71"/>
      <c r="T1" s="71"/>
      <c r="U1" s="71"/>
      <c r="V1" s="72"/>
      <c r="W1" s="90" t="e">
        <f ca="1">IF( che [11]phủ!W1="","", che [11]phủ!W1)</f>
        <v>#NAME?</v>
      </c>
      <c r="X1" s="91"/>
      <c r="Y1" s="91"/>
      <c r="Z1" s="91"/>
      <c r="AA1" s="91"/>
      <c r="AB1" s="91"/>
      <c r="AC1" s="91"/>
      <c r="AD1" s="91"/>
      <c r="AE1" s="91"/>
      <c r="AF1" s="91"/>
      <c r="AG1" s="91"/>
      <c r="AH1" s="91"/>
      <c r="AI1" s="91"/>
      <c r="AJ1" s="91"/>
      <c r="AK1" s="91"/>
      <c r="AL1" s="91"/>
      <c r="AM1" s="91"/>
      <c r="AN1" s="91"/>
      <c r="AO1" s="92"/>
      <c r="AP1" s="70" t="s">
        <v>3</v>
      </c>
      <c r="AQ1" s="71"/>
      <c r="AR1" s="71"/>
      <c r="AS1" s="72"/>
      <c r="AT1" s="70" t="s">
        <v>4</v>
      </c>
      <c r="AU1" s="71"/>
      <c r="AV1" s="71"/>
      <c r="AW1" s="71"/>
      <c r="AX1" s="72"/>
      <c r="AY1" s="70" t="s">
        <v>5</v>
      </c>
      <c r="AZ1" s="71"/>
      <c r="BA1" s="71"/>
      <c r="BB1" s="72"/>
      <c r="BC1" s="70" t="s">
        <v>6</v>
      </c>
      <c r="BD1" s="71"/>
      <c r="BE1" s="71"/>
      <c r="BF1" s="71"/>
      <c r="BG1" s="72"/>
      <c r="BH1" s="70" t="s">
        <v>7</v>
      </c>
      <c r="BI1" s="71"/>
      <c r="BJ1" s="71"/>
      <c r="BK1" s="72"/>
    </row>
    <row r="2" spans="1:63" ht="15" customHeight="1">
      <c r="A2" s="55" t="e">
        <f ca="1">IF( che [11]phủ!A2="","", che [11]phủ!A2)</f>
        <v>#NAME?</v>
      </c>
      <c r="B2" s="56"/>
      <c r="C2" s="56"/>
      <c r="D2" s="56"/>
      <c r="E2" s="56"/>
      <c r="F2" s="56"/>
      <c r="G2" s="56"/>
      <c r="H2" s="56"/>
      <c r="I2" s="56"/>
      <c r="J2" s="57"/>
      <c r="K2" s="55" t="e">
        <f ca="1">IF( che [11]phủ!K2="","", che [11]phủ!K2)</f>
        <v>#NAME?</v>
      </c>
      <c r="L2" s="56"/>
      <c r="M2" s="56"/>
      <c r="N2" s="56"/>
      <c r="O2" s="56"/>
      <c r="P2" s="56"/>
      <c r="Q2" s="56"/>
      <c r="R2" s="56"/>
      <c r="S2" s="56"/>
      <c r="T2" s="56"/>
      <c r="U2" s="56"/>
      <c r="V2" s="57"/>
      <c r="W2" s="93"/>
      <c r="X2" s="94"/>
      <c r="Y2" s="94"/>
      <c r="Z2" s="94"/>
      <c r="AA2" s="94"/>
      <c r="AB2" s="94"/>
      <c r="AC2" s="94"/>
      <c r="AD2" s="94"/>
      <c r="AE2" s="94"/>
      <c r="AF2" s="94"/>
      <c r="AG2" s="94"/>
      <c r="AH2" s="94"/>
      <c r="AI2" s="94"/>
      <c r="AJ2" s="94"/>
      <c r="AK2" s="94"/>
      <c r="AL2" s="94"/>
      <c r="AM2" s="94"/>
      <c r="AN2" s="94"/>
      <c r="AO2" s="95"/>
      <c r="AP2" s="55" t="e">
        <f ca="1">IF( che [11]phủ!AP2="","", che [11]phủ!AP2)</f>
        <v>#NAME?</v>
      </c>
      <c r="AQ2" s="56"/>
      <c r="AR2" s="56"/>
      <c r="AS2" s="57"/>
      <c r="AT2" s="84" t="e">
        <f ca="1">IF( che [11]phủ!AT2="","", che [11]phủ!AT2)</f>
        <v>#NAME?</v>
      </c>
      <c r="AU2" s="85"/>
      <c r="AV2" s="85"/>
      <c r="AW2" s="85"/>
      <c r="AX2" s="86"/>
      <c r="AY2" s="55" t="e">
        <f ca="1">IF( che [11]phủ!AY2="","", che [11]phủ!AY2)</f>
        <v>#NAME?</v>
      </c>
      <c r="AZ2" s="56"/>
      <c r="BA2" s="56"/>
      <c r="BB2" s="57"/>
      <c r="BC2" s="84" t="e">
        <f ca="1">IF( che [11]phủ!BC2="","", che [11]phủ!BC2)</f>
        <v>#NAME?</v>
      </c>
      <c r="BD2" s="85"/>
      <c r="BE2" s="85"/>
      <c r="BF2" s="85"/>
      <c r="BG2" s="86"/>
      <c r="BH2" s="55" t="e">
        <f ca="1">IF( che [11]phủ!BH2="","", che [11]phủ!BH2)</f>
        <v>#NAME?</v>
      </c>
      <c r="BI2" s="56"/>
      <c r="BJ2" s="56"/>
      <c r="BK2" s="57"/>
    </row>
    <row r="3" spans="1:63" ht="15" customHeight="1">
      <c r="A3" s="61"/>
      <c r="B3" s="62"/>
      <c r="C3" s="62"/>
      <c r="D3" s="62"/>
      <c r="E3" s="62"/>
      <c r="F3" s="62"/>
      <c r="G3" s="62"/>
      <c r="H3" s="62"/>
      <c r="I3" s="62"/>
      <c r="J3" s="63"/>
      <c r="K3" s="61"/>
      <c r="L3" s="62"/>
      <c r="M3" s="62"/>
      <c r="N3" s="62"/>
      <c r="O3" s="62"/>
      <c r="P3" s="62"/>
      <c r="Q3" s="62"/>
      <c r="R3" s="62"/>
      <c r="S3" s="62"/>
      <c r="T3" s="62"/>
      <c r="U3" s="62"/>
      <c r="V3" s="63"/>
      <c r="W3" s="96"/>
      <c r="X3" s="97"/>
      <c r="Y3" s="97"/>
      <c r="Z3" s="97"/>
      <c r="AA3" s="97"/>
      <c r="AB3" s="97"/>
      <c r="AC3" s="97"/>
      <c r="AD3" s="97"/>
      <c r="AE3" s="97"/>
      <c r="AF3" s="97"/>
      <c r="AG3" s="97"/>
      <c r="AH3" s="97"/>
      <c r="AI3" s="97"/>
      <c r="AJ3" s="97"/>
      <c r="AK3" s="97"/>
      <c r="AL3" s="97"/>
      <c r="AM3" s="97"/>
      <c r="AN3" s="97"/>
      <c r="AO3" s="98"/>
      <c r="AP3" s="61"/>
      <c r="AQ3" s="62"/>
      <c r="AR3" s="62"/>
      <c r="AS3" s="63"/>
      <c r="AT3" s="87"/>
      <c r="AU3" s="88"/>
      <c r="AV3" s="88"/>
      <c r="AW3" s="88"/>
      <c r="AX3" s="89"/>
      <c r="AY3" s="61"/>
      <c r="AZ3" s="62"/>
      <c r="BA3" s="62"/>
      <c r="BB3" s="63"/>
      <c r="BC3" s="87"/>
      <c r="BD3" s="88"/>
      <c r="BE3" s="88"/>
      <c r="BF3" s="88"/>
      <c r="BG3" s="89"/>
      <c r="BH3" s="61"/>
      <c r="BI3" s="62"/>
      <c r="BJ3" s="62"/>
      <c r="BK3" s="63"/>
    </row>
    <row r="4" spans="1:63" ht="24.95" customHeight="1">
      <c r="A4" s="70" t="s">
        <v>10</v>
      </c>
      <c r="B4" s="71"/>
      <c r="C4" s="71"/>
      <c r="D4" s="71"/>
      <c r="E4" s="71"/>
      <c r="F4" s="71"/>
      <c r="G4" s="72"/>
      <c r="H4" s="75" t="e">
        <f ca="1">IF( che [11]phủ!H4="","", che [11]phủ!H4)</f>
        <v>#NAME?</v>
      </c>
      <c r="I4" s="76"/>
      <c r="J4" s="76"/>
      <c r="K4" s="76"/>
      <c r="L4" s="76"/>
      <c r="M4" s="76"/>
      <c r="N4" s="76"/>
      <c r="O4" s="76"/>
      <c r="P4" s="76"/>
      <c r="Q4" s="76"/>
      <c r="R4" s="76"/>
      <c r="S4" s="76"/>
      <c r="T4" s="77"/>
      <c r="U4" s="70" t="s">
        <v>12</v>
      </c>
      <c r="V4" s="71"/>
      <c r="W4" s="71"/>
      <c r="X4" s="71"/>
      <c r="Y4" s="72"/>
      <c r="Z4" s="75" t="e">
        <f ca="1">IF( che [11]phủ!Z4="","", che [11]phủ!Z4)</f>
        <v>#NAME?</v>
      </c>
      <c r="AA4" s="76"/>
      <c r="AB4" s="76"/>
      <c r="AC4" s="76"/>
      <c r="AD4" s="76"/>
      <c r="AE4" s="76"/>
      <c r="AF4" s="76"/>
      <c r="AG4" s="76"/>
      <c r="AH4" s="76"/>
      <c r="AI4" s="76"/>
      <c r="AJ4" s="76"/>
      <c r="AK4" s="76"/>
      <c r="AL4" s="76"/>
      <c r="AM4" s="76"/>
      <c r="AN4" s="76"/>
      <c r="AO4" s="77"/>
      <c r="AP4" s="75" t="e" cm="1">
        <f t="array" aca="1" ref="AP4" ca="1">RIGHT(CELL("filename",$A$1),LEN(CELL("filename",$A$1))-FIND("]",CELL("filename",$A$1)))</f>
        <v>#VALUE!</v>
      </c>
      <c r="AQ4" s="76"/>
      <c r="AR4" s="76"/>
      <c r="AS4" s="76"/>
      <c r="AT4" s="76"/>
      <c r="AU4" s="76"/>
      <c r="AV4" s="76"/>
      <c r="AW4" s="76"/>
      <c r="AX4" s="76"/>
      <c r="AY4" s="76"/>
      <c r="AZ4" s="76"/>
      <c r="BA4" s="76"/>
      <c r="BB4" s="76"/>
      <c r="BC4" s="76"/>
      <c r="BD4" s="76"/>
      <c r="BE4" s="76"/>
      <c r="BF4" s="76"/>
      <c r="BG4" s="76"/>
      <c r="BH4" s="76"/>
      <c r="BI4" s="76"/>
      <c r="BJ4" s="76"/>
      <c r="BK4" s="77"/>
    </row>
    <row r="5" spans="1:63" ht="5.0999999999999996" customHeight="1">
      <c r="A5" s="15"/>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7"/>
    </row>
    <row r="6" spans="1:63" ht="15" customHeight="1">
      <c r="A6" s="18"/>
      <c r="BK6" s="19"/>
    </row>
    <row r="7" spans="1:63" ht="15" customHeight="1">
      <c r="A7" s="18" t="s">
        <v>138</v>
      </c>
      <c r="BK7" s="19"/>
    </row>
    <row r="8" spans="1:63" ht="15" customHeight="1">
      <c r="A8" s="18"/>
      <c r="B8" s="149" t="s">
        <v>60</v>
      </c>
      <c r="C8" s="149"/>
      <c r="D8" s="149" t="s">
        <v>139</v>
      </c>
      <c r="E8" s="149"/>
      <c r="F8" s="149"/>
      <c r="G8" s="149"/>
      <c r="H8" s="149"/>
      <c r="I8" s="149"/>
      <c r="J8" s="165" t="s">
        <v>140</v>
      </c>
      <c r="K8" s="166"/>
      <c r="L8" s="166"/>
      <c r="M8" s="166"/>
      <c r="N8" s="166"/>
      <c r="O8" s="166"/>
      <c r="P8" s="167"/>
      <c r="Q8" s="165" t="s">
        <v>141</v>
      </c>
      <c r="R8" s="166"/>
      <c r="S8" s="166"/>
      <c r="T8" s="166"/>
      <c r="U8" s="166"/>
      <c r="V8" s="166"/>
      <c r="W8" s="166"/>
      <c r="X8" s="167"/>
      <c r="Y8" s="165" t="s">
        <v>142</v>
      </c>
      <c r="Z8" s="166"/>
      <c r="AA8" s="166"/>
      <c r="AB8" s="166"/>
      <c r="AC8" s="166"/>
      <c r="AD8" s="166"/>
      <c r="AE8" s="166"/>
      <c r="AF8" s="166"/>
      <c r="AG8" s="166"/>
      <c r="AH8" s="166"/>
      <c r="AI8" s="166"/>
      <c r="AJ8" s="166"/>
      <c r="AK8" s="166"/>
      <c r="AL8" s="166"/>
      <c r="AM8" s="167"/>
      <c r="AN8" s="165" t="s">
        <v>143</v>
      </c>
      <c r="AO8" s="166"/>
      <c r="AP8" s="166"/>
      <c r="AQ8" s="166"/>
      <c r="AR8" s="166"/>
      <c r="AS8" s="166"/>
      <c r="AT8" s="166"/>
      <c r="AU8" s="166"/>
      <c r="AV8" s="166"/>
      <c r="AW8" s="166"/>
      <c r="AX8" s="166"/>
      <c r="AY8" s="166"/>
      <c r="AZ8" s="167"/>
      <c r="BA8" s="165" t="s">
        <v>144</v>
      </c>
      <c r="BB8" s="166"/>
      <c r="BC8" s="166"/>
      <c r="BD8" s="166"/>
      <c r="BE8" s="166"/>
      <c r="BF8" s="166"/>
      <c r="BG8" s="166"/>
      <c r="BH8" s="166"/>
      <c r="BI8" s="166"/>
      <c r="BJ8" s="167"/>
      <c r="BK8" s="19"/>
    </row>
    <row r="9" spans="1:63" s="50" customFormat="1" ht="37.5" customHeight="1">
      <c r="A9" s="49"/>
      <c r="B9" s="176">
        <v>1</v>
      </c>
      <c r="C9" s="176"/>
      <c r="D9" s="168" t="s">
        <v>145</v>
      </c>
      <c r="E9" s="177"/>
      <c r="F9" s="177"/>
      <c r="G9" s="177"/>
      <c r="H9" s="177"/>
      <c r="I9" s="178"/>
      <c r="J9" s="151" t="s">
        <v>146</v>
      </c>
      <c r="K9" s="152"/>
      <c r="L9" s="152"/>
      <c r="M9" s="152"/>
      <c r="N9" s="152"/>
      <c r="O9" s="152"/>
      <c r="P9" s="153"/>
      <c r="Q9" s="170" t="s">
        <v>147</v>
      </c>
      <c r="R9" s="171"/>
      <c r="S9" s="171"/>
      <c r="T9" s="171"/>
      <c r="U9" s="171"/>
      <c r="V9" s="171"/>
      <c r="W9" s="171"/>
      <c r="X9" s="172"/>
      <c r="Y9" s="173" t="s">
        <v>148</v>
      </c>
      <c r="Z9" s="174"/>
      <c r="AA9" s="174"/>
      <c r="AB9" s="174"/>
      <c r="AC9" s="174"/>
      <c r="AD9" s="174"/>
      <c r="AE9" s="174"/>
      <c r="AF9" s="174"/>
      <c r="AG9" s="174"/>
      <c r="AH9" s="174"/>
      <c r="AI9" s="174"/>
      <c r="AJ9" s="174"/>
      <c r="AK9" s="174"/>
      <c r="AL9" s="174"/>
      <c r="AM9" s="175"/>
      <c r="AN9" s="170" t="s">
        <v>149</v>
      </c>
      <c r="AO9" s="171"/>
      <c r="AP9" s="171"/>
      <c r="AQ9" s="171"/>
      <c r="AR9" s="171"/>
      <c r="AS9" s="171"/>
      <c r="AT9" s="171"/>
      <c r="AU9" s="171"/>
      <c r="AV9" s="171"/>
      <c r="AW9" s="171"/>
      <c r="AX9" s="171"/>
      <c r="AY9" s="171"/>
      <c r="AZ9" s="172"/>
      <c r="BA9" s="170" t="s">
        <v>150</v>
      </c>
      <c r="BB9" s="171"/>
      <c r="BC9" s="171"/>
      <c r="BD9" s="171"/>
      <c r="BE9" s="171"/>
      <c r="BF9" s="171"/>
      <c r="BG9" s="171"/>
      <c r="BH9" s="171"/>
      <c r="BI9" s="171"/>
      <c r="BJ9" s="172"/>
      <c r="BK9" s="51"/>
    </row>
    <row r="10" spans="1:63" s="50" customFormat="1" ht="42.95" customHeight="1">
      <c r="A10" s="49"/>
      <c r="B10" s="176">
        <v>2</v>
      </c>
      <c r="C10" s="176"/>
      <c r="D10" s="179"/>
      <c r="E10" s="180"/>
      <c r="F10" s="180"/>
      <c r="G10" s="180"/>
      <c r="H10" s="180"/>
      <c r="I10" s="181"/>
      <c r="J10" s="157"/>
      <c r="K10" s="158"/>
      <c r="L10" s="158"/>
      <c r="M10" s="158"/>
      <c r="N10" s="158"/>
      <c r="O10" s="158"/>
      <c r="P10" s="159"/>
      <c r="Q10" s="170" t="s">
        <v>147</v>
      </c>
      <c r="R10" s="171"/>
      <c r="S10" s="171"/>
      <c r="T10" s="171"/>
      <c r="U10" s="171"/>
      <c r="V10" s="171"/>
      <c r="W10" s="171"/>
      <c r="X10" s="172"/>
      <c r="Y10" s="173" t="s">
        <v>151</v>
      </c>
      <c r="Z10" s="174"/>
      <c r="AA10" s="174"/>
      <c r="AB10" s="174"/>
      <c r="AC10" s="174"/>
      <c r="AD10" s="174"/>
      <c r="AE10" s="174"/>
      <c r="AF10" s="174"/>
      <c r="AG10" s="174"/>
      <c r="AH10" s="174"/>
      <c r="AI10" s="174"/>
      <c r="AJ10" s="174"/>
      <c r="AK10" s="174"/>
      <c r="AL10" s="174"/>
      <c r="AM10" s="175"/>
      <c r="AN10" s="173" t="s">
        <v>152</v>
      </c>
      <c r="AO10" s="174"/>
      <c r="AP10" s="174"/>
      <c r="AQ10" s="174"/>
      <c r="AR10" s="174"/>
      <c r="AS10" s="174"/>
      <c r="AT10" s="174"/>
      <c r="AU10" s="174"/>
      <c r="AV10" s="174"/>
      <c r="AW10" s="174"/>
      <c r="AX10" s="174"/>
      <c r="AY10" s="174"/>
      <c r="AZ10" s="175"/>
      <c r="BA10" s="170" t="s">
        <v>150</v>
      </c>
      <c r="BB10" s="171"/>
      <c r="BC10" s="171"/>
      <c r="BD10" s="171"/>
      <c r="BE10" s="171"/>
      <c r="BF10" s="171"/>
      <c r="BG10" s="171"/>
      <c r="BH10" s="171"/>
      <c r="BI10" s="171"/>
      <c r="BJ10" s="172"/>
      <c r="BK10" s="51"/>
    </row>
    <row r="11" spans="1:63" s="50" customFormat="1" ht="33" customHeight="1">
      <c r="A11" s="49"/>
      <c r="B11" s="176">
        <v>3</v>
      </c>
      <c r="C11" s="176"/>
      <c r="D11" s="179"/>
      <c r="E11" s="180"/>
      <c r="F11" s="180"/>
      <c r="G11" s="180"/>
      <c r="H11" s="180"/>
      <c r="I11" s="181"/>
      <c r="J11" s="151" t="s">
        <v>153</v>
      </c>
      <c r="K11" s="152"/>
      <c r="L11" s="152"/>
      <c r="M11" s="152"/>
      <c r="N11" s="152"/>
      <c r="O11" s="152"/>
      <c r="P11" s="153"/>
      <c r="Q11" s="170" t="s">
        <v>147</v>
      </c>
      <c r="R11" s="171"/>
      <c r="S11" s="171"/>
      <c r="T11" s="171"/>
      <c r="U11" s="171"/>
      <c r="V11" s="171"/>
      <c r="W11" s="171"/>
      <c r="X11" s="172"/>
      <c r="Y11" s="173" t="s">
        <v>154</v>
      </c>
      <c r="Z11" s="174"/>
      <c r="AA11" s="174"/>
      <c r="AB11" s="174"/>
      <c r="AC11" s="174"/>
      <c r="AD11" s="174"/>
      <c r="AE11" s="174"/>
      <c r="AF11" s="174"/>
      <c r="AG11" s="174"/>
      <c r="AH11" s="174"/>
      <c r="AI11" s="174"/>
      <c r="AJ11" s="174"/>
      <c r="AK11" s="174"/>
      <c r="AL11" s="174"/>
      <c r="AM11" s="175"/>
      <c r="AN11" s="170" t="s">
        <v>155</v>
      </c>
      <c r="AO11" s="171"/>
      <c r="AP11" s="171"/>
      <c r="AQ11" s="171"/>
      <c r="AR11" s="171"/>
      <c r="AS11" s="171"/>
      <c r="AT11" s="171"/>
      <c r="AU11" s="171"/>
      <c r="AV11" s="171"/>
      <c r="AW11" s="171"/>
      <c r="AX11" s="171"/>
      <c r="AY11" s="171"/>
      <c r="AZ11" s="172"/>
      <c r="BA11" s="170" t="s">
        <v>150</v>
      </c>
      <c r="BB11" s="171"/>
      <c r="BC11" s="171"/>
      <c r="BD11" s="171"/>
      <c r="BE11" s="171"/>
      <c r="BF11" s="171"/>
      <c r="BG11" s="171"/>
      <c r="BH11" s="171"/>
      <c r="BI11" s="171"/>
      <c r="BJ11" s="172"/>
      <c r="BK11" s="51"/>
    </row>
    <row r="12" spans="1:63" s="50" customFormat="1" ht="42" customHeight="1">
      <c r="A12" s="49"/>
      <c r="B12" s="176">
        <v>4</v>
      </c>
      <c r="C12" s="176"/>
      <c r="D12" s="182"/>
      <c r="E12" s="183"/>
      <c r="F12" s="183"/>
      <c r="G12" s="183"/>
      <c r="H12" s="183"/>
      <c r="I12" s="184"/>
      <c r="J12" s="157"/>
      <c r="K12" s="158"/>
      <c r="L12" s="158"/>
      <c r="M12" s="158"/>
      <c r="N12" s="158"/>
      <c r="O12" s="158"/>
      <c r="P12" s="159"/>
      <c r="Q12" s="170" t="s">
        <v>147</v>
      </c>
      <c r="R12" s="171"/>
      <c r="S12" s="171"/>
      <c r="T12" s="171"/>
      <c r="U12" s="171"/>
      <c r="V12" s="171"/>
      <c r="W12" s="171"/>
      <c r="X12" s="172"/>
      <c r="Y12" s="173" t="s">
        <v>156</v>
      </c>
      <c r="Z12" s="174"/>
      <c r="AA12" s="174"/>
      <c r="AB12" s="174"/>
      <c r="AC12" s="174"/>
      <c r="AD12" s="174"/>
      <c r="AE12" s="174"/>
      <c r="AF12" s="174"/>
      <c r="AG12" s="174"/>
      <c r="AH12" s="174"/>
      <c r="AI12" s="174"/>
      <c r="AJ12" s="174"/>
      <c r="AK12" s="174"/>
      <c r="AL12" s="174"/>
      <c r="AM12" s="175"/>
      <c r="AN12" s="173" t="s">
        <v>157</v>
      </c>
      <c r="AO12" s="174"/>
      <c r="AP12" s="174"/>
      <c r="AQ12" s="174"/>
      <c r="AR12" s="174"/>
      <c r="AS12" s="174"/>
      <c r="AT12" s="174"/>
      <c r="AU12" s="174"/>
      <c r="AV12" s="174"/>
      <c r="AW12" s="174"/>
      <c r="AX12" s="174"/>
      <c r="AY12" s="174"/>
      <c r="AZ12" s="175"/>
      <c r="BA12" s="170" t="s">
        <v>150</v>
      </c>
      <c r="BB12" s="171"/>
      <c r="BC12" s="171"/>
      <c r="BD12" s="171"/>
      <c r="BE12" s="171"/>
      <c r="BF12" s="171"/>
      <c r="BG12" s="171"/>
      <c r="BH12" s="171"/>
      <c r="BI12" s="171"/>
      <c r="BJ12" s="172"/>
      <c r="BK12" s="51"/>
    </row>
    <row r="13" spans="1:63" s="50" customFormat="1" ht="45.95" customHeight="1">
      <c r="A13" s="49"/>
      <c r="B13" s="176">
        <v>5</v>
      </c>
      <c r="C13" s="176"/>
      <c r="D13" s="179" t="s">
        <v>158</v>
      </c>
      <c r="E13" s="180"/>
      <c r="F13" s="180"/>
      <c r="G13" s="180"/>
      <c r="H13" s="180"/>
      <c r="I13" s="181"/>
      <c r="J13" s="179" t="s">
        <v>159</v>
      </c>
      <c r="K13" s="180"/>
      <c r="L13" s="180"/>
      <c r="M13" s="180"/>
      <c r="N13" s="180"/>
      <c r="O13" s="180"/>
      <c r="P13" s="181"/>
      <c r="Q13" s="170" t="s">
        <v>147</v>
      </c>
      <c r="R13" s="171"/>
      <c r="S13" s="171"/>
      <c r="T13" s="171"/>
      <c r="U13" s="171"/>
      <c r="V13" s="171"/>
      <c r="W13" s="171"/>
      <c r="X13" s="172"/>
      <c r="Y13" s="173" t="s">
        <v>160</v>
      </c>
      <c r="Z13" s="174"/>
      <c r="AA13" s="174"/>
      <c r="AB13" s="174"/>
      <c r="AC13" s="174"/>
      <c r="AD13" s="174"/>
      <c r="AE13" s="174"/>
      <c r="AF13" s="174"/>
      <c r="AG13" s="174"/>
      <c r="AH13" s="174"/>
      <c r="AI13" s="174"/>
      <c r="AJ13" s="174"/>
      <c r="AK13" s="174"/>
      <c r="AL13" s="174"/>
      <c r="AM13" s="175"/>
      <c r="AN13" s="173" t="s">
        <v>161</v>
      </c>
      <c r="AO13" s="174"/>
      <c r="AP13" s="174"/>
      <c r="AQ13" s="174"/>
      <c r="AR13" s="174"/>
      <c r="AS13" s="174"/>
      <c r="AT13" s="174"/>
      <c r="AU13" s="174"/>
      <c r="AV13" s="174"/>
      <c r="AW13" s="174"/>
      <c r="AX13" s="174"/>
      <c r="AY13" s="174"/>
      <c r="AZ13" s="175"/>
      <c r="BA13" s="170" t="s">
        <v>150</v>
      </c>
      <c r="BB13" s="171"/>
      <c r="BC13" s="171"/>
      <c r="BD13" s="171"/>
      <c r="BE13" s="171"/>
      <c r="BF13" s="171"/>
      <c r="BG13" s="171"/>
      <c r="BH13" s="171"/>
      <c r="BI13" s="171"/>
      <c r="BJ13" s="172"/>
      <c r="BK13" s="51"/>
    </row>
    <row r="14" spans="1:63" s="50" customFormat="1" ht="33.950000000000003" customHeight="1">
      <c r="A14" s="49"/>
      <c r="B14" s="176">
        <v>6</v>
      </c>
      <c r="C14" s="176"/>
      <c r="D14" s="182"/>
      <c r="E14" s="183"/>
      <c r="F14" s="183"/>
      <c r="G14" s="183"/>
      <c r="H14" s="183"/>
      <c r="I14" s="184"/>
      <c r="J14" s="182"/>
      <c r="K14" s="183"/>
      <c r="L14" s="183"/>
      <c r="M14" s="183"/>
      <c r="N14" s="183"/>
      <c r="O14" s="183"/>
      <c r="P14" s="184"/>
      <c r="Q14" s="170" t="s">
        <v>147</v>
      </c>
      <c r="R14" s="171"/>
      <c r="S14" s="171"/>
      <c r="T14" s="171"/>
      <c r="U14" s="171"/>
      <c r="V14" s="171"/>
      <c r="W14" s="171"/>
      <c r="X14" s="172"/>
      <c r="Y14" s="173" t="s">
        <v>162</v>
      </c>
      <c r="Z14" s="174"/>
      <c r="AA14" s="174"/>
      <c r="AB14" s="174"/>
      <c r="AC14" s="174"/>
      <c r="AD14" s="174"/>
      <c r="AE14" s="174"/>
      <c r="AF14" s="174"/>
      <c r="AG14" s="174"/>
      <c r="AH14" s="174"/>
      <c r="AI14" s="174"/>
      <c r="AJ14" s="174"/>
      <c r="AK14" s="174"/>
      <c r="AL14" s="174"/>
      <c r="AM14" s="175"/>
      <c r="AN14" s="173" t="s">
        <v>163</v>
      </c>
      <c r="AO14" s="174"/>
      <c r="AP14" s="174"/>
      <c r="AQ14" s="174"/>
      <c r="AR14" s="174"/>
      <c r="AS14" s="174"/>
      <c r="AT14" s="174"/>
      <c r="AU14" s="174"/>
      <c r="AV14" s="174"/>
      <c r="AW14" s="174"/>
      <c r="AX14" s="174"/>
      <c r="AY14" s="174"/>
      <c r="AZ14" s="175"/>
      <c r="BA14" s="170" t="s">
        <v>150</v>
      </c>
      <c r="BB14" s="171"/>
      <c r="BC14" s="171"/>
      <c r="BD14" s="171"/>
      <c r="BE14" s="171"/>
      <c r="BF14" s="171"/>
      <c r="BG14" s="171"/>
      <c r="BH14" s="171"/>
      <c r="BI14" s="171"/>
      <c r="BJ14" s="172"/>
      <c r="BK14" s="51"/>
    </row>
    <row r="15" spans="1:63" s="50" customFormat="1" ht="42.95" customHeight="1">
      <c r="A15" s="49"/>
      <c r="B15" s="176">
        <v>7</v>
      </c>
      <c r="C15" s="176"/>
      <c r="D15" s="168" t="s">
        <v>164</v>
      </c>
      <c r="E15" s="177"/>
      <c r="F15" s="177"/>
      <c r="G15" s="177"/>
      <c r="H15" s="177"/>
      <c r="I15" s="178"/>
      <c r="J15" s="168" t="s">
        <v>165</v>
      </c>
      <c r="K15" s="177"/>
      <c r="L15" s="177"/>
      <c r="M15" s="177"/>
      <c r="N15" s="177"/>
      <c r="O15" s="177"/>
      <c r="P15" s="178"/>
      <c r="Q15" s="170" t="s">
        <v>147</v>
      </c>
      <c r="R15" s="171"/>
      <c r="S15" s="171"/>
      <c r="T15" s="171"/>
      <c r="U15" s="171"/>
      <c r="V15" s="171"/>
      <c r="W15" s="171"/>
      <c r="X15" s="172"/>
      <c r="Y15" s="173" t="s">
        <v>166</v>
      </c>
      <c r="Z15" s="174"/>
      <c r="AA15" s="174"/>
      <c r="AB15" s="174"/>
      <c r="AC15" s="174"/>
      <c r="AD15" s="174"/>
      <c r="AE15" s="174"/>
      <c r="AF15" s="174"/>
      <c r="AG15" s="174"/>
      <c r="AH15" s="174"/>
      <c r="AI15" s="174"/>
      <c r="AJ15" s="174"/>
      <c r="AK15" s="174"/>
      <c r="AL15" s="174"/>
      <c r="AM15" s="175"/>
      <c r="AN15" s="173" t="s">
        <v>167</v>
      </c>
      <c r="AO15" s="174"/>
      <c r="AP15" s="174"/>
      <c r="AQ15" s="174"/>
      <c r="AR15" s="174"/>
      <c r="AS15" s="174"/>
      <c r="AT15" s="174"/>
      <c r="AU15" s="174"/>
      <c r="AV15" s="174"/>
      <c r="AW15" s="174"/>
      <c r="AX15" s="174"/>
      <c r="AY15" s="174"/>
      <c r="AZ15" s="175"/>
      <c r="BA15" s="170" t="s">
        <v>150</v>
      </c>
      <c r="BB15" s="171"/>
      <c r="BC15" s="171"/>
      <c r="BD15" s="171"/>
      <c r="BE15" s="171"/>
      <c r="BF15" s="171"/>
      <c r="BG15" s="171"/>
      <c r="BH15" s="171"/>
      <c r="BI15" s="171"/>
      <c r="BJ15" s="172"/>
      <c r="BK15" s="51"/>
    </row>
    <row r="16" spans="1:63" s="50" customFormat="1" ht="42" customHeight="1">
      <c r="A16" s="49"/>
      <c r="B16" s="176">
        <v>8</v>
      </c>
      <c r="C16" s="176"/>
      <c r="D16" s="182"/>
      <c r="E16" s="183"/>
      <c r="F16" s="183"/>
      <c r="G16" s="183"/>
      <c r="H16" s="183"/>
      <c r="I16" s="184"/>
      <c r="J16" s="182"/>
      <c r="K16" s="183"/>
      <c r="L16" s="183"/>
      <c r="M16" s="183"/>
      <c r="N16" s="183"/>
      <c r="O16" s="183"/>
      <c r="P16" s="184"/>
      <c r="Q16" s="170" t="s">
        <v>147</v>
      </c>
      <c r="R16" s="171"/>
      <c r="S16" s="171"/>
      <c r="T16" s="171"/>
      <c r="U16" s="171"/>
      <c r="V16" s="171"/>
      <c r="W16" s="171"/>
      <c r="X16" s="172"/>
      <c r="Y16" s="173" t="s">
        <v>168</v>
      </c>
      <c r="Z16" s="174"/>
      <c r="AA16" s="174"/>
      <c r="AB16" s="174"/>
      <c r="AC16" s="174"/>
      <c r="AD16" s="174"/>
      <c r="AE16" s="174"/>
      <c r="AF16" s="174"/>
      <c r="AG16" s="174"/>
      <c r="AH16" s="174"/>
      <c r="AI16" s="174"/>
      <c r="AJ16" s="174"/>
      <c r="AK16" s="174"/>
      <c r="AL16" s="174"/>
      <c r="AM16" s="175"/>
      <c r="AN16" s="173" t="s">
        <v>169</v>
      </c>
      <c r="AO16" s="174"/>
      <c r="AP16" s="174"/>
      <c r="AQ16" s="174"/>
      <c r="AR16" s="174"/>
      <c r="AS16" s="174"/>
      <c r="AT16" s="174"/>
      <c r="AU16" s="174"/>
      <c r="AV16" s="174"/>
      <c r="AW16" s="174"/>
      <c r="AX16" s="174"/>
      <c r="AY16" s="174"/>
      <c r="AZ16" s="175"/>
      <c r="BA16" s="170" t="s">
        <v>150</v>
      </c>
      <c r="BB16" s="171"/>
      <c r="BC16" s="171"/>
      <c r="BD16" s="171"/>
      <c r="BE16" s="171"/>
      <c r="BF16" s="171"/>
      <c r="BG16" s="171"/>
      <c r="BH16" s="171"/>
      <c r="BI16" s="171"/>
      <c r="BJ16" s="172"/>
      <c r="BK16" s="51"/>
    </row>
    <row r="17" spans="1:63" ht="15" customHeight="1">
      <c r="A17" s="18"/>
      <c r="BK17" s="19"/>
    </row>
    <row r="18" spans="1:63" ht="15" customHeight="1">
      <c r="A18" s="18"/>
      <c r="BK18" s="19"/>
    </row>
    <row r="19" spans="1:63" ht="15" customHeight="1">
      <c r="A19" s="18"/>
      <c r="BK19" s="19"/>
    </row>
    <row r="20" spans="1:63" ht="15" customHeight="1">
      <c r="A20" s="18"/>
      <c r="BK20" s="19"/>
    </row>
    <row r="21" spans="1:63" ht="15" customHeight="1">
      <c r="A21" s="18"/>
      <c r="BK21" s="19"/>
    </row>
    <row r="22" spans="1:63" ht="15" customHeight="1">
      <c r="A22" s="18"/>
      <c r="BK22" s="19"/>
    </row>
    <row r="23" spans="1:63" ht="15" customHeight="1">
      <c r="A23" s="18"/>
      <c r="BK23" s="19"/>
    </row>
    <row r="24" spans="1:63" ht="15" customHeight="1">
      <c r="A24" s="18"/>
      <c r="BK24" s="19"/>
    </row>
    <row r="25" spans="1:63" ht="15" customHeight="1">
      <c r="A25" s="18"/>
      <c r="BK25" s="19"/>
    </row>
    <row r="26" spans="1:63" ht="15" customHeight="1">
      <c r="A26" s="15"/>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7"/>
    </row>
  </sheetData>
  <mergeCells count="74">
    <mergeCell ref="D13:I14"/>
    <mergeCell ref="J13:P14"/>
    <mergeCell ref="D15:I16"/>
    <mergeCell ref="J15:P16"/>
    <mergeCell ref="B16:C16"/>
    <mergeCell ref="B14:C14"/>
    <mergeCell ref="Q16:X16"/>
    <mergeCell ref="Y16:AM16"/>
    <mergeCell ref="B15:C15"/>
    <mergeCell ref="Q15:X15"/>
    <mergeCell ref="Y15:AM15"/>
    <mergeCell ref="Q14:X14"/>
    <mergeCell ref="Y14:AM14"/>
    <mergeCell ref="B13:C13"/>
    <mergeCell ref="Q13:X13"/>
    <mergeCell ref="BC1:BG1"/>
    <mergeCell ref="A4:G4"/>
    <mergeCell ref="H4:T4"/>
    <mergeCell ref="U4:Y4"/>
    <mergeCell ref="Z4:AO4"/>
    <mergeCell ref="B8:C8"/>
    <mergeCell ref="D8:I8"/>
    <mergeCell ref="B10:C10"/>
    <mergeCell ref="AP4:BK4"/>
    <mergeCell ref="B12:C12"/>
    <mergeCell ref="B11:C11"/>
    <mergeCell ref="Q10:X10"/>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Q11:X11"/>
    <mergeCell ref="Y10:AM10"/>
    <mergeCell ref="Y11:AM11"/>
    <mergeCell ref="D9:I12"/>
    <mergeCell ref="J9:P10"/>
    <mergeCell ref="J11:P12"/>
    <mergeCell ref="Q12:X12"/>
    <mergeCell ref="Y12:AM12"/>
    <mergeCell ref="B9:C9"/>
    <mergeCell ref="J8:P8"/>
    <mergeCell ref="Q8:X8"/>
    <mergeCell ref="Q9:X9"/>
    <mergeCell ref="Y8:AM8"/>
    <mergeCell ref="Y9:AM9"/>
    <mergeCell ref="Y13:AM13"/>
    <mergeCell ref="AN8:AZ8"/>
    <mergeCell ref="AN9:AZ9"/>
    <mergeCell ref="AN10:AZ10"/>
    <mergeCell ref="AN11:AZ11"/>
    <mergeCell ref="AN12:AZ12"/>
    <mergeCell ref="AN13:AZ13"/>
    <mergeCell ref="BA8:BJ8"/>
    <mergeCell ref="BA9:BJ9"/>
    <mergeCell ref="BA10:BJ10"/>
    <mergeCell ref="BA11:BJ11"/>
    <mergeCell ref="BA12:BJ12"/>
    <mergeCell ref="BA16:BJ16"/>
    <mergeCell ref="BA13:BJ13"/>
    <mergeCell ref="BA14:BJ14"/>
    <mergeCell ref="AN16:AZ16"/>
    <mergeCell ref="AN15:AZ15"/>
    <mergeCell ref="AN14:AZ14"/>
    <mergeCell ref="BA15:BJ15"/>
  </mergeCells>
  <printOptions horizontalCentered="1" verticalCentered="1"/>
  <pageMargins left="0.59055118110236204" right="0.59055118110236204" top="0.39370078740157499" bottom="0.39370078740157499" header="0.31496062992126" footer="0.31496062992126"/>
  <pageSetup paperSize="9" scale="63" orientation="landscape" r:id="rId1"/>
  <headerFooter>
    <oddHeader>&amp;R&amp;F</oddHeader>
    <oddFooter>&amp;C&amp;P / &amp;N ページ</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E31E4-1747-4E51-8EF0-026A18E564F8}">
  <sheetPr>
    <pageSetUpPr fitToPage="1"/>
  </sheetPr>
  <dimension ref="A1:BK32"/>
  <sheetViews>
    <sheetView view="pageBreakPreview" zoomScale="91" zoomScaleNormal="75" zoomScaleSheetLayoutView="100" workbookViewId="0">
      <selection activeCell="BQ11" sqref="BQ11"/>
    </sheetView>
  </sheetViews>
  <sheetFormatPr defaultColWidth="2.33203125" defaultRowHeight="15" customHeight="1"/>
  <cols>
    <col min="62" max="62" width="16.33203125" customWidth="1"/>
  </cols>
  <sheetData>
    <row r="1" spans="1:63" ht="24.95" customHeight="1">
      <c r="A1" s="70" t="s">
        <v>0</v>
      </c>
      <c r="B1" s="71"/>
      <c r="C1" s="71"/>
      <c r="D1" s="71"/>
      <c r="E1" s="71"/>
      <c r="F1" s="71"/>
      <c r="G1" s="71"/>
      <c r="H1" s="71"/>
      <c r="I1" s="71"/>
      <c r="J1" s="72"/>
      <c r="K1" s="70" t="s">
        <v>1</v>
      </c>
      <c r="L1" s="71"/>
      <c r="M1" s="71"/>
      <c r="N1" s="71"/>
      <c r="O1" s="71"/>
      <c r="P1" s="71"/>
      <c r="Q1" s="71"/>
      <c r="R1" s="71"/>
      <c r="S1" s="71"/>
      <c r="T1" s="71"/>
      <c r="U1" s="71"/>
      <c r="V1" s="72"/>
      <c r="W1" s="90" t="e">
        <f ca="1">IF( che [11]phủ!W1="","", che [11]phủ!W1)</f>
        <v>#NAME?</v>
      </c>
      <c r="X1" s="91"/>
      <c r="Y1" s="91"/>
      <c r="Z1" s="91"/>
      <c r="AA1" s="91"/>
      <c r="AB1" s="91"/>
      <c r="AC1" s="91"/>
      <c r="AD1" s="91"/>
      <c r="AE1" s="91"/>
      <c r="AF1" s="91"/>
      <c r="AG1" s="91"/>
      <c r="AH1" s="91"/>
      <c r="AI1" s="91"/>
      <c r="AJ1" s="91"/>
      <c r="AK1" s="91"/>
      <c r="AL1" s="91"/>
      <c r="AM1" s="91"/>
      <c r="AN1" s="91"/>
      <c r="AO1" s="92"/>
      <c r="AP1" s="70" t="s">
        <v>3</v>
      </c>
      <c r="AQ1" s="71"/>
      <c r="AR1" s="71"/>
      <c r="AS1" s="72"/>
      <c r="AT1" s="70" t="s">
        <v>4</v>
      </c>
      <c r="AU1" s="71"/>
      <c r="AV1" s="71"/>
      <c r="AW1" s="71"/>
      <c r="AX1" s="72"/>
      <c r="AY1" s="70" t="s">
        <v>5</v>
      </c>
      <c r="AZ1" s="71"/>
      <c r="BA1" s="71"/>
      <c r="BB1" s="72"/>
      <c r="BC1" s="70" t="s">
        <v>6</v>
      </c>
      <c r="BD1" s="71"/>
      <c r="BE1" s="71"/>
      <c r="BF1" s="71"/>
      <c r="BG1" s="72"/>
      <c r="BH1" s="70" t="s">
        <v>7</v>
      </c>
      <c r="BI1" s="71"/>
      <c r="BJ1" s="71"/>
      <c r="BK1" s="72"/>
    </row>
    <row r="2" spans="1:63" ht="15" customHeight="1">
      <c r="A2" s="55" t="e">
        <f ca="1">IF( che [11]phủ!A2="","", che [11]phủ!A2)</f>
        <v>#NAME?</v>
      </c>
      <c r="B2" s="56"/>
      <c r="C2" s="56"/>
      <c r="D2" s="56"/>
      <c r="E2" s="56"/>
      <c r="F2" s="56"/>
      <c r="G2" s="56"/>
      <c r="H2" s="56"/>
      <c r="I2" s="56"/>
      <c r="J2" s="57"/>
      <c r="K2" s="55" t="e">
        <f ca="1">IF( che [11]phủ!K2="","", che [11]phủ!K2)</f>
        <v>#NAME?</v>
      </c>
      <c r="L2" s="56"/>
      <c r="M2" s="56"/>
      <c r="N2" s="56"/>
      <c r="O2" s="56"/>
      <c r="P2" s="56"/>
      <c r="Q2" s="56"/>
      <c r="R2" s="56"/>
      <c r="S2" s="56"/>
      <c r="T2" s="56"/>
      <c r="U2" s="56"/>
      <c r="V2" s="57"/>
      <c r="W2" s="93"/>
      <c r="X2" s="94"/>
      <c r="Y2" s="94"/>
      <c r="Z2" s="94"/>
      <c r="AA2" s="94"/>
      <c r="AB2" s="94"/>
      <c r="AC2" s="94"/>
      <c r="AD2" s="94"/>
      <c r="AE2" s="94"/>
      <c r="AF2" s="94"/>
      <c r="AG2" s="94"/>
      <c r="AH2" s="94"/>
      <c r="AI2" s="94"/>
      <c r="AJ2" s="94"/>
      <c r="AK2" s="94"/>
      <c r="AL2" s="94"/>
      <c r="AM2" s="94"/>
      <c r="AN2" s="94"/>
      <c r="AO2" s="95"/>
      <c r="AP2" s="55" t="e">
        <f ca="1">IF( che [11]phủ!AP2="","", che [11]phủ!AP2)</f>
        <v>#NAME?</v>
      </c>
      <c r="AQ2" s="56"/>
      <c r="AR2" s="56"/>
      <c r="AS2" s="57"/>
      <c r="AT2" s="84" t="e">
        <f ca="1">IF( che [11]phủ!AT2="","", che [11]phủ!AT2)</f>
        <v>#NAME?</v>
      </c>
      <c r="AU2" s="85"/>
      <c r="AV2" s="85"/>
      <c r="AW2" s="85"/>
      <c r="AX2" s="86"/>
      <c r="AY2" s="55" t="e">
        <f ca="1">IF( che [11]phủ!AY2="","", che [11]phủ!AY2)</f>
        <v>#NAME?</v>
      </c>
      <c r="AZ2" s="56"/>
      <c r="BA2" s="56"/>
      <c r="BB2" s="57"/>
      <c r="BC2" s="84" t="e">
        <f ca="1">IF( che [11]phủ!BC2="","", che [11]phủ!BC2)</f>
        <v>#NAME?</v>
      </c>
      <c r="BD2" s="85"/>
      <c r="BE2" s="85"/>
      <c r="BF2" s="85"/>
      <c r="BG2" s="86"/>
      <c r="BH2" s="55" t="e">
        <f ca="1">IF( che [11]phủ!BH2="","", che [11]phủ!BH2)</f>
        <v>#NAME?</v>
      </c>
      <c r="BI2" s="56"/>
      <c r="BJ2" s="56"/>
      <c r="BK2" s="57"/>
    </row>
    <row r="3" spans="1:63" ht="15" customHeight="1">
      <c r="A3" s="61"/>
      <c r="B3" s="62"/>
      <c r="C3" s="62"/>
      <c r="D3" s="62"/>
      <c r="E3" s="62"/>
      <c r="F3" s="62"/>
      <c r="G3" s="62"/>
      <c r="H3" s="62"/>
      <c r="I3" s="62"/>
      <c r="J3" s="63"/>
      <c r="K3" s="61"/>
      <c r="L3" s="62"/>
      <c r="M3" s="62"/>
      <c r="N3" s="62"/>
      <c r="O3" s="62"/>
      <c r="P3" s="62"/>
      <c r="Q3" s="62"/>
      <c r="R3" s="62"/>
      <c r="S3" s="62"/>
      <c r="T3" s="62"/>
      <c r="U3" s="62"/>
      <c r="V3" s="63"/>
      <c r="W3" s="96"/>
      <c r="X3" s="97"/>
      <c r="Y3" s="97"/>
      <c r="Z3" s="97"/>
      <c r="AA3" s="97"/>
      <c r="AB3" s="97"/>
      <c r="AC3" s="97"/>
      <c r="AD3" s="97"/>
      <c r="AE3" s="97"/>
      <c r="AF3" s="97"/>
      <c r="AG3" s="97"/>
      <c r="AH3" s="97"/>
      <c r="AI3" s="97"/>
      <c r="AJ3" s="97"/>
      <c r="AK3" s="97"/>
      <c r="AL3" s="97"/>
      <c r="AM3" s="97"/>
      <c r="AN3" s="97"/>
      <c r="AO3" s="98"/>
      <c r="AP3" s="61"/>
      <c r="AQ3" s="62"/>
      <c r="AR3" s="62"/>
      <c r="AS3" s="63"/>
      <c r="AT3" s="87"/>
      <c r="AU3" s="88"/>
      <c r="AV3" s="88"/>
      <c r="AW3" s="88"/>
      <c r="AX3" s="89"/>
      <c r="AY3" s="61"/>
      <c r="AZ3" s="62"/>
      <c r="BA3" s="62"/>
      <c r="BB3" s="63"/>
      <c r="BC3" s="87"/>
      <c r="BD3" s="88"/>
      <c r="BE3" s="88"/>
      <c r="BF3" s="88"/>
      <c r="BG3" s="89"/>
      <c r="BH3" s="61"/>
      <c r="BI3" s="62"/>
      <c r="BJ3" s="62"/>
      <c r="BK3" s="63"/>
    </row>
    <row r="4" spans="1:63" ht="24.95" customHeight="1">
      <c r="A4" s="70" t="s">
        <v>10</v>
      </c>
      <c r="B4" s="71"/>
      <c r="C4" s="71"/>
      <c r="D4" s="71"/>
      <c r="E4" s="71"/>
      <c r="F4" s="71"/>
      <c r="G4" s="72"/>
      <c r="H4" s="75" t="e">
        <f ca="1">IF( che [11]phủ!H4="","", che [11]phủ!H4)</f>
        <v>#NAME?</v>
      </c>
      <c r="I4" s="76"/>
      <c r="J4" s="76"/>
      <c r="K4" s="76"/>
      <c r="L4" s="76"/>
      <c r="M4" s="76"/>
      <c r="N4" s="76"/>
      <c r="O4" s="76"/>
      <c r="P4" s="76"/>
      <c r="Q4" s="76"/>
      <c r="R4" s="76"/>
      <c r="S4" s="76"/>
      <c r="T4" s="77"/>
      <c r="U4" s="70" t="s">
        <v>12</v>
      </c>
      <c r="V4" s="71"/>
      <c r="W4" s="71"/>
      <c r="X4" s="71"/>
      <c r="Y4" s="72"/>
      <c r="Z4" s="75" t="e">
        <f ca="1">IF( che [11]phủ!Z4="","", che [11]phủ!Z4)</f>
        <v>#NAME?</v>
      </c>
      <c r="AA4" s="76"/>
      <c r="AB4" s="76"/>
      <c r="AC4" s="76"/>
      <c r="AD4" s="76"/>
      <c r="AE4" s="76"/>
      <c r="AF4" s="76"/>
      <c r="AG4" s="76"/>
      <c r="AH4" s="76"/>
      <c r="AI4" s="76"/>
      <c r="AJ4" s="76"/>
      <c r="AK4" s="76"/>
      <c r="AL4" s="76"/>
      <c r="AM4" s="76"/>
      <c r="AN4" s="76"/>
      <c r="AO4" s="77"/>
      <c r="AP4" s="75" t="e" cm="1">
        <f t="array" aca="1" ref="AP4" ca="1">RIGHT(CELL("filename",$A$1),LEN(CELL("filename",$A$1))-FIND("]",CELL("filename",$A$1)))</f>
        <v>#VALUE!</v>
      </c>
      <c r="AQ4" s="76"/>
      <c r="AR4" s="76"/>
      <c r="AS4" s="76"/>
      <c r="AT4" s="76"/>
      <c r="AU4" s="76"/>
      <c r="AV4" s="76"/>
      <c r="AW4" s="76"/>
      <c r="AX4" s="76"/>
      <c r="AY4" s="76"/>
      <c r="AZ4" s="76"/>
      <c r="BA4" s="76"/>
      <c r="BB4" s="76"/>
      <c r="BC4" s="76"/>
      <c r="BD4" s="76"/>
      <c r="BE4" s="76"/>
      <c r="BF4" s="76"/>
      <c r="BG4" s="76"/>
      <c r="BH4" s="76"/>
      <c r="BI4" s="76"/>
      <c r="BJ4" s="76"/>
      <c r="BK4" s="77"/>
    </row>
    <row r="5" spans="1:63" ht="5.0999999999999996" customHeight="1">
      <c r="A5" s="15"/>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7"/>
    </row>
    <row r="6" spans="1:63" ht="15" customHeight="1">
      <c r="A6" s="18"/>
      <c r="BK6" s="19"/>
    </row>
    <row r="7" spans="1:63" ht="15" customHeight="1">
      <c r="A7" s="18" t="s">
        <v>138</v>
      </c>
      <c r="BK7" s="19"/>
    </row>
    <row r="8" spans="1:63" ht="15" customHeight="1">
      <c r="A8" s="18"/>
      <c r="B8" s="186" t="s">
        <v>60</v>
      </c>
      <c r="C8" s="186"/>
      <c r="D8" s="186" t="s">
        <v>139</v>
      </c>
      <c r="E8" s="186"/>
      <c r="F8" s="186"/>
      <c r="G8" s="186"/>
      <c r="H8" s="186"/>
      <c r="I8" s="186"/>
      <c r="J8" s="187" t="s">
        <v>140</v>
      </c>
      <c r="K8" s="188"/>
      <c r="L8" s="188"/>
      <c r="M8" s="188"/>
      <c r="N8" s="188"/>
      <c r="O8" s="188"/>
      <c r="P8" s="189"/>
      <c r="Q8" s="165" t="s">
        <v>141</v>
      </c>
      <c r="R8" s="166"/>
      <c r="S8" s="166"/>
      <c r="T8" s="166"/>
      <c r="U8" s="166"/>
      <c r="V8" s="166"/>
      <c r="W8" s="166"/>
      <c r="X8" s="167"/>
      <c r="Y8" s="165" t="s">
        <v>142</v>
      </c>
      <c r="Z8" s="166"/>
      <c r="AA8" s="166"/>
      <c r="AB8" s="166"/>
      <c r="AC8" s="166"/>
      <c r="AD8" s="166"/>
      <c r="AE8" s="166"/>
      <c r="AF8" s="166"/>
      <c r="AG8" s="166"/>
      <c r="AH8" s="166"/>
      <c r="AI8" s="166"/>
      <c r="AJ8" s="166"/>
      <c r="AK8" s="166"/>
      <c r="AL8" s="166"/>
      <c r="AM8" s="167"/>
      <c r="AN8" s="165" t="s">
        <v>143</v>
      </c>
      <c r="AO8" s="166"/>
      <c r="AP8" s="166"/>
      <c r="AQ8" s="166"/>
      <c r="AR8" s="166"/>
      <c r="AS8" s="166"/>
      <c r="AT8" s="166"/>
      <c r="AU8" s="166"/>
      <c r="AV8" s="166"/>
      <c r="AW8" s="166"/>
      <c r="AX8" s="166"/>
      <c r="AY8" s="166"/>
      <c r="AZ8" s="167"/>
      <c r="BA8" s="165" t="s">
        <v>144</v>
      </c>
      <c r="BB8" s="166"/>
      <c r="BC8" s="166"/>
      <c r="BD8" s="166"/>
      <c r="BE8" s="166"/>
      <c r="BF8" s="166"/>
      <c r="BG8" s="166"/>
      <c r="BH8" s="166"/>
      <c r="BI8" s="166"/>
      <c r="BJ8" s="167"/>
      <c r="BK8" s="19"/>
    </row>
    <row r="9" spans="1:63" s="50" customFormat="1" ht="119.25" customHeight="1">
      <c r="A9" s="49"/>
      <c r="B9" s="185">
        <v>1</v>
      </c>
      <c r="C9" s="185"/>
      <c r="D9" s="190" t="s">
        <v>170</v>
      </c>
      <c r="E9" s="191"/>
      <c r="F9" s="191"/>
      <c r="G9" s="191"/>
      <c r="H9" s="191"/>
      <c r="I9" s="192"/>
      <c r="J9" s="198" t="s">
        <v>146</v>
      </c>
      <c r="K9" s="199"/>
      <c r="L9" s="199"/>
      <c r="M9" s="199"/>
      <c r="N9" s="199"/>
      <c r="O9" s="199"/>
      <c r="P9" s="200"/>
      <c r="Q9" s="171" t="s">
        <v>171</v>
      </c>
      <c r="R9" s="171"/>
      <c r="S9" s="171"/>
      <c r="T9" s="171"/>
      <c r="U9" s="171"/>
      <c r="V9" s="171"/>
      <c r="W9" s="171"/>
      <c r="X9" s="172"/>
      <c r="Y9" s="173" t="s">
        <v>172</v>
      </c>
      <c r="Z9" s="174"/>
      <c r="AA9" s="174"/>
      <c r="AB9" s="174"/>
      <c r="AC9" s="174"/>
      <c r="AD9" s="174"/>
      <c r="AE9" s="174"/>
      <c r="AF9" s="174"/>
      <c r="AG9" s="174"/>
      <c r="AH9" s="174"/>
      <c r="AI9" s="174"/>
      <c r="AJ9" s="174"/>
      <c r="AK9" s="174"/>
      <c r="AL9" s="174"/>
      <c r="AM9" s="175"/>
      <c r="AN9" s="173" t="s">
        <v>173</v>
      </c>
      <c r="AO9" s="174"/>
      <c r="AP9" s="174"/>
      <c r="AQ9" s="174"/>
      <c r="AR9" s="174"/>
      <c r="AS9" s="174"/>
      <c r="AT9" s="174"/>
      <c r="AU9" s="174"/>
      <c r="AV9" s="174"/>
      <c r="AW9" s="174"/>
      <c r="AX9" s="174"/>
      <c r="AY9" s="174"/>
      <c r="AZ9" s="175"/>
      <c r="BA9" s="173" t="s">
        <v>174</v>
      </c>
      <c r="BB9" s="171"/>
      <c r="BC9" s="171"/>
      <c r="BD9" s="171"/>
      <c r="BE9" s="171"/>
      <c r="BF9" s="171"/>
      <c r="BG9" s="171"/>
      <c r="BH9" s="171"/>
      <c r="BI9" s="171"/>
      <c r="BJ9" s="172"/>
      <c r="BK9" s="51"/>
    </row>
    <row r="10" spans="1:63" s="50" customFormat="1" ht="120.75" customHeight="1">
      <c r="A10" s="49"/>
      <c r="B10" s="185">
        <v>2</v>
      </c>
      <c r="C10" s="185"/>
      <c r="D10" s="193"/>
      <c r="E10" s="180"/>
      <c r="F10" s="180"/>
      <c r="G10" s="180"/>
      <c r="H10" s="180"/>
      <c r="I10" s="194"/>
      <c r="J10" s="216"/>
      <c r="K10" s="155"/>
      <c r="L10" s="155"/>
      <c r="M10" s="155"/>
      <c r="N10" s="155"/>
      <c r="O10" s="155"/>
      <c r="P10" s="217"/>
      <c r="Q10" s="171" t="s">
        <v>171</v>
      </c>
      <c r="R10" s="171"/>
      <c r="S10" s="171"/>
      <c r="T10" s="171"/>
      <c r="U10" s="171"/>
      <c r="V10" s="171"/>
      <c r="W10" s="171"/>
      <c r="X10" s="172"/>
      <c r="Y10" s="173" t="s">
        <v>175</v>
      </c>
      <c r="Z10" s="174"/>
      <c r="AA10" s="174"/>
      <c r="AB10" s="174"/>
      <c r="AC10" s="174"/>
      <c r="AD10" s="174"/>
      <c r="AE10" s="174"/>
      <c r="AF10" s="174"/>
      <c r="AG10" s="174"/>
      <c r="AH10" s="174"/>
      <c r="AI10" s="174"/>
      <c r="AJ10" s="174"/>
      <c r="AK10" s="174"/>
      <c r="AL10" s="174"/>
      <c r="AM10" s="175"/>
      <c r="AN10" s="173" t="s">
        <v>173</v>
      </c>
      <c r="AO10" s="174"/>
      <c r="AP10" s="174"/>
      <c r="AQ10" s="174"/>
      <c r="AR10" s="174"/>
      <c r="AS10" s="174"/>
      <c r="AT10" s="174"/>
      <c r="AU10" s="174"/>
      <c r="AV10" s="174"/>
      <c r="AW10" s="174"/>
      <c r="AX10" s="174"/>
      <c r="AY10" s="174"/>
      <c r="AZ10" s="175"/>
      <c r="BA10" s="173" t="s">
        <v>176</v>
      </c>
      <c r="BB10" s="171"/>
      <c r="BC10" s="171"/>
      <c r="BD10" s="171"/>
      <c r="BE10" s="171"/>
      <c r="BF10" s="171"/>
      <c r="BG10" s="171"/>
      <c r="BH10" s="171"/>
      <c r="BI10" s="171"/>
      <c r="BJ10" s="172"/>
      <c r="BK10" s="51"/>
    </row>
    <row r="11" spans="1:63" s="50" customFormat="1" ht="122.25" customHeight="1">
      <c r="A11" s="49"/>
      <c r="B11" s="185">
        <v>3</v>
      </c>
      <c r="C11" s="185"/>
      <c r="D11" s="193"/>
      <c r="E11" s="180"/>
      <c r="F11" s="180"/>
      <c r="G11" s="180"/>
      <c r="H11" s="180"/>
      <c r="I11" s="194"/>
      <c r="J11" s="216"/>
      <c r="K11" s="155"/>
      <c r="L11" s="155"/>
      <c r="M11" s="155"/>
      <c r="N11" s="155"/>
      <c r="O11" s="155"/>
      <c r="P11" s="217"/>
      <c r="Q11" s="171" t="s">
        <v>171</v>
      </c>
      <c r="R11" s="171"/>
      <c r="S11" s="171"/>
      <c r="T11" s="171"/>
      <c r="U11" s="171"/>
      <c r="V11" s="171"/>
      <c r="W11" s="171"/>
      <c r="X11" s="172"/>
      <c r="Y11" s="173" t="s">
        <v>177</v>
      </c>
      <c r="Z11" s="174"/>
      <c r="AA11" s="174"/>
      <c r="AB11" s="174"/>
      <c r="AC11" s="174"/>
      <c r="AD11" s="174"/>
      <c r="AE11" s="174"/>
      <c r="AF11" s="174"/>
      <c r="AG11" s="174"/>
      <c r="AH11" s="174"/>
      <c r="AI11" s="174"/>
      <c r="AJ11" s="174"/>
      <c r="AK11" s="174"/>
      <c r="AL11" s="174"/>
      <c r="AM11" s="175"/>
      <c r="AN11" s="173" t="s">
        <v>178</v>
      </c>
      <c r="AO11" s="174"/>
      <c r="AP11" s="174"/>
      <c r="AQ11" s="174"/>
      <c r="AR11" s="174"/>
      <c r="AS11" s="174"/>
      <c r="AT11" s="174"/>
      <c r="AU11" s="174"/>
      <c r="AV11" s="174"/>
      <c r="AW11" s="174"/>
      <c r="AX11" s="174"/>
      <c r="AY11" s="174"/>
      <c r="AZ11" s="175"/>
      <c r="BA11" s="173" t="s">
        <v>179</v>
      </c>
      <c r="BB11" s="171"/>
      <c r="BC11" s="171"/>
      <c r="BD11" s="171"/>
      <c r="BE11" s="171"/>
      <c r="BF11" s="171"/>
      <c r="BG11" s="171"/>
      <c r="BH11" s="171"/>
      <c r="BI11" s="171"/>
      <c r="BJ11" s="172"/>
      <c r="BK11" s="51"/>
    </row>
    <row r="12" spans="1:63" s="50" customFormat="1" ht="126" customHeight="1">
      <c r="A12" s="49"/>
      <c r="B12" s="185">
        <v>4</v>
      </c>
      <c r="C12" s="185"/>
      <c r="D12" s="193"/>
      <c r="E12" s="180"/>
      <c r="F12" s="180"/>
      <c r="G12" s="180"/>
      <c r="H12" s="180"/>
      <c r="I12" s="194"/>
      <c r="J12" s="216"/>
      <c r="K12" s="155"/>
      <c r="L12" s="155"/>
      <c r="M12" s="155"/>
      <c r="N12" s="155"/>
      <c r="O12" s="155"/>
      <c r="P12" s="217"/>
      <c r="Q12" s="171" t="s">
        <v>171</v>
      </c>
      <c r="R12" s="171"/>
      <c r="S12" s="171"/>
      <c r="T12" s="171"/>
      <c r="U12" s="171"/>
      <c r="V12" s="171"/>
      <c r="W12" s="171"/>
      <c r="X12" s="172"/>
      <c r="Y12" s="173" t="s">
        <v>180</v>
      </c>
      <c r="Z12" s="174"/>
      <c r="AA12" s="174"/>
      <c r="AB12" s="174"/>
      <c r="AC12" s="174"/>
      <c r="AD12" s="174"/>
      <c r="AE12" s="174"/>
      <c r="AF12" s="174"/>
      <c r="AG12" s="174"/>
      <c r="AH12" s="174"/>
      <c r="AI12" s="174"/>
      <c r="AJ12" s="174"/>
      <c r="AK12" s="174"/>
      <c r="AL12" s="174"/>
      <c r="AM12" s="175"/>
      <c r="AN12" s="173" t="s">
        <v>181</v>
      </c>
      <c r="AO12" s="174"/>
      <c r="AP12" s="174"/>
      <c r="AQ12" s="174"/>
      <c r="AR12" s="174"/>
      <c r="AS12" s="174"/>
      <c r="AT12" s="174"/>
      <c r="AU12" s="174"/>
      <c r="AV12" s="174"/>
      <c r="AW12" s="174"/>
      <c r="AX12" s="174"/>
      <c r="AY12" s="174"/>
      <c r="AZ12" s="175"/>
      <c r="BA12" s="173" t="s">
        <v>182</v>
      </c>
      <c r="BB12" s="171"/>
      <c r="BC12" s="171"/>
      <c r="BD12" s="171"/>
      <c r="BE12" s="171"/>
      <c r="BF12" s="171"/>
      <c r="BG12" s="171"/>
      <c r="BH12" s="171"/>
      <c r="BI12" s="171"/>
      <c r="BJ12" s="172"/>
      <c r="BK12" s="51"/>
    </row>
    <row r="13" spans="1:63" s="50" customFormat="1" ht="126" customHeight="1">
      <c r="A13" s="49"/>
      <c r="B13" s="185">
        <v>5</v>
      </c>
      <c r="C13" s="185"/>
      <c r="D13" s="193"/>
      <c r="E13" s="180"/>
      <c r="F13" s="180"/>
      <c r="G13" s="180"/>
      <c r="H13" s="180"/>
      <c r="I13" s="194"/>
      <c r="J13" s="201"/>
      <c r="K13" s="202"/>
      <c r="L13" s="202"/>
      <c r="M13" s="202"/>
      <c r="N13" s="202"/>
      <c r="O13" s="202"/>
      <c r="P13" s="203"/>
      <c r="Q13" s="171" t="s">
        <v>171</v>
      </c>
      <c r="R13" s="171"/>
      <c r="S13" s="171"/>
      <c r="T13" s="171"/>
      <c r="U13" s="171"/>
      <c r="V13" s="171"/>
      <c r="W13" s="171"/>
      <c r="X13" s="172"/>
      <c r="Y13" s="173" t="s">
        <v>183</v>
      </c>
      <c r="Z13" s="174"/>
      <c r="AA13" s="174"/>
      <c r="AB13" s="174"/>
      <c r="AC13" s="174"/>
      <c r="AD13" s="174"/>
      <c r="AE13" s="174"/>
      <c r="AF13" s="174"/>
      <c r="AG13" s="174"/>
      <c r="AH13" s="174"/>
      <c r="AI13" s="174"/>
      <c r="AJ13" s="174"/>
      <c r="AK13" s="174"/>
      <c r="AL13" s="174"/>
      <c r="AM13" s="175"/>
      <c r="AN13" s="173" t="s">
        <v>184</v>
      </c>
      <c r="AO13" s="174"/>
      <c r="AP13" s="174"/>
      <c r="AQ13" s="174"/>
      <c r="AR13" s="174"/>
      <c r="AS13" s="174"/>
      <c r="AT13" s="174"/>
      <c r="AU13" s="174"/>
      <c r="AV13" s="174"/>
      <c r="AW13" s="174"/>
      <c r="AX13" s="174"/>
      <c r="AY13" s="174"/>
      <c r="AZ13" s="175"/>
      <c r="BA13" s="173" t="s">
        <v>182</v>
      </c>
      <c r="BB13" s="171"/>
      <c r="BC13" s="171"/>
      <c r="BD13" s="171"/>
      <c r="BE13" s="171"/>
      <c r="BF13" s="171"/>
      <c r="BG13" s="171"/>
      <c r="BH13" s="171"/>
      <c r="BI13" s="171"/>
      <c r="BJ13" s="172"/>
      <c r="BK13" s="51"/>
    </row>
    <row r="14" spans="1:63" s="50" customFormat="1" ht="131.25" customHeight="1">
      <c r="A14" s="49"/>
      <c r="B14" s="185">
        <v>6</v>
      </c>
      <c r="C14" s="185"/>
      <c r="D14" s="193"/>
      <c r="E14" s="180"/>
      <c r="F14" s="180"/>
      <c r="G14" s="180"/>
      <c r="H14" s="180"/>
      <c r="I14" s="194"/>
      <c r="J14" s="204" t="s">
        <v>153</v>
      </c>
      <c r="K14" s="204"/>
      <c r="L14" s="204"/>
      <c r="M14" s="204"/>
      <c r="N14" s="204"/>
      <c r="O14" s="204"/>
      <c r="P14" s="204"/>
      <c r="Q14" s="171" t="s">
        <v>171</v>
      </c>
      <c r="R14" s="171"/>
      <c r="S14" s="171"/>
      <c r="T14" s="171"/>
      <c r="U14" s="171"/>
      <c r="V14" s="171"/>
      <c r="W14" s="171"/>
      <c r="X14" s="172"/>
      <c r="Y14" s="173" t="s">
        <v>185</v>
      </c>
      <c r="Z14" s="174"/>
      <c r="AA14" s="174"/>
      <c r="AB14" s="174"/>
      <c r="AC14" s="174"/>
      <c r="AD14" s="174"/>
      <c r="AE14" s="174"/>
      <c r="AF14" s="174"/>
      <c r="AG14" s="174"/>
      <c r="AH14" s="174"/>
      <c r="AI14" s="174"/>
      <c r="AJ14" s="174"/>
      <c r="AK14" s="174"/>
      <c r="AL14" s="174"/>
      <c r="AM14" s="175"/>
      <c r="AN14" s="173" t="s">
        <v>186</v>
      </c>
      <c r="AO14" s="174"/>
      <c r="AP14" s="174"/>
      <c r="AQ14" s="174"/>
      <c r="AR14" s="174"/>
      <c r="AS14" s="174"/>
      <c r="AT14" s="174"/>
      <c r="AU14" s="174"/>
      <c r="AV14" s="174"/>
      <c r="AW14" s="174"/>
      <c r="AX14" s="174"/>
      <c r="AY14" s="174"/>
      <c r="AZ14" s="175"/>
      <c r="BA14" s="173" t="s">
        <v>187</v>
      </c>
      <c r="BB14" s="171"/>
      <c r="BC14" s="171"/>
      <c r="BD14" s="171"/>
      <c r="BE14" s="171"/>
      <c r="BF14" s="171"/>
      <c r="BG14" s="171"/>
      <c r="BH14" s="171"/>
      <c r="BI14" s="171"/>
      <c r="BJ14" s="172"/>
      <c r="BK14" s="51"/>
    </row>
    <row r="15" spans="1:63" s="50" customFormat="1" ht="122.25" customHeight="1">
      <c r="A15" s="49"/>
      <c r="B15" s="185">
        <v>7</v>
      </c>
      <c r="C15" s="185"/>
      <c r="D15" s="193"/>
      <c r="E15" s="180"/>
      <c r="F15" s="180"/>
      <c r="G15" s="180"/>
      <c r="H15" s="180"/>
      <c r="I15" s="194"/>
      <c r="J15" s="204"/>
      <c r="K15" s="204"/>
      <c r="L15" s="204"/>
      <c r="M15" s="204"/>
      <c r="N15" s="204"/>
      <c r="O15" s="204"/>
      <c r="P15" s="204"/>
      <c r="Q15" s="171" t="s">
        <v>171</v>
      </c>
      <c r="R15" s="171"/>
      <c r="S15" s="171"/>
      <c r="T15" s="171"/>
      <c r="U15" s="171"/>
      <c r="V15" s="171"/>
      <c r="W15" s="171"/>
      <c r="X15" s="172"/>
      <c r="Y15" s="173" t="s">
        <v>188</v>
      </c>
      <c r="Z15" s="174"/>
      <c r="AA15" s="174"/>
      <c r="AB15" s="174"/>
      <c r="AC15" s="174"/>
      <c r="AD15" s="174"/>
      <c r="AE15" s="174"/>
      <c r="AF15" s="174"/>
      <c r="AG15" s="174"/>
      <c r="AH15" s="174"/>
      <c r="AI15" s="174"/>
      <c r="AJ15" s="174"/>
      <c r="AK15" s="174"/>
      <c r="AL15" s="174"/>
      <c r="AM15" s="175"/>
      <c r="AN15" s="173" t="s">
        <v>189</v>
      </c>
      <c r="AO15" s="174"/>
      <c r="AP15" s="174"/>
      <c r="AQ15" s="174"/>
      <c r="AR15" s="174"/>
      <c r="AS15" s="174"/>
      <c r="AT15" s="174"/>
      <c r="AU15" s="174"/>
      <c r="AV15" s="174"/>
      <c r="AW15" s="174"/>
      <c r="AX15" s="174"/>
      <c r="AY15" s="174"/>
      <c r="AZ15" s="175"/>
      <c r="BA15" s="173" t="s">
        <v>190</v>
      </c>
      <c r="BB15" s="171"/>
      <c r="BC15" s="171"/>
      <c r="BD15" s="171"/>
      <c r="BE15" s="171"/>
      <c r="BF15" s="171"/>
      <c r="BG15" s="171"/>
      <c r="BH15" s="171"/>
      <c r="BI15" s="171"/>
      <c r="BJ15" s="172"/>
      <c r="BK15" s="51"/>
    </row>
    <row r="16" spans="1:63" s="50" customFormat="1" ht="117" customHeight="1">
      <c r="A16" s="49"/>
      <c r="B16" s="185">
        <v>8</v>
      </c>
      <c r="C16" s="185"/>
      <c r="D16" s="193"/>
      <c r="E16" s="180"/>
      <c r="F16" s="180"/>
      <c r="G16" s="180"/>
      <c r="H16" s="180"/>
      <c r="I16" s="194"/>
      <c r="J16" s="204"/>
      <c r="K16" s="204"/>
      <c r="L16" s="204"/>
      <c r="M16" s="204"/>
      <c r="N16" s="204"/>
      <c r="O16" s="204"/>
      <c r="P16" s="204"/>
      <c r="Q16" s="171" t="s">
        <v>171</v>
      </c>
      <c r="R16" s="171"/>
      <c r="S16" s="171"/>
      <c r="T16" s="171"/>
      <c r="U16" s="171"/>
      <c r="V16" s="171"/>
      <c r="W16" s="171"/>
      <c r="X16" s="172"/>
      <c r="Y16" s="173" t="s">
        <v>191</v>
      </c>
      <c r="Z16" s="174"/>
      <c r="AA16" s="174"/>
      <c r="AB16" s="174"/>
      <c r="AC16" s="174"/>
      <c r="AD16" s="174"/>
      <c r="AE16" s="174"/>
      <c r="AF16" s="174"/>
      <c r="AG16" s="174"/>
      <c r="AH16" s="174"/>
      <c r="AI16" s="174"/>
      <c r="AJ16" s="174"/>
      <c r="AK16" s="174"/>
      <c r="AL16" s="174"/>
      <c r="AM16" s="175"/>
      <c r="AN16" s="173" t="s">
        <v>192</v>
      </c>
      <c r="AO16" s="174"/>
      <c r="AP16" s="174"/>
      <c r="AQ16" s="174"/>
      <c r="AR16" s="174"/>
      <c r="AS16" s="174"/>
      <c r="AT16" s="174"/>
      <c r="AU16" s="174"/>
      <c r="AV16" s="174"/>
      <c r="AW16" s="174"/>
      <c r="AX16" s="174"/>
      <c r="AY16" s="174"/>
      <c r="AZ16" s="175"/>
      <c r="BA16" s="173" t="s">
        <v>193</v>
      </c>
      <c r="BB16" s="171"/>
      <c r="BC16" s="171"/>
      <c r="BD16" s="171"/>
      <c r="BE16" s="171"/>
      <c r="BF16" s="171"/>
      <c r="BG16" s="171"/>
      <c r="BH16" s="171"/>
      <c r="BI16" s="171"/>
      <c r="BJ16" s="172"/>
      <c r="BK16" s="51"/>
    </row>
    <row r="17" spans="1:63" s="50" customFormat="1" ht="108.75" customHeight="1">
      <c r="A17" s="49"/>
      <c r="B17" s="185">
        <v>9</v>
      </c>
      <c r="C17" s="185"/>
      <c r="D17" s="193"/>
      <c r="E17" s="180"/>
      <c r="F17" s="180"/>
      <c r="G17" s="180"/>
      <c r="H17" s="180"/>
      <c r="I17" s="194"/>
      <c r="J17" s="204"/>
      <c r="K17" s="204"/>
      <c r="L17" s="204"/>
      <c r="M17" s="204"/>
      <c r="N17" s="204"/>
      <c r="O17" s="204"/>
      <c r="P17" s="204"/>
      <c r="Q17" s="171" t="s">
        <v>171</v>
      </c>
      <c r="R17" s="171"/>
      <c r="S17" s="171"/>
      <c r="T17" s="171"/>
      <c r="U17" s="171"/>
      <c r="V17" s="171"/>
      <c r="W17" s="171"/>
      <c r="X17" s="172"/>
      <c r="Y17" s="173" t="s">
        <v>194</v>
      </c>
      <c r="Z17" s="174"/>
      <c r="AA17" s="174"/>
      <c r="AB17" s="174"/>
      <c r="AC17" s="174"/>
      <c r="AD17" s="174"/>
      <c r="AE17" s="174"/>
      <c r="AF17" s="174"/>
      <c r="AG17" s="174"/>
      <c r="AH17" s="174"/>
      <c r="AI17" s="174"/>
      <c r="AJ17" s="174"/>
      <c r="AK17" s="174"/>
      <c r="AL17" s="174"/>
      <c r="AM17" s="175"/>
      <c r="AN17" s="173" t="s">
        <v>195</v>
      </c>
      <c r="AO17" s="174"/>
      <c r="AP17" s="174"/>
      <c r="AQ17" s="174"/>
      <c r="AR17" s="174"/>
      <c r="AS17" s="174"/>
      <c r="AT17" s="174"/>
      <c r="AU17" s="174"/>
      <c r="AV17" s="174"/>
      <c r="AW17" s="174"/>
      <c r="AX17" s="174"/>
      <c r="AY17" s="174"/>
      <c r="AZ17" s="175"/>
      <c r="BA17" s="173" t="s">
        <v>190</v>
      </c>
      <c r="BB17" s="171"/>
      <c r="BC17" s="171"/>
      <c r="BD17" s="171"/>
      <c r="BE17" s="171"/>
      <c r="BF17" s="171"/>
      <c r="BG17" s="171"/>
      <c r="BH17" s="171"/>
      <c r="BI17" s="171"/>
      <c r="BJ17" s="172"/>
      <c r="BK17" s="51"/>
    </row>
    <row r="18" spans="1:63" s="50" customFormat="1" ht="140.1" customHeight="1">
      <c r="A18" s="49"/>
      <c r="B18" s="185">
        <v>10</v>
      </c>
      <c r="C18" s="185"/>
      <c r="D18" s="193"/>
      <c r="E18" s="180"/>
      <c r="F18" s="180"/>
      <c r="G18" s="180"/>
      <c r="H18" s="180"/>
      <c r="I18" s="194"/>
      <c r="J18" s="198" t="s">
        <v>196</v>
      </c>
      <c r="K18" s="199"/>
      <c r="L18" s="199"/>
      <c r="M18" s="199"/>
      <c r="N18" s="199"/>
      <c r="O18" s="199"/>
      <c r="P18" s="200"/>
      <c r="Q18" s="171" t="s">
        <v>171</v>
      </c>
      <c r="R18" s="171"/>
      <c r="S18" s="171"/>
      <c r="T18" s="171"/>
      <c r="U18" s="171"/>
      <c r="V18" s="171"/>
      <c r="W18" s="171"/>
      <c r="X18" s="172"/>
      <c r="Y18" s="173" t="s">
        <v>197</v>
      </c>
      <c r="Z18" s="174"/>
      <c r="AA18" s="174"/>
      <c r="AB18" s="174"/>
      <c r="AC18" s="174"/>
      <c r="AD18" s="174"/>
      <c r="AE18" s="174"/>
      <c r="AF18" s="174"/>
      <c r="AG18" s="174"/>
      <c r="AH18" s="174"/>
      <c r="AI18" s="174"/>
      <c r="AJ18" s="174"/>
      <c r="AK18" s="174"/>
      <c r="AL18" s="174"/>
      <c r="AM18" s="175"/>
      <c r="AN18" s="173" t="s">
        <v>198</v>
      </c>
      <c r="AO18" s="174"/>
      <c r="AP18" s="174"/>
      <c r="AQ18" s="174"/>
      <c r="AR18" s="174"/>
      <c r="AS18" s="174"/>
      <c r="AT18" s="174"/>
      <c r="AU18" s="174"/>
      <c r="AV18" s="174"/>
      <c r="AW18" s="174"/>
      <c r="AX18" s="174"/>
      <c r="AY18" s="174"/>
      <c r="AZ18" s="175"/>
      <c r="BA18" s="173" t="s">
        <v>199</v>
      </c>
      <c r="BB18" s="171"/>
      <c r="BC18" s="171"/>
      <c r="BD18" s="171"/>
      <c r="BE18" s="171"/>
      <c r="BF18" s="171"/>
      <c r="BG18" s="171"/>
      <c r="BH18" s="171"/>
      <c r="BI18" s="171"/>
      <c r="BJ18" s="172"/>
      <c r="BK18" s="51"/>
    </row>
    <row r="19" spans="1:63" s="50" customFormat="1" ht="143.1" customHeight="1">
      <c r="A19" s="49"/>
      <c r="B19" s="185">
        <v>11</v>
      </c>
      <c r="C19" s="185"/>
      <c r="D19" s="195"/>
      <c r="E19" s="196"/>
      <c r="F19" s="196"/>
      <c r="G19" s="196"/>
      <c r="H19" s="196"/>
      <c r="I19" s="197"/>
      <c r="J19" s="201"/>
      <c r="K19" s="202"/>
      <c r="L19" s="202"/>
      <c r="M19" s="202"/>
      <c r="N19" s="202"/>
      <c r="O19" s="202"/>
      <c r="P19" s="203"/>
      <c r="Q19" s="171" t="s">
        <v>171</v>
      </c>
      <c r="R19" s="171"/>
      <c r="S19" s="171"/>
      <c r="T19" s="171"/>
      <c r="U19" s="171"/>
      <c r="V19" s="171"/>
      <c r="W19" s="171"/>
      <c r="X19" s="172"/>
      <c r="Y19" s="173" t="s">
        <v>200</v>
      </c>
      <c r="Z19" s="174"/>
      <c r="AA19" s="174"/>
      <c r="AB19" s="174"/>
      <c r="AC19" s="174"/>
      <c r="AD19" s="174"/>
      <c r="AE19" s="174"/>
      <c r="AF19" s="174"/>
      <c r="AG19" s="174"/>
      <c r="AH19" s="174"/>
      <c r="AI19" s="174"/>
      <c r="AJ19" s="174"/>
      <c r="AK19" s="174"/>
      <c r="AL19" s="174"/>
      <c r="AM19" s="175"/>
      <c r="AN19" s="173" t="s">
        <v>201</v>
      </c>
      <c r="AO19" s="174"/>
      <c r="AP19" s="174"/>
      <c r="AQ19" s="174"/>
      <c r="AR19" s="174"/>
      <c r="AS19" s="174"/>
      <c r="AT19" s="174"/>
      <c r="AU19" s="174"/>
      <c r="AV19" s="174"/>
      <c r="AW19" s="174"/>
      <c r="AX19" s="174"/>
      <c r="AY19" s="174"/>
      <c r="AZ19" s="175"/>
      <c r="BA19" s="173" t="s">
        <v>202</v>
      </c>
      <c r="BB19" s="171"/>
      <c r="BC19" s="171"/>
      <c r="BD19" s="171"/>
      <c r="BE19" s="171"/>
      <c r="BF19" s="171"/>
      <c r="BG19" s="171"/>
      <c r="BH19" s="171"/>
      <c r="BI19" s="171"/>
      <c r="BJ19" s="172"/>
      <c r="BK19" s="51"/>
    </row>
    <row r="20" spans="1:63" s="50" customFormat="1" ht="109.5" customHeight="1">
      <c r="A20" s="49"/>
      <c r="B20" s="185">
        <v>12</v>
      </c>
      <c r="C20" s="185"/>
      <c r="D20" s="205" t="s">
        <v>203</v>
      </c>
      <c r="E20" s="205"/>
      <c r="F20" s="205"/>
      <c r="G20" s="205"/>
      <c r="H20" s="205"/>
      <c r="I20" s="205"/>
      <c r="J20" s="205" t="s">
        <v>159</v>
      </c>
      <c r="K20" s="205"/>
      <c r="L20" s="205"/>
      <c r="M20" s="205"/>
      <c r="N20" s="205"/>
      <c r="O20" s="205"/>
      <c r="P20" s="205"/>
      <c r="Q20" s="171" t="s">
        <v>171</v>
      </c>
      <c r="R20" s="171"/>
      <c r="S20" s="171"/>
      <c r="T20" s="171"/>
      <c r="U20" s="171"/>
      <c r="V20" s="171"/>
      <c r="W20" s="171"/>
      <c r="X20" s="172"/>
      <c r="Y20" s="173" t="s">
        <v>204</v>
      </c>
      <c r="Z20" s="174"/>
      <c r="AA20" s="174"/>
      <c r="AB20" s="174"/>
      <c r="AC20" s="174"/>
      <c r="AD20" s="174"/>
      <c r="AE20" s="174"/>
      <c r="AF20" s="174"/>
      <c r="AG20" s="174"/>
      <c r="AH20" s="174"/>
      <c r="AI20" s="174"/>
      <c r="AJ20" s="174"/>
      <c r="AK20" s="174"/>
      <c r="AL20" s="174"/>
      <c r="AM20" s="175"/>
      <c r="AN20" s="173" t="s">
        <v>205</v>
      </c>
      <c r="AO20" s="174"/>
      <c r="AP20" s="174"/>
      <c r="AQ20" s="174"/>
      <c r="AR20" s="174"/>
      <c r="AS20" s="174"/>
      <c r="AT20" s="174"/>
      <c r="AU20" s="174"/>
      <c r="AV20" s="174"/>
      <c r="AW20" s="174"/>
      <c r="AX20" s="174"/>
      <c r="AY20" s="174"/>
      <c r="AZ20" s="175"/>
      <c r="BA20" s="173" t="s">
        <v>193</v>
      </c>
      <c r="BB20" s="171"/>
      <c r="BC20" s="171"/>
      <c r="BD20" s="171"/>
      <c r="BE20" s="171"/>
      <c r="BF20" s="171"/>
      <c r="BG20" s="171"/>
      <c r="BH20" s="171"/>
      <c r="BI20" s="171"/>
      <c r="BJ20" s="172"/>
      <c r="BK20" s="51"/>
    </row>
    <row r="21" spans="1:63" s="50" customFormat="1" ht="98.25" customHeight="1">
      <c r="A21" s="49"/>
      <c r="B21" s="185">
        <v>13</v>
      </c>
      <c r="C21" s="185"/>
      <c r="D21" s="205"/>
      <c r="E21" s="205"/>
      <c r="F21" s="205"/>
      <c r="G21" s="205"/>
      <c r="H21" s="205"/>
      <c r="I21" s="205"/>
      <c r="J21" s="205"/>
      <c r="K21" s="205"/>
      <c r="L21" s="205"/>
      <c r="M21" s="205"/>
      <c r="N21" s="205"/>
      <c r="O21" s="205"/>
      <c r="P21" s="205"/>
      <c r="Q21" s="171" t="s">
        <v>171</v>
      </c>
      <c r="R21" s="171"/>
      <c r="S21" s="171"/>
      <c r="T21" s="171"/>
      <c r="U21" s="171"/>
      <c r="V21" s="171"/>
      <c r="W21" s="171"/>
      <c r="X21" s="172"/>
      <c r="Y21" s="173" t="s">
        <v>206</v>
      </c>
      <c r="Z21" s="174"/>
      <c r="AA21" s="174"/>
      <c r="AB21" s="174"/>
      <c r="AC21" s="174"/>
      <c r="AD21" s="174"/>
      <c r="AE21" s="174"/>
      <c r="AF21" s="174"/>
      <c r="AG21" s="174"/>
      <c r="AH21" s="174"/>
      <c r="AI21" s="174"/>
      <c r="AJ21" s="174"/>
      <c r="AK21" s="174"/>
      <c r="AL21" s="174"/>
      <c r="AM21" s="175"/>
      <c r="AN21" s="173" t="s">
        <v>207</v>
      </c>
      <c r="AO21" s="174"/>
      <c r="AP21" s="174"/>
      <c r="AQ21" s="174"/>
      <c r="AR21" s="174"/>
      <c r="AS21" s="174"/>
      <c r="AT21" s="174"/>
      <c r="AU21" s="174"/>
      <c r="AV21" s="174"/>
      <c r="AW21" s="174"/>
      <c r="AX21" s="174"/>
      <c r="AY21" s="174"/>
      <c r="AZ21" s="175"/>
      <c r="BA21" s="173" t="s">
        <v>193</v>
      </c>
      <c r="BB21" s="171"/>
      <c r="BC21" s="171"/>
      <c r="BD21" s="171"/>
      <c r="BE21" s="171"/>
      <c r="BF21" s="171"/>
      <c r="BG21" s="171"/>
      <c r="BH21" s="171"/>
      <c r="BI21" s="171"/>
      <c r="BJ21" s="172"/>
      <c r="BK21" s="51"/>
    </row>
    <row r="22" spans="1:63" s="50" customFormat="1" ht="78.75" customHeight="1">
      <c r="A22" s="49"/>
      <c r="B22" s="185">
        <v>14</v>
      </c>
      <c r="C22" s="185"/>
      <c r="D22" s="205"/>
      <c r="E22" s="205"/>
      <c r="F22" s="205"/>
      <c r="G22" s="205"/>
      <c r="H22" s="205"/>
      <c r="I22" s="205"/>
      <c r="J22" s="205"/>
      <c r="K22" s="205"/>
      <c r="L22" s="205"/>
      <c r="M22" s="205"/>
      <c r="N22" s="205"/>
      <c r="O22" s="205"/>
      <c r="P22" s="205"/>
      <c r="Q22" s="171" t="s">
        <v>171</v>
      </c>
      <c r="R22" s="171"/>
      <c r="S22" s="171"/>
      <c r="T22" s="171"/>
      <c r="U22" s="171"/>
      <c r="V22" s="171"/>
      <c r="W22" s="171"/>
      <c r="X22" s="172"/>
      <c r="Y22" s="173" t="s">
        <v>208</v>
      </c>
      <c r="Z22" s="174"/>
      <c r="AA22" s="174"/>
      <c r="AB22" s="174"/>
      <c r="AC22" s="174"/>
      <c r="AD22" s="174"/>
      <c r="AE22" s="174"/>
      <c r="AF22" s="174"/>
      <c r="AG22" s="174"/>
      <c r="AH22" s="174"/>
      <c r="AI22" s="174"/>
      <c r="AJ22" s="174"/>
      <c r="AK22" s="174"/>
      <c r="AL22" s="174"/>
      <c r="AM22" s="175"/>
      <c r="AN22" s="173" t="s">
        <v>209</v>
      </c>
      <c r="AO22" s="174"/>
      <c r="AP22" s="174"/>
      <c r="AQ22" s="174"/>
      <c r="AR22" s="174"/>
      <c r="AS22" s="174"/>
      <c r="AT22" s="174"/>
      <c r="AU22" s="174"/>
      <c r="AV22" s="174"/>
      <c r="AW22" s="174"/>
      <c r="AX22" s="174"/>
      <c r="AY22" s="174"/>
      <c r="AZ22" s="175"/>
      <c r="BA22" s="173" t="s">
        <v>193</v>
      </c>
      <c r="BB22" s="171"/>
      <c r="BC22" s="171"/>
      <c r="BD22" s="171"/>
      <c r="BE22" s="171"/>
      <c r="BF22" s="171"/>
      <c r="BG22" s="171"/>
      <c r="BH22" s="171"/>
      <c r="BI22" s="171"/>
      <c r="BJ22" s="172"/>
      <c r="BK22" s="51"/>
    </row>
    <row r="23" spans="1:63" s="50" customFormat="1" ht="102" customHeight="1">
      <c r="A23" s="49"/>
      <c r="B23" s="185">
        <v>15</v>
      </c>
      <c r="C23" s="185"/>
      <c r="D23" s="205"/>
      <c r="E23" s="205"/>
      <c r="F23" s="205"/>
      <c r="G23" s="205"/>
      <c r="H23" s="205"/>
      <c r="I23" s="205"/>
      <c r="J23" s="205"/>
      <c r="K23" s="205"/>
      <c r="L23" s="205"/>
      <c r="M23" s="205"/>
      <c r="N23" s="205"/>
      <c r="O23" s="205"/>
      <c r="P23" s="205"/>
      <c r="Q23" s="171" t="s">
        <v>171</v>
      </c>
      <c r="R23" s="171"/>
      <c r="S23" s="171"/>
      <c r="T23" s="171"/>
      <c r="U23" s="171"/>
      <c r="V23" s="171"/>
      <c r="W23" s="171"/>
      <c r="X23" s="172"/>
      <c r="Y23" s="173" t="s">
        <v>210</v>
      </c>
      <c r="Z23" s="174"/>
      <c r="AA23" s="174"/>
      <c r="AB23" s="174"/>
      <c r="AC23" s="174"/>
      <c r="AD23" s="174"/>
      <c r="AE23" s="174"/>
      <c r="AF23" s="174"/>
      <c r="AG23" s="174"/>
      <c r="AH23" s="174"/>
      <c r="AI23" s="174"/>
      <c r="AJ23" s="174"/>
      <c r="AK23" s="174"/>
      <c r="AL23" s="174"/>
      <c r="AM23" s="175"/>
      <c r="AN23" s="173" t="s">
        <v>211</v>
      </c>
      <c r="AO23" s="174"/>
      <c r="AP23" s="174"/>
      <c r="AQ23" s="174"/>
      <c r="AR23" s="174"/>
      <c r="AS23" s="174"/>
      <c r="AT23" s="174"/>
      <c r="AU23" s="174"/>
      <c r="AV23" s="174"/>
      <c r="AW23" s="174"/>
      <c r="AX23" s="174"/>
      <c r="AY23" s="174"/>
      <c r="AZ23" s="175"/>
      <c r="BA23" s="173" t="s">
        <v>212</v>
      </c>
      <c r="BB23" s="171"/>
      <c r="BC23" s="171"/>
      <c r="BD23" s="171"/>
      <c r="BE23" s="171"/>
      <c r="BF23" s="171"/>
      <c r="BG23" s="171"/>
      <c r="BH23" s="171"/>
      <c r="BI23" s="171"/>
      <c r="BJ23" s="172"/>
      <c r="BK23" s="51"/>
    </row>
    <row r="24" spans="1:63" s="50" customFormat="1" ht="105" customHeight="1">
      <c r="A24" s="49"/>
      <c r="B24" s="185">
        <v>16</v>
      </c>
      <c r="C24" s="185"/>
      <c r="D24" s="205"/>
      <c r="E24" s="205"/>
      <c r="F24" s="205"/>
      <c r="G24" s="205"/>
      <c r="H24" s="205"/>
      <c r="I24" s="205"/>
      <c r="J24" s="205"/>
      <c r="K24" s="205"/>
      <c r="L24" s="205"/>
      <c r="M24" s="205"/>
      <c r="N24" s="205"/>
      <c r="O24" s="205"/>
      <c r="P24" s="205"/>
      <c r="Q24" s="171" t="s">
        <v>171</v>
      </c>
      <c r="R24" s="171"/>
      <c r="S24" s="171"/>
      <c r="T24" s="171"/>
      <c r="U24" s="171"/>
      <c r="V24" s="171"/>
      <c r="W24" s="171"/>
      <c r="X24" s="172"/>
      <c r="Y24" s="173" t="s">
        <v>213</v>
      </c>
      <c r="Z24" s="174"/>
      <c r="AA24" s="174"/>
      <c r="AB24" s="174"/>
      <c r="AC24" s="174"/>
      <c r="AD24" s="174"/>
      <c r="AE24" s="174"/>
      <c r="AF24" s="174"/>
      <c r="AG24" s="174"/>
      <c r="AH24" s="174"/>
      <c r="AI24" s="174"/>
      <c r="AJ24" s="174"/>
      <c r="AK24" s="174"/>
      <c r="AL24" s="174"/>
      <c r="AM24" s="175"/>
      <c r="AN24" s="173" t="s">
        <v>214</v>
      </c>
      <c r="AO24" s="174"/>
      <c r="AP24" s="174"/>
      <c r="AQ24" s="174"/>
      <c r="AR24" s="174"/>
      <c r="AS24" s="174"/>
      <c r="AT24" s="174"/>
      <c r="AU24" s="174"/>
      <c r="AV24" s="174"/>
      <c r="AW24" s="174"/>
      <c r="AX24" s="174"/>
      <c r="AY24" s="174"/>
      <c r="AZ24" s="175"/>
      <c r="BA24" s="173" t="s">
        <v>212</v>
      </c>
      <c r="BB24" s="171"/>
      <c r="BC24" s="171"/>
      <c r="BD24" s="171"/>
      <c r="BE24" s="171"/>
      <c r="BF24" s="171"/>
      <c r="BG24" s="171"/>
      <c r="BH24" s="171"/>
      <c r="BI24" s="171"/>
      <c r="BJ24" s="172"/>
      <c r="BK24" s="51"/>
    </row>
    <row r="25" spans="1:63" s="50" customFormat="1" ht="116.25" customHeight="1">
      <c r="A25" s="49"/>
      <c r="B25" s="185">
        <v>17</v>
      </c>
      <c r="C25" s="185"/>
      <c r="D25" s="205"/>
      <c r="E25" s="205"/>
      <c r="F25" s="205"/>
      <c r="G25" s="205"/>
      <c r="H25" s="205"/>
      <c r="I25" s="205"/>
      <c r="J25" s="205"/>
      <c r="K25" s="205"/>
      <c r="L25" s="205"/>
      <c r="M25" s="205"/>
      <c r="N25" s="205"/>
      <c r="O25" s="205"/>
      <c r="P25" s="205"/>
      <c r="Q25" s="171" t="s">
        <v>171</v>
      </c>
      <c r="R25" s="171"/>
      <c r="S25" s="171"/>
      <c r="T25" s="171"/>
      <c r="U25" s="171"/>
      <c r="V25" s="171"/>
      <c r="W25" s="171"/>
      <c r="X25" s="172"/>
      <c r="Y25" s="173" t="s">
        <v>215</v>
      </c>
      <c r="Z25" s="174"/>
      <c r="AA25" s="174"/>
      <c r="AB25" s="174"/>
      <c r="AC25" s="174"/>
      <c r="AD25" s="174"/>
      <c r="AE25" s="174"/>
      <c r="AF25" s="174"/>
      <c r="AG25" s="174"/>
      <c r="AH25" s="174"/>
      <c r="AI25" s="174"/>
      <c r="AJ25" s="174"/>
      <c r="AK25" s="174"/>
      <c r="AL25" s="174"/>
      <c r="AM25" s="175"/>
      <c r="AN25" s="173" t="s">
        <v>216</v>
      </c>
      <c r="AO25" s="174"/>
      <c r="AP25" s="174"/>
      <c r="AQ25" s="174"/>
      <c r="AR25" s="174"/>
      <c r="AS25" s="174"/>
      <c r="AT25" s="174"/>
      <c r="AU25" s="174"/>
      <c r="AV25" s="174"/>
      <c r="AW25" s="174"/>
      <c r="AX25" s="174"/>
      <c r="AY25" s="174"/>
      <c r="AZ25" s="175"/>
      <c r="BA25" s="173" t="s">
        <v>217</v>
      </c>
      <c r="BB25" s="171"/>
      <c r="BC25" s="171"/>
      <c r="BD25" s="171"/>
      <c r="BE25" s="171"/>
      <c r="BF25" s="171"/>
      <c r="BG25" s="171"/>
      <c r="BH25" s="171"/>
      <c r="BI25" s="171"/>
      <c r="BJ25" s="172"/>
      <c r="BK25" s="51"/>
    </row>
    <row r="26" spans="1:63" s="50" customFormat="1" ht="108" customHeight="1">
      <c r="A26" s="49"/>
      <c r="B26" s="185">
        <v>18</v>
      </c>
      <c r="C26" s="185"/>
      <c r="D26" s="206"/>
      <c r="E26" s="206"/>
      <c r="F26" s="206"/>
      <c r="G26" s="206"/>
      <c r="H26" s="206"/>
      <c r="I26" s="206"/>
      <c r="J26" s="206"/>
      <c r="K26" s="206"/>
      <c r="L26" s="206"/>
      <c r="M26" s="206"/>
      <c r="N26" s="206"/>
      <c r="O26" s="206"/>
      <c r="P26" s="206"/>
      <c r="Q26" s="209" t="s">
        <v>171</v>
      </c>
      <c r="R26" s="209"/>
      <c r="S26" s="209"/>
      <c r="T26" s="209"/>
      <c r="U26" s="209"/>
      <c r="V26" s="209"/>
      <c r="W26" s="209"/>
      <c r="X26" s="210"/>
      <c r="Y26" s="211" t="s">
        <v>218</v>
      </c>
      <c r="Z26" s="212"/>
      <c r="AA26" s="212"/>
      <c r="AB26" s="212"/>
      <c r="AC26" s="212"/>
      <c r="AD26" s="212"/>
      <c r="AE26" s="212"/>
      <c r="AF26" s="212"/>
      <c r="AG26" s="212"/>
      <c r="AH26" s="212"/>
      <c r="AI26" s="212"/>
      <c r="AJ26" s="212"/>
      <c r="AK26" s="212"/>
      <c r="AL26" s="212"/>
      <c r="AM26" s="213"/>
      <c r="AN26" s="211" t="s">
        <v>219</v>
      </c>
      <c r="AO26" s="212"/>
      <c r="AP26" s="212"/>
      <c r="AQ26" s="212"/>
      <c r="AR26" s="212"/>
      <c r="AS26" s="212"/>
      <c r="AT26" s="212"/>
      <c r="AU26" s="212"/>
      <c r="AV26" s="212"/>
      <c r="AW26" s="212"/>
      <c r="AX26" s="212"/>
      <c r="AY26" s="212"/>
      <c r="AZ26" s="213"/>
      <c r="BA26" s="211" t="s">
        <v>220</v>
      </c>
      <c r="BB26" s="209"/>
      <c r="BC26" s="209"/>
      <c r="BD26" s="209"/>
      <c r="BE26" s="209"/>
      <c r="BF26" s="209"/>
      <c r="BG26" s="209"/>
      <c r="BH26" s="209"/>
      <c r="BI26" s="209"/>
      <c r="BJ26" s="210"/>
      <c r="BK26" s="51"/>
    </row>
    <row r="27" spans="1:63" s="50" customFormat="1" ht="114.75" customHeight="1">
      <c r="A27" s="49"/>
      <c r="B27" s="185">
        <v>19</v>
      </c>
      <c r="C27" s="185"/>
      <c r="D27" s="205" t="s">
        <v>221</v>
      </c>
      <c r="E27" s="205"/>
      <c r="F27" s="205"/>
      <c r="G27" s="205"/>
      <c r="H27" s="205"/>
      <c r="I27" s="205"/>
      <c r="J27" s="205" t="s">
        <v>165</v>
      </c>
      <c r="K27" s="205"/>
      <c r="L27" s="205"/>
      <c r="M27" s="205"/>
      <c r="N27" s="205"/>
      <c r="O27" s="205"/>
      <c r="P27" s="205"/>
      <c r="Q27" s="207" t="s">
        <v>171</v>
      </c>
      <c r="R27" s="207"/>
      <c r="S27" s="207"/>
      <c r="T27" s="207"/>
      <c r="U27" s="207"/>
      <c r="V27" s="207"/>
      <c r="W27" s="207"/>
      <c r="X27" s="207"/>
      <c r="Y27" s="208" t="s">
        <v>222</v>
      </c>
      <c r="Z27" s="208"/>
      <c r="AA27" s="208"/>
      <c r="AB27" s="208"/>
      <c r="AC27" s="208"/>
      <c r="AD27" s="208"/>
      <c r="AE27" s="208"/>
      <c r="AF27" s="208"/>
      <c r="AG27" s="208"/>
      <c r="AH27" s="208"/>
      <c r="AI27" s="208"/>
      <c r="AJ27" s="208"/>
      <c r="AK27" s="208"/>
      <c r="AL27" s="208"/>
      <c r="AM27" s="208"/>
      <c r="AN27" s="208" t="s">
        <v>223</v>
      </c>
      <c r="AO27" s="208"/>
      <c r="AP27" s="208"/>
      <c r="AQ27" s="208"/>
      <c r="AR27" s="208"/>
      <c r="AS27" s="208"/>
      <c r="AT27" s="208"/>
      <c r="AU27" s="208"/>
      <c r="AV27" s="208"/>
      <c r="AW27" s="208"/>
      <c r="AX27" s="208"/>
      <c r="AY27" s="208"/>
      <c r="AZ27" s="208"/>
      <c r="BA27" s="208" t="s">
        <v>224</v>
      </c>
      <c r="BB27" s="207"/>
      <c r="BC27" s="207"/>
      <c r="BD27" s="207"/>
      <c r="BE27" s="207"/>
      <c r="BF27" s="207"/>
      <c r="BG27" s="207"/>
      <c r="BH27" s="207"/>
      <c r="BI27" s="207"/>
      <c r="BJ27" s="207"/>
      <c r="BK27" s="51"/>
    </row>
    <row r="28" spans="1:63" s="50" customFormat="1" ht="119.25" customHeight="1">
      <c r="A28" s="49"/>
      <c r="B28" s="185">
        <v>20</v>
      </c>
      <c r="C28" s="185"/>
      <c r="D28" s="205"/>
      <c r="E28" s="205"/>
      <c r="F28" s="205"/>
      <c r="G28" s="205"/>
      <c r="H28" s="205"/>
      <c r="I28" s="205"/>
      <c r="J28" s="205"/>
      <c r="K28" s="205"/>
      <c r="L28" s="205"/>
      <c r="M28" s="205"/>
      <c r="N28" s="205"/>
      <c r="O28" s="205"/>
      <c r="P28" s="205"/>
      <c r="Q28" s="207" t="s">
        <v>171</v>
      </c>
      <c r="R28" s="207"/>
      <c r="S28" s="207"/>
      <c r="T28" s="207"/>
      <c r="U28" s="207"/>
      <c r="V28" s="207"/>
      <c r="W28" s="207"/>
      <c r="X28" s="207"/>
      <c r="Y28" s="208" t="s">
        <v>225</v>
      </c>
      <c r="Z28" s="208"/>
      <c r="AA28" s="208"/>
      <c r="AB28" s="208"/>
      <c r="AC28" s="208"/>
      <c r="AD28" s="208"/>
      <c r="AE28" s="208"/>
      <c r="AF28" s="208"/>
      <c r="AG28" s="208"/>
      <c r="AH28" s="208"/>
      <c r="AI28" s="208"/>
      <c r="AJ28" s="208"/>
      <c r="AK28" s="208"/>
      <c r="AL28" s="208"/>
      <c r="AM28" s="208"/>
      <c r="AN28" s="208" t="s">
        <v>226</v>
      </c>
      <c r="AO28" s="208"/>
      <c r="AP28" s="208"/>
      <c r="AQ28" s="208"/>
      <c r="AR28" s="208"/>
      <c r="AS28" s="208"/>
      <c r="AT28" s="208"/>
      <c r="AU28" s="208"/>
      <c r="AV28" s="208"/>
      <c r="AW28" s="208"/>
      <c r="AX28" s="208"/>
      <c r="AY28" s="208"/>
      <c r="AZ28" s="208"/>
      <c r="BA28" s="208" t="s">
        <v>224</v>
      </c>
      <c r="BB28" s="207"/>
      <c r="BC28" s="207"/>
      <c r="BD28" s="207"/>
      <c r="BE28" s="207"/>
      <c r="BF28" s="207"/>
      <c r="BG28" s="207"/>
      <c r="BH28" s="207"/>
      <c r="BI28" s="207"/>
      <c r="BJ28" s="207"/>
      <c r="BK28" s="51"/>
    </row>
    <row r="29" spans="1:63" s="50" customFormat="1" ht="132.75" customHeight="1">
      <c r="A29" s="49"/>
      <c r="B29" s="185">
        <v>21</v>
      </c>
      <c r="C29" s="185"/>
      <c r="D29" s="205"/>
      <c r="E29" s="205"/>
      <c r="F29" s="205"/>
      <c r="G29" s="205"/>
      <c r="H29" s="205"/>
      <c r="I29" s="205"/>
      <c r="J29" s="205"/>
      <c r="K29" s="205"/>
      <c r="L29" s="205"/>
      <c r="M29" s="205"/>
      <c r="N29" s="205"/>
      <c r="O29" s="205"/>
      <c r="P29" s="205"/>
      <c r="Q29" s="207" t="s">
        <v>171</v>
      </c>
      <c r="R29" s="207"/>
      <c r="S29" s="207"/>
      <c r="T29" s="207"/>
      <c r="U29" s="207"/>
      <c r="V29" s="207"/>
      <c r="W29" s="207"/>
      <c r="X29" s="207"/>
      <c r="Y29" s="208" t="s">
        <v>227</v>
      </c>
      <c r="Z29" s="208"/>
      <c r="AA29" s="208"/>
      <c r="AB29" s="208"/>
      <c r="AC29" s="208"/>
      <c r="AD29" s="208"/>
      <c r="AE29" s="208"/>
      <c r="AF29" s="208"/>
      <c r="AG29" s="208"/>
      <c r="AH29" s="208"/>
      <c r="AI29" s="208"/>
      <c r="AJ29" s="208"/>
      <c r="AK29" s="208"/>
      <c r="AL29" s="208"/>
      <c r="AM29" s="208"/>
      <c r="AN29" s="208" t="s">
        <v>228</v>
      </c>
      <c r="AO29" s="208"/>
      <c r="AP29" s="208"/>
      <c r="AQ29" s="208"/>
      <c r="AR29" s="208"/>
      <c r="AS29" s="208"/>
      <c r="AT29" s="208"/>
      <c r="AU29" s="208"/>
      <c r="AV29" s="208"/>
      <c r="AW29" s="208"/>
      <c r="AX29" s="208"/>
      <c r="AY29" s="208"/>
      <c r="AZ29" s="208"/>
      <c r="BA29" s="214" t="s">
        <v>229</v>
      </c>
      <c r="BB29" s="215"/>
      <c r="BC29" s="215"/>
      <c r="BD29" s="215"/>
      <c r="BE29" s="215"/>
      <c r="BF29" s="215"/>
      <c r="BG29" s="215"/>
      <c r="BH29" s="215"/>
      <c r="BI29" s="215"/>
      <c r="BJ29" s="215"/>
      <c r="BK29" s="51"/>
    </row>
    <row r="30" spans="1:63" s="50" customFormat="1" ht="119.25" customHeight="1">
      <c r="A30" s="49"/>
      <c r="B30" s="185">
        <v>22</v>
      </c>
      <c r="C30" s="185"/>
      <c r="D30" s="205"/>
      <c r="E30" s="205"/>
      <c r="F30" s="205"/>
      <c r="G30" s="205"/>
      <c r="H30" s="205"/>
      <c r="I30" s="205"/>
      <c r="J30" s="205"/>
      <c r="K30" s="205"/>
      <c r="L30" s="205"/>
      <c r="M30" s="205"/>
      <c r="N30" s="205"/>
      <c r="O30" s="205"/>
      <c r="P30" s="205"/>
      <c r="Q30" s="207" t="s">
        <v>171</v>
      </c>
      <c r="R30" s="207"/>
      <c r="S30" s="207"/>
      <c r="T30" s="207"/>
      <c r="U30" s="207"/>
      <c r="V30" s="207"/>
      <c r="W30" s="207"/>
      <c r="X30" s="207"/>
      <c r="Y30" s="208" t="s">
        <v>230</v>
      </c>
      <c r="Z30" s="208"/>
      <c r="AA30" s="208"/>
      <c r="AB30" s="208"/>
      <c r="AC30" s="208"/>
      <c r="AD30" s="208"/>
      <c r="AE30" s="208"/>
      <c r="AF30" s="208"/>
      <c r="AG30" s="208"/>
      <c r="AH30" s="208"/>
      <c r="AI30" s="208"/>
      <c r="AJ30" s="208"/>
      <c r="AK30" s="208"/>
      <c r="AL30" s="208"/>
      <c r="AM30" s="208"/>
      <c r="AN30" s="208" t="s">
        <v>231</v>
      </c>
      <c r="AO30" s="208"/>
      <c r="AP30" s="208"/>
      <c r="AQ30" s="208"/>
      <c r="AR30" s="208"/>
      <c r="AS30" s="208"/>
      <c r="AT30" s="208"/>
      <c r="AU30" s="208"/>
      <c r="AV30" s="208"/>
      <c r="AW30" s="208"/>
      <c r="AX30" s="208"/>
      <c r="AY30" s="208"/>
      <c r="AZ30" s="208"/>
      <c r="BA30" s="208" t="s">
        <v>232</v>
      </c>
      <c r="BB30" s="207"/>
      <c r="BC30" s="207"/>
      <c r="BD30" s="207"/>
      <c r="BE30" s="207"/>
      <c r="BF30" s="207"/>
      <c r="BG30" s="207"/>
      <c r="BH30" s="207"/>
      <c r="BI30" s="207"/>
      <c r="BJ30" s="207"/>
      <c r="BK30" s="51"/>
    </row>
    <row r="31" spans="1:63" s="50" customFormat="1" ht="119.25" customHeight="1">
      <c r="A31" s="49"/>
      <c r="B31" s="185">
        <v>23</v>
      </c>
      <c r="C31" s="185"/>
      <c r="D31" s="205"/>
      <c r="E31" s="205"/>
      <c r="F31" s="205"/>
      <c r="G31" s="205"/>
      <c r="H31" s="205"/>
      <c r="I31" s="205"/>
      <c r="J31" s="205"/>
      <c r="K31" s="205"/>
      <c r="L31" s="205"/>
      <c r="M31" s="205"/>
      <c r="N31" s="205"/>
      <c r="O31" s="205"/>
      <c r="P31" s="205"/>
      <c r="Q31" s="207" t="s">
        <v>171</v>
      </c>
      <c r="R31" s="207"/>
      <c r="S31" s="207"/>
      <c r="T31" s="207"/>
      <c r="U31" s="207"/>
      <c r="V31" s="207"/>
      <c r="W31" s="207"/>
      <c r="X31" s="207"/>
      <c r="Y31" s="208" t="s">
        <v>233</v>
      </c>
      <c r="Z31" s="208"/>
      <c r="AA31" s="208"/>
      <c r="AB31" s="208"/>
      <c r="AC31" s="208"/>
      <c r="AD31" s="208"/>
      <c r="AE31" s="208"/>
      <c r="AF31" s="208"/>
      <c r="AG31" s="208"/>
      <c r="AH31" s="208"/>
      <c r="AI31" s="208"/>
      <c r="AJ31" s="208"/>
      <c r="AK31" s="208"/>
      <c r="AL31" s="208"/>
      <c r="AM31" s="208"/>
      <c r="AN31" s="208" t="s">
        <v>234</v>
      </c>
      <c r="AO31" s="208"/>
      <c r="AP31" s="208"/>
      <c r="AQ31" s="208"/>
      <c r="AR31" s="208"/>
      <c r="AS31" s="208"/>
      <c r="AT31" s="208"/>
      <c r="AU31" s="208"/>
      <c r="AV31" s="208"/>
      <c r="AW31" s="208"/>
      <c r="AX31" s="208"/>
      <c r="AY31" s="208"/>
      <c r="AZ31" s="208"/>
      <c r="BA31" s="208" t="s">
        <v>232</v>
      </c>
      <c r="BB31" s="207"/>
      <c r="BC31" s="207"/>
      <c r="BD31" s="207"/>
      <c r="BE31" s="207"/>
      <c r="BF31" s="207"/>
      <c r="BG31" s="207"/>
      <c r="BH31" s="207"/>
      <c r="BI31" s="207"/>
      <c r="BJ31" s="207"/>
      <c r="BK31" s="51"/>
    </row>
    <row r="32" spans="1:63" s="50" customFormat="1" ht="119.25" customHeight="1">
      <c r="A32" s="49"/>
      <c r="B32" s="185">
        <v>24</v>
      </c>
      <c r="C32" s="185"/>
      <c r="D32" s="205"/>
      <c r="E32" s="205"/>
      <c r="F32" s="205"/>
      <c r="G32" s="205"/>
      <c r="H32" s="205"/>
      <c r="I32" s="205"/>
      <c r="J32" s="205"/>
      <c r="K32" s="205"/>
      <c r="L32" s="205"/>
      <c r="M32" s="205"/>
      <c r="N32" s="205"/>
      <c r="O32" s="205"/>
      <c r="P32" s="205"/>
      <c r="Q32" s="207" t="s">
        <v>171</v>
      </c>
      <c r="R32" s="207"/>
      <c r="S32" s="207"/>
      <c r="T32" s="207"/>
      <c r="U32" s="207"/>
      <c r="V32" s="207"/>
      <c r="W32" s="207"/>
      <c r="X32" s="207"/>
      <c r="Y32" s="208" t="s">
        <v>235</v>
      </c>
      <c r="Z32" s="208"/>
      <c r="AA32" s="208"/>
      <c r="AB32" s="208"/>
      <c r="AC32" s="208"/>
      <c r="AD32" s="208"/>
      <c r="AE32" s="208"/>
      <c r="AF32" s="208"/>
      <c r="AG32" s="208"/>
      <c r="AH32" s="208"/>
      <c r="AI32" s="208"/>
      <c r="AJ32" s="208"/>
      <c r="AK32" s="208"/>
      <c r="AL32" s="208"/>
      <c r="AM32" s="208"/>
      <c r="AN32" s="208" t="s">
        <v>236</v>
      </c>
      <c r="AO32" s="208"/>
      <c r="AP32" s="208"/>
      <c r="AQ32" s="208"/>
      <c r="AR32" s="208"/>
      <c r="AS32" s="208"/>
      <c r="AT32" s="208"/>
      <c r="AU32" s="208"/>
      <c r="AV32" s="208"/>
      <c r="AW32" s="208"/>
      <c r="AX32" s="208"/>
      <c r="AY32" s="208"/>
      <c r="AZ32" s="208"/>
      <c r="BA32" s="208" t="s">
        <v>237</v>
      </c>
      <c r="BB32" s="207"/>
      <c r="BC32" s="207"/>
      <c r="BD32" s="207"/>
      <c r="BE32" s="207"/>
      <c r="BF32" s="207"/>
      <c r="BG32" s="207"/>
      <c r="BH32" s="207"/>
      <c r="BI32" s="207"/>
      <c r="BJ32" s="207"/>
      <c r="BK32" s="51"/>
    </row>
  </sheetData>
  <mergeCells count="155">
    <mergeCell ref="BA18:BJ18"/>
    <mergeCell ref="Q19:X19"/>
    <mergeCell ref="Y19:AM19"/>
    <mergeCell ref="AN19:AZ19"/>
    <mergeCell ref="BA19:BJ19"/>
    <mergeCell ref="B13:C13"/>
    <mergeCell ref="J9:P13"/>
    <mergeCell ref="Q13:X13"/>
    <mergeCell ref="Y13:AM13"/>
    <mergeCell ref="AN13:AZ13"/>
    <mergeCell ref="BA13:BJ13"/>
    <mergeCell ref="B17:C17"/>
    <mergeCell ref="Q17:X17"/>
    <mergeCell ref="Y17:AM17"/>
    <mergeCell ref="AN17:AZ17"/>
    <mergeCell ref="BA17:BJ17"/>
    <mergeCell ref="B16:C16"/>
    <mergeCell ref="BA16:BJ16"/>
    <mergeCell ref="B15:C15"/>
    <mergeCell ref="Q15:X15"/>
    <mergeCell ref="Y15:AM15"/>
    <mergeCell ref="AN15:AZ15"/>
    <mergeCell ref="BA15:BJ15"/>
    <mergeCell ref="B10:C10"/>
    <mergeCell ref="BA28:BJ28"/>
    <mergeCell ref="B29:C29"/>
    <mergeCell ref="Q29:X29"/>
    <mergeCell ref="Y29:AM29"/>
    <mergeCell ref="AN29:AZ29"/>
    <mergeCell ref="BA29:BJ29"/>
    <mergeCell ref="B32:C32"/>
    <mergeCell ref="Q32:X32"/>
    <mergeCell ref="Y32:AM32"/>
    <mergeCell ref="AN32:AZ32"/>
    <mergeCell ref="BA32:BJ32"/>
    <mergeCell ref="B30:C30"/>
    <mergeCell ref="Q30:X30"/>
    <mergeCell ref="Y30:AM30"/>
    <mergeCell ref="AN30:AZ30"/>
    <mergeCell ref="BA30:BJ30"/>
    <mergeCell ref="B31:C31"/>
    <mergeCell ref="Q31:X31"/>
    <mergeCell ref="Y31:AM31"/>
    <mergeCell ref="AN31:AZ31"/>
    <mergeCell ref="BA31:BJ31"/>
    <mergeCell ref="Y22:AM22"/>
    <mergeCell ref="AN22:AZ22"/>
    <mergeCell ref="BA22:BJ22"/>
    <mergeCell ref="B27:C27"/>
    <mergeCell ref="Q27:X27"/>
    <mergeCell ref="Y27:AM27"/>
    <mergeCell ref="AN27:AZ27"/>
    <mergeCell ref="BA27:BJ27"/>
    <mergeCell ref="J27:P32"/>
    <mergeCell ref="D27:I32"/>
    <mergeCell ref="B25:C25"/>
    <mergeCell ref="Q25:X25"/>
    <mergeCell ref="Y25:AM25"/>
    <mergeCell ref="AN25:AZ25"/>
    <mergeCell ref="BA25:BJ25"/>
    <mergeCell ref="B26:C26"/>
    <mergeCell ref="Q26:X26"/>
    <mergeCell ref="Y26:AM26"/>
    <mergeCell ref="AN26:AZ26"/>
    <mergeCell ref="BA26:BJ26"/>
    <mergeCell ref="B28:C28"/>
    <mergeCell ref="Q28:X28"/>
    <mergeCell ref="Y28:AM28"/>
    <mergeCell ref="AN28:AZ28"/>
    <mergeCell ref="BA20:BJ20"/>
    <mergeCell ref="B21:C21"/>
    <mergeCell ref="Q21:X21"/>
    <mergeCell ref="Y21:AM21"/>
    <mergeCell ref="AN21:AZ21"/>
    <mergeCell ref="BA21:BJ21"/>
    <mergeCell ref="B20:C20"/>
    <mergeCell ref="D20:I26"/>
    <mergeCell ref="J20:P26"/>
    <mergeCell ref="Q20:X20"/>
    <mergeCell ref="Y20:AM20"/>
    <mergeCell ref="AN20:AZ20"/>
    <mergeCell ref="Q23:X23"/>
    <mergeCell ref="Y23:AM23"/>
    <mergeCell ref="AN23:AZ23"/>
    <mergeCell ref="BA23:BJ23"/>
    <mergeCell ref="B23:C23"/>
    <mergeCell ref="B24:C24"/>
    <mergeCell ref="Q24:X24"/>
    <mergeCell ref="Y24:AM24"/>
    <mergeCell ref="AN24:AZ24"/>
    <mergeCell ref="BA24:BJ24"/>
    <mergeCell ref="B22:C22"/>
    <mergeCell ref="Q22:X22"/>
    <mergeCell ref="Q10:X10"/>
    <mergeCell ref="Y10:AM10"/>
    <mergeCell ref="AN10:AZ10"/>
    <mergeCell ref="BA10:BJ10"/>
    <mergeCell ref="B14:C14"/>
    <mergeCell ref="Q14:X14"/>
    <mergeCell ref="Y14:AM14"/>
    <mergeCell ref="AN14:AZ14"/>
    <mergeCell ref="BA14:BJ14"/>
    <mergeCell ref="J14:P17"/>
    <mergeCell ref="B11:C11"/>
    <mergeCell ref="Q11:X11"/>
    <mergeCell ref="Y11:AM11"/>
    <mergeCell ref="AN11:AZ11"/>
    <mergeCell ref="BA11:BJ11"/>
    <mergeCell ref="B12:C12"/>
    <mergeCell ref="Q12:X12"/>
    <mergeCell ref="Y12:AM12"/>
    <mergeCell ref="AN12:AZ12"/>
    <mergeCell ref="BA12:BJ12"/>
    <mergeCell ref="Q16:X16"/>
    <mergeCell ref="Y16:AM16"/>
    <mergeCell ref="AN16:AZ16"/>
    <mergeCell ref="AN8:AZ8"/>
    <mergeCell ref="BA8:BJ8"/>
    <mergeCell ref="B9:C9"/>
    <mergeCell ref="A4:G4"/>
    <mergeCell ref="H4:T4"/>
    <mergeCell ref="U4:Y4"/>
    <mergeCell ref="Z4:AO4"/>
    <mergeCell ref="AP4:BK4"/>
    <mergeCell ref="B8:C8"/>
    <mergeCell ref="D8:I8"/>
    <mergeCell ref="J8:P8"/>
    <mergeCell ref="Q8:X8"/>
    <mergeCell ref="Y8:AM8"/>
    <mergeCell ref="Q9:X9"/>
    <mergeCell ref="Y9:AM9"/>
    <mergeCell ref="AN9:AZ9"/>
    <mergeCell ref="BA9:BJ9"/>
    <mergeCell ref="D9:I19"/>
    <mergeCell ref="J18:P19"/>
    <mergeCell ref="B18:C18"/>
    <mergeCell ref="B19:C19"/>
    <mergeCell ref="Q18:X18"/>
    <mergeCell ref="Y18:AM18"/>
    <mergeCell ref="AN18:AZ18"/>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18" orientation="landscape" r:id="rId1"/>
  <headerFooter>
    <oddHeader>&amp;R&amp;F</oddHeader>
    <oddFooter>&amp;C&amp;P / &amp;N ページ</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B4EB2-CC19-C747-B43F-844BD973777E}">
  <sheetPr>
    <pageSetUpPr fitToPage="1"/>
  </sheetPr>
  <dimension ref="A1:BK52"/>
  <sheetViews>
    <sheetView view="pageBreakPreview" zoomScaleNormal="75" zoomScaleSheetLayoutView="100" workbookViewId="0">
      <selection activeCell="BC21" sqref="BC21"/>
    </sheetView>
  </sheetViews>
  <sheetFormatPr defaultColWidth="2.44140625" defaultRowHeight="15" customHeight="1"/>
  <cols>
    <col min="10" max="10" width="2.5546875" customWidth="1"/>
  </cols>
  <sheetData>
    <row r="1" spans="1:63" ht="24.95" customHeight="1">
      <c r="A1" s="70" t="s">
        <v>0</v>
      </c>
      <c r="B1" s="71"/>
      <c r="C1" s="71"/>
      <c r="D1" s="71"/>
      <c r="E1" s="71"/>
      <c r="F1" s="71"/>
      <c r="G1" s="71"/>
      <c r="H1" s="71"/>
      <c r="I1" s="71"/>
      <c r="J1" s="72"/>
      <c r="K1" s="70" t="s">
        <v>1</v>
      </c>
      <c r="L1" s="71"/>
      <c r="M1" s="71"/>
      <c r="N1" s="71"/>
      <c r="O1" s="71"/>
      <c r="P1" s="71"/>
      <c r="Q1" s="71"/>
      <c r="R1" s="71"/>
      <c r="S1" s="71"/>
      <c r="T1" s="71"/>
      <c r="U1" s="71"/>
      <c r="V1" s="72"/>
      <c r="W1" s="90" t="e">
        <f ca="1">IF( che [11]phủ!W1="","", che [11]phủ!W1)</f>
        <v>#NAME?</v>
      </c>
      <c r="X1" s="91"/>
      <c r="Y1" s="91"/>
      <c r="Z1" s="91"/>
      <c r="AA1" s="91"/>
      <c r="AB1" s="91"/>
      <c r="AC1" s="91"/>
      <c r="AD1" s="91"/>
      <c r="AE1" s="91"/>
      <c r="AF1" s="91"/>
      <c r="AG1" s="91"/>
      <c r="AH1" s="91"/>
      <c r="AI1" s="91"/>
      <c r="AJ1" s="91"/>
      <c r="AK1" s="91"/>
      <c r="AL1" s="91"/>
      <c r="AM1" s="91"/>
      <c r="AN1" s="91"/>
      <c r="AO1" s="92"/>
      <c r="AP1" s="70" t="s">
        <v>3</v>
      </c>
      <c r="AQ1" s="71"/>
      <c r="AR1" s="71"/>
      <c r="AS1" s="72"/>
      <c r="AT1" s="70" t="s">
        <v>4</v>
      </c>
      <c r="AU1" s="71"/>
      <c r="AV1" s="71"/>
      <c r="AW1" s="71"/>
      <c r="AX1" s="72"/>
      <c r="AY1" s="70" t="s">
        <v>5</v>
      </c>
      <c r="AZ1" s="71"/>
      <c r="BA1" s="71"/>
      <c r="BB1" s="72"/>
      <c r="BC1" s="70" t="s">
        <v>6</v>
      </c>
      <c r="BD1" s="71"/>
      <c r="BE1" s="71"/>
      <c r="BF1" s="71"/>
      <c r="BG1" s="72"/>
      <c r="BH1" s="70" t="s">
        <v>7</v>
      </c>
      <c r="BI1" s="71"/>
      <c r="BJ1" s="71"/>
      <c r="BK1" s="72"/>
    </row>
    <row r="2" spans="1:63" ht="15" customHeight="1">
      <c r="A2" s="55" t="e">
        <f ca="1">IF( che [11]phủ!A2="","", che [11]phủ!A2)</f>
        <v>#NAME?</v>
      </c>
      <c r="B2" s="56"/>
      <c r="C2" s="56"/>
      <c r="D2" s="56"/>
      <c r="E2" s="56"/>
      <c r="F2" s="56"/>
      <c r="G2" s="56"/>
      <c r="H2" s="56"/>
      <c r="I2" s="56"/>
      <c r="J2" s="57"/>
      <c r="K2" s="55" t="e">
        <f ca="1">IF( che [11]phủ!K2="","", che [11]phủ!K2)</f>
        <v>#NAME?</v>
      </c>
      <c r="L2" s="56"/>
      <c r="M2" s="56"/>
      <c r="N2" s="56"/>
      <c r="O2" s="56"/>
      <c r="P2" s="56"/>
      <c r="Q2" s="56"/>
      <c r="R2" s="56"/>
      <c r="S2" s="56"/>
      <c r="T2" s="56"/>
      <c r="U2" s="56"/>
      <c r="V2" s="57"/>
      <c r="W2" s="93"/>
      <c r="X2" s="94"/>
      <c r="Y2" s="94"/>
      <c r="Z2" s="94"/>
      <c r="AA2" s="94"/>
      <c r="AB2" s="94"/>
      <c r="AC2" s="94"/>
      <c r="AD2" s="94"/>
      <c r="AE2" s="94"/>
      <c r="AF2" s="94"/>
      <c r="AG2" s="94"/>
      <c r="AH2" s="94"/>
      <c r="AI2" s="94"/>
      <c r="AJ2" s="94"/>
      <c r="AK2" s="94"/>
      <c r="AL2" s="94"/>
      <c r="AM2" s="94"/>
      <c r="AN2" s="94"/>
      <c r="AO2" s="95"/>
      <c r="AP2" s="55" t="e">
        <f ca="1">IF( che [11]phủ!AP2="","", che [11]phủ!AP2)</f>
        <v>#NAME?</v>
      </c>
      <c r="AQ2" s="56"/>
      <c r="AR2" s="56"/>
      <c r="AS2" s="57"/>
      <c r="AT2" s="84" t="e">
        <f ca="1">IF( che [11]phủ!AT2="","", che [11]phủ!AT2)</f>
        <v>#NAME?</v>
      </c>
      <c r="AU2" s="85"/>
      <c r="AV2" s="85"/>
      <c r="AW2" s="85"/>
      <c r="AX2" s="86"/>
      <c r="AY2" s="55" t="e">
        <f ca="1">IF( che [11]phủ!AY2="","", che [11]phủ!AY2)</f>
        <v>#NAME?</v>
      </c>
      <c r="AZ2" s="56"/>
      <c r="BA2" s="56"/>
      <c r="BB2" s="57"/>
      <c r="BC2" s="84" t="e">
        <f ca="1">IF( che [11]phủ!BC2="","", che [11]phủ!BC2)</f>
        <v>#NAME?</v>
      </c>
      <c r="BD2" s="85"/>
      <c r="BE2" s="85"/>
      <c r="BF2" s="85"/>
      <c r="BG2" s="86"/>
      <c r="BH2" s="55" t="e">
        <f ca="1">IF( che [11]phủ!BH2="","", che [11]phủ!BH2)</f>
        <v>#NAME?</v>
      </c>
      <c r="BI2" s="56"/>
      <c r="BJ2" s="56"/>
      <c r="BK2" s="57"/>
    </row>
    <row r="3" spans="1:63" ht="15" customHeight="1">
      <c r="A3" s="61"/>
      <c r="B3" s="62"/>
      <c r="C3" s="62"/>
      <c r="D3" s="62"/>
      <c r="E3" s="62"/>
      <c r="F3" s="62"/>
      <c r="G3" s="62"/>
      <c r="H3" s="62"/>
      <c r="I3" s="62"/>
      <c r="J3" s="63"/>
      <c r="K3" s="61"/>
      <c r="L3" s="62"/>
      <c r="M3" s="62"/>
      <c r="N3" s="62"/>
      <c r="O3" s="62"/>
      <c r="P3" s="62"/>
      <c r="Q3" s="62"/>
      <c r="R3" s="62"/>
      <c r="S3" s="62"/>
      <c r="T3" s="62"/>
      <c r="U3" s="62"/>
      <c r="V3" s="63"/>
      <c r="W3" s="96"/>
      <c r="X3" s="97"/>
      <c r="Y3" s="97"/>
      <c r="Z3" s="97"/>
      <c r="AA3" s="97"/>
      <c r="AB3" s="97"/>
      <c r="AC3" s="97"/>
      <c r="AD3" s="97"/>
      <c r="AE3" s="97"/>
      <c r="AF3" s="97"/>
      <c r="AG3" s="97"/>
      <c r="AH3" s="97"/>
      <c r="AI3" s="97"/>
      <c r="AJ3" s="97"/>
      <c r="AK3" s="97"/>
      <c r="AL3" s="97"/>
      <c r="AM3" s="97"/>
      <c r="AN3" s="97"/>
      <c r="AO3" s="98"/>
      <c r="AP3" s="61"/>
      <c r="AQ3" s="62"/>
      <c r="AR3" s="62"/>
      <c r="AS3" s="63"/>
      <c r="AT3" s="87"/>
      <c r="AU3" s="88"/>
      <c r="AV3" s="88"/>
      <c r="AW3" s="88"/>
      <c r="AX3" s="89"/>
      <c r="AY3" s="61"/>
      <c r="AZ3" s="62"/>
      <c r="BA3" s="62"/>
      <c r="BB3" s="63"/>
      <c r="BC3" s="87"/>
      <c r="BD3" s="88"/>
      <c r="BE3" s="88"/>
      <c r="BF3" s="88"/>
      <c r="BG3" s="89"/>
      <c r="BH3" s="61"/>
      <c r="BI3" s="62"/>
      <c r="BJ3" s="62"/>
      <c r="BK3" s="63"/>
    </row>
    <row r="4" spans="1:63" ht="24.95" customHeight="1">
      <c r="A4" s="70" t="s">
        <v>10</v>
      </c>
      <c r="B4" s="71"/>
      <c r="C4" s="71"/>
      <c r="D4" s="71"/>
      <c r="E4" s="71"/>
      <c r="F4" s="71"/>
      <c r="G4" s="72"/>
      <c r="H4" s="75" t="e">
        <f ca="1">IF( che [11]phủ!H4="","", che [11]phủ!H4)</f>
        <v>#NAME?</v>
      </c>
      <c r="I4" s="76"/>
      <c r="J4" s="76"/>
      <c r="K4" s="76"/>
      <c r="L4" s="76"/>
      <c r="M4" s="76"/>
      <c r="N4" s="76"/>
      <c r="O4" s="76"/>
      <c r="P4" s="76"/>
      <c r="Q4" s="76"/>
      <c r="R4" s="76"/>
      <c r="S4" s="76"/>
      <c r="T4" s="77"/>
      <c r="U4" s="70" t="s">
        <v>12</v>
      </c>
      <c r="V4" s="71"/>
      <c r="W4" s="71"/>
      <c r="X4" s="71"/>
      <c r="Y4" s="72"/>
      <c r="Z4" s="75" t="e">
        <f ca="1">IF( che [11]phủ!Z4="","", che [11]phủ!Z4)</f>
        <v>#NAME?</v>
      </c>
      <c r="AA4" s="76"/>
      <c r="AB4" s="76"/>
      <c r="AC4" s="76"/>
      <c r="AD4" s="76"/>
      <c r="AE4" s="76"/>
      <c r="AF4" s="76"/>
      <c r="AG4" s="76"/>
      <c r="AH4" s="76"/>
      <c r="AI4" s="76"/>
      <c r="AJ4" s="76"/>
      <c r="AK4" s="76"/>
      <c r="AL4" s="76"/>
      <c r="AM4" s="76"/>
      <c r="AN4" s="76"/>
      <c r="AO4" s="77"/>
      <c r="AP4" s="75" t="e" cm="1">
        <f t="array" aca="1" ref="AP4" ca="1">RIGHT(CELL("filename",$A$1),LEN(CELL("filename",$A$1))-FIND("]",CELL("filename",$A$1)))</f>
        <v>#VALUE!</v>
      </c>
      <c r="AQ4" s="76"/>
      <c r="AR4" s="76"/>
      <c r="AS4" s="76"/>
      <c r="AT4" s="76"/>
      <c r="AU4" s="76"/>
      <c r="AV4" s="76"/>
      <c r="AW4" s="76"/>
      <c r="AX4" s="76"/>
      <c r="AY4" s="76"/>
      <c r="AZ4" s="76"/>
      <c r="BA4" s="76"/>
      <c r="BB4" s="76"/>
      <c r="BC4" s="76"/>
      <c r="BD4" s="76"/>
      <c r="BE4" s="76"/>
      <c r="BF4" s="76"/>
      <c r="BG4" s="76"/>
      <c r="BH4" s="76"/>
      <c r="BI4" s="76"/>
      <c r="BJ4" s="76"/>
      <c r="BK4" s="77"/>
    </row>
    <row r="5" spans="1:63" ht="5.0999999999999996" customHeight="1">
      <c r="A5" s="15"/>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7"/>
    </row>
    <row r="6" spans="1:63" ht="15" customHeight="1">
      <c r="A6" s="18"/>
      <c r="BK6" s="19"/>
    </row>
    <row r="7" spans="1:63" ht="15" customHeight="1">
      <c r="A7" s="18" t="s">
        <v>238</v>
      </c>
      <c r="BK7" s="19"/>
    </row>
    <row r="8" spans="1:63" ht="15" customHeight="1">
      <c r="A8" s="18"/>
      <c r="B8" s="204" t="s">
        <v>239</v>
      </c>
      <c r="C8" s="204"/>
      <c r="D8" s="204"/>
      <c r="E8" s="204"/>
      <c r="F8" s="204"/>
      <c r="G8" s="204"/>
      <c r="H8" s="204"/>
      <c r="I8" s="204"/>
      <c r="J8" s="204"/>
      <c r="K8" s="204"/>
      <c r="L8" s="204"/>
      <c r="M8" s="204"/>
      <c r="N8" s="204"/>
      <c r="O8" s="204"/>
      <c r="P8" s="204"/>
      <c r="Q8" s="204"/>
      <c r="R8" s="204"/>
      <c r="S8" s="204"/>
      <c r="T8" s="204"/>
      <c r="U8" s="204"/>
      <c r="V8" s="204"/>
      <c r="W8" s="204"/>
      <c r="X8" s="204"/>
      <c r="Y8" s="204"/>
      <c r="Z8" s="204"/>
      <c r="AA8" s="204"/>
      <c r="AB8" s="204"/>
      <c r="AC8" s="204"/>
      <c r="AD8" s="204"/>
      <c r="AE8" s="204"/>
      <c r="AF8" s="204"/>
      <c r="AG8" s="204"/>
      <c r="AH8" s="204"/>
      <c r="AI8" s="204"/>
      <c r="AJ8" s="204"/>
      <c r="AK8" s="204"/>
      <c r="BK8" s="19"/>
    </row>
    <row r="9" spans="1:63" ht="15" customHeight="1">
      <c r="A9" s="18"/>
      <c r="B9" s="54"/>
      <c r="C9" s="204" t="s">
        <v>240</v>
      </c>
      <c r="D9" s="204"/>
      <c r="E9" s="204"/>
      <c r="F9" s="204"/>
      <c r="G9" s="204"/>
      <c r="H9" s="204"/>
      <c r="I9" s="204"/>
      <c r="J9" s="204"/>
      <c r="K9" s="204"/>
      <c r="L9" s="204"/>
      <c r="M9" s="204"/>
      <c r="N9" s="204"/>
      <c r="O9" s="204"/>
      <c r="P9" s="204"/>
      <c r="Q9" s="204"/>
      <c r="R9" s="204"/>
      <c r="S9" s="204"/>
      <c r="T9" s="204"/>
      <c r="U9" s="204"/>
      <c r="V9" s="204"/>
      <c r="W9" s="204"/>
      <c r="X9" s="204"/>
      <c r="Y9" s="204"/>
      <c r="Z9" s="204"/>
      <c r="AA9" s="204"/>
      <c r="AB9" s="204"/>
      <c r="AC9" s="204"/>
      <c r="AD9" s="204"/>
      <c r="AE9" s="204"/>
      <c r="AF9" s="204"/>
      <c r="AG9" s="204"/>
      <c r="AH9" s="204"/>
      <c r="AI9" s="204"/>
      <c r="AJ9" s="204"/>
      <c r="AK9" s="204"/>
      <c r="BK9" s="19"/>
    </row>
    <row r="10" spans="1:63" ht="15" customHeight="1">
      <c r="A10" s="18"/>
      <c r="B10" s="204" t="s">
        <v>241</v>
      </c>
      <c r="C10" s="204"/>
      <c r="D10" s="204"/>
      <c r="E10" s="204"/>
      <c r="F10" s="204"/>
      <c r="G10" s="204"/>
      <c r="H10" s="204"/>
      <c r="I10" s="204"/>
      <c r="J10" s="204"/>
      <c r="K10" s="204"/>
      <c r="L10" s="204"/>
      <c r="M10" s="204"/>
      <c r="N10" s="204"/>
      <c r="O10" s="204"/>
      <c r="P10" s="204"/>
      <c r="Q10" s="204"/>
      <c r="R10" s="204"/>
      <c r="S10" s="204"/>
      <c r="T10" s="204"/>
      <c r="U10" s="204"/>
      <c r="V10" s="204"/>
      <c r="W10" s="204"/>
      <c r="X10" s="204"/>
      <c r="Y10" s="204"/>
      <c r="Z10" s="204"/>
      <c r="AA10" s="204"/>
      <c r="AB10" s="204"/>
      <c r="AC10" s="204"/>
      <c r="AD10" s="204"/>
      <c r="AE10" s="204"/>
      <c r="AF10" s="204"/>
      <c r="AG10" s="204"/>
      <c r="AH10" s="204"/>
      <c r="AI10" s="204"/>
      <c r="AJ10" s="204"/>
      <c r="AK10" s="204"/>
      <c r="BK10" s="19"/>
    </row>
    <row r="11" spans="1:63" ht="15" customHeight="1">
      <c r="A11" s="18"/>
      <c r="B11" s="54"/>
      <c r="C11" s="204" t="s">
        <v>242</v>
      </c>
      <c r="D11" s="204"/>
      <c r="E11" s="204"/>
      <c r="F11" s="204"/>
      <c r="G11" s="204"/>
      <c r="H11" s="204"/>
      <c r="I11" s="204"/>
      <c r="J11" s="204"/>
      <c r="K11" s="204"/>
      <c r="L11" s="204"/>
      <c r="M11" s="204"/>
      <c r="N11" s="204"/>
      <c r="O11" s="204"/>
      <c r="P11" s="204"/>
      <c r="Q11" s="204"/>
      <c r="R11" s="204"/>
      <c r="S11" s="204"/>
      <c r="T11" s="204"/>
      <c r="U11" s="204"/>
      <c r="V11" s="204"/>
      <c r="W11" s="204"/>
      <c r="X11" s="204"/>
      <c r="Y11" s="204"/>
      <c r="Z11" s="204"/>
      <c r="AA11" s="204"/>
      <c r="AB11" s="204"/>
      <c r="AC11" s="204"/>
      <c r="AD11" s="204"/>
      <c r="AE11" s="204"/>
      <c r="AF11" s="204"/>
      <c r="AG11" s="204"/>
      <c r="AH11" s="204"/>
      <c r="AI11" s="204"/>
      <c r="AJ11" s="204"/>
      <c r="AK11" s="204"/>
      <c r="BK11" s="19"/>
    </row>
    <row r="12" spans="1:63" ht="15" customHeight="1">
      <c r="A12" s="18"/>
      <c r="B12" s="204" t="s">
        <v>243</v>
      </c>
      <c r="C12" s="204"/>
      <c r="D12" s="204"/>
      <c r="E12" s="204"/>
      <c r="F12" s="204"/>
      <c r="G12" s="204"/>
      <c r="H12" s="204"/>
      <c r="I12" s="204"/>
      <c r="J12" s="204"/>
      <c r="K12" s="204"/>
      <c r="L12" s="204"/>
      <c r="M12" s="204"/>
      <c r="N12" s="204"/>
      <c r="O12" s="204"/>
      <c r="P12" s="204"/>
      <c r="Q12" s="204"/>
      <c r="R12" s="204"/>
      <c r="S12" s="204"/>
      <c r="T12" s="204"/>
      <c r="U12" s="204"/>
      <c r="V12" s="204"/>
      <c r="W12" s="204"/>
      <c r="X12" s="204"/>
      <c r="Y12" s="204"/>
      <c r="Z12" s="204"/>
      <c r="AA12" s="204"/>
      <c r="AB12" s="204"/>
      <c r="AC12" s="204"/>
      <c r="AD12" s="204"/>
      <c r="AE12" s="204"/>
      <c r="AF12" s="204"/>
      <c r="AG12" s="204"/>
      <c r="AH12" s="204"/>
      <c r="AI12" s="204"/>
      <c r="AJ12" s="204"/>
      <c r="AK12" s="204"/>
      <c r="BK12" s="19"/>
    </row>
    <row r="13" spans="1:63" ht="15" customHeight="1">
      <c r="A13" s="18"/>
      <c r="B13" s="54"/>
      <c r="C13" s="205" t="s">
        <v>244</v>
      </c>
      <c r="D13" s="205"/>
      <c r="E13" s="205"/>
      <c r="F13" s="205"/>
      <c r="G13" s="205"/>
      <c r="H13" s="205"/>
      <c r="I13" s="205"/>
      <c r="J13" s="205"/>
      <c r="K13" s="205"/>
      <c r="L13" s="205"/>
      <c r="M13" s="205"/>
      <c r="N13" s="205"/>
      <c r="O13" s="205"/>
      <c r="P13" s="205"/>
      <c r="Q13" s="205"/>
      <c r="R13" s="205"/>
      <c r="S13" s="205"/>
      <c r="T13" s="205"/>
      <c r="U13" s="205"/>
      <c r="V13" s="205"/>
      <c r="W13" s="205"/>
      <c r="X13" s="205"/>
      <c r="Y13" s="205"/>
      <c r="Z13" s="205"/>
      <c r="AA13" s="205"/>
      <c r="AB13" s="205"/>
      <c r="AC13" s="205"/>
      <c r="AD13" s="205"/>
      <c r="AE13" s="205"/>
      <c r="AF13" s="205"/>
      <c r="AG13" s="205"/>
      <c r="AH13" s="205"/>
      <c r="AI13" s="205"/>
      <c r="AJ13" s="205"/>
      <c r="AK13" s="205"/>
      <c r="BK13" s="19"/>
    </row>
    <row r="14" spans="1:63" ht="15" customHeight="1">
      <c r="A14" s="18"/>
      <c r="B14" s="54"/>
      <c r="C14" s="205"/>
      <c r="D14" s="205"/>
      <c r="E14" s="205"/>
      <c r="F14" s="205"/>
      <c r="G14" s="205"/>
      <c r="H14" s="205"/>
      <c r="I14" s="205"/>
      <c r="J14" s="205"/>
      <c r="K14" s="205"/>
      <c r="L14" s="205"/>
      <c r="M14" s="205"/>
      <c r="N14" s="205"/>
      <c r="O14" s="205"/>
      <c r="P14" s="205"/>
      <c r="Q14" s="205"/>
      <c r="R14" s="205"/>
      <c r="S14" s="205"/>
      <c r="T14" s="205"/>
      <c r="U14" s="205"/>
      <c r="V14" s="205"/>
      <c r="W14" s="205"/>
      <c r="X14" s="205"/>
      <c r="Y14" s="205"/>
      <c r="Z14" s="205"/>
      <c r="AA14" s="205"/>
      <c r="AB14" s="205"/>
      <c r="AC14" s="205"/>
      <c r="AD14" s="205"/>
      <c r="AE14" s="205"/>
      <c r="AF14" s="205"/>
      <c r="AG14" s="205"/>
      <c r="AH14" s="205"/>
      <c r="AI14" s="205"/>
      <c r="AJ14" s="205"/>
      <c r="AK14" s="205"/>
      <c r="BK14" s="19"/>
    </row>
    <row r="15" spans="1:63" ht="15" customHeight="1">
      <c r="A15" s="18"/>
      <c r="B15" s="54"/>
      <c r="C15" s="205"/>
      <c r="D15" s="205"/>
      <c r="E15" s="205"/>
      <c r="F15" s="205"/>
      <c r="G15" s="205"/>
      <c r="H15" s="205"/>
      <c r="I15" s="205"/>
      <c r="J15" s="205"/>
      <c r="K15" s="205"/>
      <c r="L15" s="205"/>
      <c r="M15" s="205"/>
      <c r="N15" s="205"/>
      <c r="O15" s="205"/>
      <c r="P15" s="205"/>
      <c r="Q15" s="205"/>
      <c r="R15" s="205"/>
      <c r="S15" s="205"/>
      <c r="T15" s="205"/>
      <c r="U15" s="205"/>
      <c r="V15" s="205"/>
      <c r="W15" s="205"/>
      <c r="X15" s="205"/>
      <c r="Y15" s="205"/>
      <c r="Z15" s="205"/>
      <c r="AA15" s="205"/>
      <c r="AB15" s="205"/>
      <c r="AC15" s="205"/>
      <c r="AD15" s="205"/>
      <c r="AE15" s="205"/>
      <c r="AF15" s="205"/>
      <c r="AG15" s="205"/>
      <c r="AH15" s="205"/>
      <c r="AI15" s="205"/>
      <c r="AJ15" s="205"/>
      <c r="AK15" s="205"/>
      <c r="BK15" s="19"/>
    </row>
    <row r="16" spans="1:63" ht="15" customHeight="1">
      <c r="A16" s="18"/>
      <c r="B16" s="54"/>
      <c r="C16" s="205"/>
      <c r="D16" s="205"/>
      <c r="E16" s="205"/>
      <c r="F16" s="205"/>
      <c r="G16" s="205"/>
      <c r="H16" s="205"/>
      <c r="I16" s="205"/>
      <c r="J16" s="205"/>
      <c r="K16" s="205"/>
      <c r="L16" s="205"/>
      <c r="M16" s="205"/>
      <c r="N16" s="205"/>
      <c r="O16" s="205"/>
      <c r="P16" s="205"/>
      <c r="Q16" s="205"/>
      <c r="R16" s="205"/>
      <c r="S16" s="205"/>
      <c r="T16" s="205"/>
      <c r="U16" s="205"/>
      <c r="V16" s="205"/>
      <c r="W16" s="205"/>
      <c r="X16" s="205"/>
      <c r="Y16" s="205"/>
      <c r="Z16" s="205"/>
      <c r="AA16" s="205"/>
      <c r="AB16" s="205"/>
      <c r="AC16" s="205"/>
      <c r="AD16" s="205"/>
      <c r="AE16" s="205"/>
      <c r="AF16" s="205"/>
      <c r="AG16" s="205"/>
      <c r="AH16" s="205"/>
      <c r="AI16" s="205"/>
      <c r="AJ16" s="205"/>
      <c r="AK16" s="205"/>
      <c r="BK16" s="19"/>
    </row>
    <row r="17" spans="1:63" ht="15" customHeight="1">
      <c r="A17" s="18"/>
      <c r="B17" s="54"/>
      <c r="C17" s="205"/>
      <c r="D17" s="205"/>
      <c r="E17" s="205"/>
      <c r="F17" s="205"/>
      <c r="G17" s="205"/>
      <c r="H17" s="205"/>
      <c r="I17" s="205"/>
      <c r="J17" s="205"/>
      <c r="K17" s="205"/>
      <c r="L17" s="205"/>
      <c r="M17" s="205"/>
      <c r="N17" s="205"/>
      <c r="O17" s="205"/>
      <c r="P17" s="205"/>
      <c r="Q17" s="205"/>
      <c r="R17" s="205"/>
      <c r="S17" s="205"/>
      <c r="T17" s="205"/>
      <c r="U17" s="205"/>
      <c r="V17" s="205"/>
      <c r="W17" s="205"/>
      <c r="X17" s="205"/>
      <c r="Y17" s="205"/>
      <c r="Z17" s="205"/>
      <c r="AA17" s="205"/>
      <c r="AB17" s="205"/>
      <c r="AC17" s="205"/>
      <c r="AD17" s="205"/>
      <c r="AE17" s="205"/>
      <c r="AF17" s="205"/>
      <c r="AG17" s="205"/>
      <c r="AH17" s="205"/>
      <c r="AI17" s="205"/>
      <c r="AJ17" s="205"/>
      <c r="AK17" s="205"/>
      <c r="BK17" s="19"/>
    </row>
    <row r="18" spans="1:63" ht="15" customHeight="1">
      <c r="A18" s="18"/>
      <c r="B18" s="54"/>
      <c r="C18" s="205"/>
      <c r="D18" s="205"/>
      <c r="E18" s="205"/>
      <c r="F18" s="205"/>
      <c r="G18" s="205"/>
      <c r="H18" s="205"/>
      <c r="I18" s="205"/>
      <c r="J18" s="205"/>
      <c r="K18" s="205"/>
      <c r="L18" s="205"/>
      <c r="M18" s="205"/>
      <c r="N18" s="205"/>
      <c r="O18" s="205"/>
      <c r="P18" s="205"/>
      <c r="Q18" s="205"/>
      <c r="R18" s="205"/>
      <c r="S18" s="205"/>
      <c r="T18" s="205"/>
      <c r="U18" s="205"/>
      <c r="V18" s="205"/>
      <c r="W18" s="205"/>
      <c r="X18" s="205"/>
      <c r="Y18" s="205"/>
      <c r="Z18" s="205"/>
      <c r="AA18" s="205"/>
      <c r="AB18" s="205"/>
      <c r="AC18" s="205"/>
      <c r="AD18" s="205"/>
      <c r="AE18" s="205"/>
      <c r="AF18" s="205"/>
      <c r="AG18" s="205"/>
      <c r="AH18" s="205"/>
      <c r="AI18" s="205"/>
      <c r="AJ18" s="205"/>
      <c r="AK18" s="205"/>
      <c r="BK18" s="19"/>
    </row>
    <row r="19" spans="1:63" ht="15" customHeight="1">
      <c r="A19" s="18"/>
      <c r="B19" s="54"/>
      <c r="C19" s="205"/>
      <c r="D19" s="205"/>
      <c r="E19" s="205"/>
      <c r="F19" s="205"/>
      <c r="G19" s="205"/>
      <c r="H19" s="205"/>
      <c r="I19" s="205"/>
      <c r="J19" s="205"/>
      <c r="K19" s="205"/>
      <c r="L19" s="205"/>
      <c r="M19" s="205"/>
      <c r="N19" s="205"/>
      <c r="O19" s="205"/>
      <c r="P19" s="205"/>
      <c r="Q19" s="205"/>
      <c r="R19" s="205"/>
      <c r="S19" s="205"/>
      <c r="T19" s="205"/>
      <c r="U19" s="205"/>
      <c r="V19" s="205"/>
      <c r="W19" s="205"/>
      <c r="X19" s="205"/>
      <c r="Y19" s="205"/>
      <c r="Z19" s="205"/>
      <c r="AA19" s="205"/>
      <c r="AB19" s="205"/>
      <c r="AC19" s="205"/>
      <c r="AD19" s="205"/>
      <c r="AE19" s="205"/>
      <c r="AF19" s="205"/>
      <c r="AG19" s="205"/>
      <c r="AH19" s="205"/>
      <c r="AI19" s="205"/>
      <c r="AJ19" s="205"/>
      <c r="AK19" s="205"/>
      <c r="BK19" s="19"/>
    </row>
    <row r="20" spans="1:63" ht="15" customHeight="1">
      <c r="A20" s="18"/>
      <c r="B20" s="54"/>
      <c r="C20" s="205"/>
      <c r="D20" s="205"/>
      <c r="E20" s="205"/>
      <c r="F20" s="205"/>
      <c r="G20" s="205"/>
      <c r="H20" s="205"/>
      <c r="I20" s="205"/>
      <c r="J20" s="205"/>
      <c r="K20" s="205"/>
      <c r="L20" s="205"/>
      <c r="M20" s="205"/>
      <c r="N20" s="205"/>
      <c r="O20" s="205"/>
      <c r="P20" s="205"/>
      <c r="Q20" s="205"/>
      <c r="R20" s="205"/>
      <c r="S20" s="205"/>
      <c r="T20" s="205"/>
      <c r="U20" s="205"/>
      <c r="V20" s="205"/>
      <c r="W20" s="205"/>
      <c r="X20" s="205"/>
      <c r="Y20" s="205"/>
      <c r="Z20" s="205"/>
      <c r="AA20" s="205"/>
      <c r="AB20" s="205"/>
      <c r="AC20" s="205"/>
      <c r="AD20" s="205"/>
      <c r="AE20" s="205"/>
      <c r="AF20" s="205"/>
      <c r="AG20" s="205"/>
      <c r="AH20" s="205"/>
      <c r="AI20" s="205"/>
      <c r="AJ20" s="205"/>
      <c r="AK20" s="205"/>
      <c r="BK20" s="19"/>
    </row>
    <row r="21" spans="1:63" ht="15" customHeight="1">
      <c r="A21" s="18"/>
      <c r="B21" s="54"/>
      <c r="C21" s="205"/>
      <c r="D21" s="205"/>
      <c r="E21" s="205"/>
      <c r="F21" s="205"/>
      <c r="G21" s="205"/>
      <c r="H21" s="205"/>
      <c r="I21" s="205"/>
      <c r="J21" s="205"/>
      <c r="K21" s="205"/>
      <c r="L21" s="205"/>
      <c r="M21" s="205"/>
      <c r="N21" s="205"/>
      <c r="O21" s="205"/>
      <c r="P21" s="205"/>
      <c r="Q21" s="205"/>
      <c r="R21" s="205"/>
      <c r="S21" s="205"/>
      <c r="T21" s="205"/>
      <c r="U21" s="205"/>
      <c r="V21" s="205"/>
      <c r="W21" s="205"/>
      <c r="X21" s="205"/>
      <c r="Y21" s="205"/>
      <c r="Z21" s="205"/>
      <c r="AA21" s="205"/>
      <c r="AB21" s="205"/>
      <c r="AC21" s="205"/>
      <c r="AD21" s="205"/>
      <c r="AE21" s="205"/>
      <c r="AF21" s="205"/>
      <c r="AG21" s="205"/>
      <c r="AH21" s="205"/>
      <c r="AI21" s="205"/>
      <c r="AJ21" s="205"/>
      <c r="AK21" s="205"/>
      <c r="BK21" s="19"/>
    </row>
    <row r="22" spans="1:63" ht="15" customHeight="1">
      <c r="A22" s="18"/>
      <c r="B22" s="54"/>
      <c r="C22" s="205"/>
      <c r="D22" s="205"/>
      <c r="E22" s="205"/>
      <c r="F22" s="205"/>
      <c r="G22" s="205"/>
      <c r="H22" s="205"/>
      <c r="I22" s="205"/>
      <c r="J22" s="205"/>
      <c r="K22" s="205"/>
      <c r="L22" s="205"/>
      <c r="M22" s="205"/>
      <c r="N22" s="205"/>
      <c r="O22" s="205"/>
      <c r="P22" s="205"/>
      <c r="Q22" s="205"/>
      <c r="R22" s="205"/>
      <c r="S22" s="205"/>
      <c r="T22" s="205"/>
      <c r="U22" s="205"/>
      <c r="V22" s="205"/>
      <c r="W22" s="205"/>
      <c r="X22" s="205"/>
      <c r="Y22" s="205"/>
      <c r="Z22" s="205"/>
      <c r="AA22" s="205"/>
      <c r="AB22" s="205"/>
      <c r="AC22" s="205"/>
      <c r="AD22" s="205"/>
      <c r="AE22" s="205"/>
      <c r="AF22" s="205"/>
      <c r="AG22" s="205"/>
      <c r="AH22" s="205"/>
      <c r="AI22" s="205"/>
      <c r="AJ22" s="205"/>
      <c r="AK22" s="205"/>
      <c r="BK22" s="19"/>
    </row>
    <row r="23" spans="1:63" ht="15" customHeight="1">
      <c r="A23" s="18"/>
      <c r="B23" s="54"/>
      <c r="C23" s="205"/>
      <c r="D23" s="205"/>
      <c r="E23" s="205"/>
      <c r="F23" s="205"/>
      <c r="G23" s="205"/>
      <c r="H23" s="205"/>
      <c r="I23" s="205"/>
      <c r="J23" s="205"/>
      <c r="K23" s="205"/>
      <c r="L23" s="205"/>
      <c r="M23" s="205"/>
      <c r="N23" s="205"/>
      <c r="O23" s="205"/>
      <c r="P23" s="205"/>
      <c r="Q23" s="205"/>
      <c r="R23" s="205"/>
      <c r="S23" s="205"/>
      <c r="T23" s="205"/>
      <c r="U23" s="205"/>
      <c r="V23" s="205"/>
      <c r="W23" s="205"/>
      <c r="X23" s="205"/>
      <c r="Y23" s="205"/>
      <c r="Z23" s="205"/>
      <c r="AA23" s="205"/>
      <c r="AB23" s="205"/>
      <c r="AC23" s="205"/>
      <c r="AD23" s="205"/>
      <c r="AE23" s="205"/>
      <c r="AF23" s="205"/>
      <c r="AG23" s="205"/>
      <c r="AH23" s="205"/>
      <c r="AI23" s="205"/>
      <c r="AJ23" s="205"/>
      <c r="AK23" s="205"/>
      <c r="BK23" s="19"/>
    </row>
    <row r="24" spans="1:63" ht="15" customHeight="1">
      <c r="A24" s="18"/>
      <c r="B24" s="54"/>
      <c r="C24" s="205"/>
      <c r="D24" s="205"/>
      <c r="E24" s="205"/>
      <c r="F24" s="205"/>
      <c r="G24" s="205"/>
      <c r="H24" s="205"/>
      <c r="I24" s="205"/>
      <c r="J24" s="205"/>
      <c r="K24" s="205"/>
      <c r="L24" s="205"/>
      <c r="M24" s="205"/>
      <c r="N24" s="205"/>
      <c r="O24" s="205"/>
      <c r="P24" s="205"/>
      <c r="Q24" s="205"/>
      <c r="R24" s="205"/>
      <c r="S24" s="205"/>
      <c r="T24" s="205"/>
      <c r="U24" s="205"/>
      <c r="V24" s="205"/>
      <c r="W24" s="205"/>
      <c r="X24" s="205"/>
      <c r="Y24" s="205"/>
      <c r="Z24" s="205"/>
      <c r="AA24" s="205"/>
      <c r="AB24" s="205"/>
      <c r="AC24" s="205"/>
      <c r="AD24" s="205"/>
      <c r="AE24" s="205"/>
      <c r="AF24" s="205"/>
      <c r="AG24" s="205"/>
      <c r="AH24" s="205"/>
      <c r="AI24" s="205"/>
      <c r="AJ24" s="205"/>
      <c r="AK24" s="205"/>
      <c r="BK24" s="19"/>
    </row>
    <row r="25" spans="1:63" ht="15" customHeight="1">
      <c r="A25" s="18"/>
      <c r="B25" s="204" t="s">
        <v>245</v>
      </c>
      <c r="C25" s="204"/>
      <c r="D25" s="204"/>
      <c r="E25" s="204"/>
      <c r="F25" s="204"/>
      <c r="G25" s="204"/>
      <c r="H25" s="204"/>
      <c r="I25" s="204"/>
      <c r="J25" s="204"/>
      <c r="K25" s="204"/>
      <c r="L25" s="204"/>
      <c r="M25" s="204"/>
      <c r="N25" s="204"/>
      <c r="O25" s="204"/>
      <c r="P25" s="204"/>
      <c r="Q25" s="204"/>
      <c r="R25" s="204"/>
      <c r="S25" s="204"/>
      <c r="T25" s="204"/>
      <c r="U25" s="204"/>
      <c r="V25" s="204"/>
      <c r="W25" s="204"/>
      <c r="X25" s="204"/>
      <c r="Y25" s="204"/>
      <c r="Z25" s="204"/>
      <c r="AA25" s="204"/>
      <c r="AB25" s="204"/>
      <c r="AC25" s="204"/>
      <c r="AD25" s="204"/>
      <c r="AE25" s="204"/>
      <c r="AF25" s="204"/>
      <c r="AG25" s="204"/>
      <c r="AH25" s="204"/>
      <c r="AI25" s="204"/>
      <c r="AJ25" s="204"/>
      <c r="AK25" s="204"/>
      <c r="BK25" s="19"/>
    </row>
    <row r="26" spans="1:63" ht="15" customHeight="1">
      <c r="A26" s="18"/>
      <c r="B26" s="54"/>
      <c r="C26" s="219" t="s">
        <v>246</v>
      </c>
      <c r="D26" s="219"/>
      <c r="E26" s="219"/>
      <c r="F26" s="219"/>
      <c r="G26" s="219"/>
      <c r="H26" s="219"/>
      <c r="I26" s="219"/>
      <c r="J26" s="219"/>
      <c r="K26" s="219"/>
      <c r="L26" s="219"/>
      <c r="M26" s="219"/>
      <c r="N26" s="219"/>
      <c r="O26" s="219"/>
      <c r="P26" s="219"/>
      <c r="Q26" s="219"/>
      <c r="R26" s="219"/>
      <c r="S26" s="219"/>
      <c r="T26" s="219"/>
      <c r="U26" s="219"/>
      <c r="V26" s="219"/>
      <c r="W26" s="219"/>
      <c r="X26" s="219"/>
      <c r="Y26" s="219"/>
      <c r="Z26" s="219"/>
      <c r="AA26" s="219"/>
      <c r="AB26" s="219"/>
      <c r="AC26" s="219"/>
      <c r="AD26" s="219"/>
      <c r="AE26" s="219"/>
      <c r="AF26" s="219"/>
      <c r="AG26" s="219"/>
      <c r="AH26" s="219"/>
      <c r="AI26" s="219"/>
      <c r="AJ26" s="219"/>
      <c r="AK26" s="219"/>
      <c r="BK26" s="19"/>
    </row>
    <row r="27" spans="1:63" ht="15" customHeight="1">
      <c r="A27" s="18"/>
      <c r="BK27" s="19"/>
    </row>
    <row r="28" spans="1:63" ht="15" customHeight="1">
      <c r="A28" s="18" t="s">
        <v>247</v>
      </c>
      <c r="BK28" s="19"/>
    </row>
    <row r="29" spans="1:63" ht="15" customHeight="1">
      <c r="A29" s="18"/>
      <c r="B29" s="204" t="s">
        <v>239</v>
      </c>
      <c r="C29" s="204"/>
      <c r="D29" s="204"/>
      <c r="E29" s="204"/>
      <c r="F29" s="204"/>
      <c r="G29" s="204"/>
      <c r="H29" s="204"/>
      <c r="I29" s="204"/>
      <c r="J29" s="204"/>
      <c r="K29" s="204"/>
      <c r="L29" s="204"/>
      <c r="M29" s="204"/>
      <c r="N29" s="204"/>
      <c r="O29" s="204"/>
      <c r="P29" s="204"/>
      <c r="Q29" s="204"/>
      <c r="R29" s="204"/>
      <c r="S29" s="204"/>
      <c r="T29" s="204"/>
      <c r="U29" s="204"/>
      <c r="V29" s="204"/>
      <c r="W29" s="204"/>
      <c r="X29" s="204"/>
      <c r="Y29" s="204"/>
      <c r="Z29" s="204"/>
      <c r="AA29" s="204"/>
      <c r="AB29" s="204"/>
      <c r="AC29" s="204"/>
      <c r="AD29" s="204"/>
      <c r="AE29" s="204"/>
      <c r="AF29" s="204"/>
      <c r="AG29" s="204"/>
      <c r="AH29" s="204"/>
      <c r="AI29" s="204"/>
      <c r="AJ29" s="204"/>
      <c r="AK29" s="204"/>
      <c r="BK29" s="19"/>
    </row>
    <row r="30" spans="1:63" ht="36" customHeight="1">
      <c r="A30" s="18"/>
      <c r="B30" s="54"/>
      <c r="C30" s="205" t="s">
        <v>248</v>
      </c>
      <c r="D30" s="205"/>
      <c r="E30" s="205"/>
      <c r="F30" s="205"/>
      <c r="G30" s="205"/>
      <c r="H30" s="205"/>
      <c r="I30" s="205"/>
      <c r="J30" s="205"/>
      <c r="K30" s="205"/>
      <c r="L30" s="205"/>
      <c r="M30" s="205"/>
      <c r="N30" s="205"/>
      <c r="O30" s="205"/>
      <c r="P30" s="205"/>
      <c r="Q30" s="205"/>
      <c r="R30" s="205"/>
      <c r="S30" s="205"/>
      <c r="T30" s="205"/>
      <c r="U30" s="205"/>
      <c r="V30" s="205"/>
      <c r="W30" s="205"/>
      <c r="X30" s="205"/>
      <c r="Y30" s="205"/>
      <c r="Z30" s="205"/>
      <c r="AA30" s="205"/>
      <c r="AB30" s="205"/>
      <c r="AC30" s="205"/>
      <c r="AD30" s="205"/>
      <c r="AE30" s="205"/>
      <c r="AF30" s="205"/>
      <c r="AG30" s="205"/>
      <c r="AH30" s="205"/>
      <c r="AI30" s="205"/>
      <c r="AJ30" s="205"/>
      <c r="AK30" s="205"/>
      <c r="BK30" s="19"/>
    </row>
    <row r="31" spans="1:63" ht="15" customHeight="1">
      <c r="A31" s="18"/>
      <c r="B31" s="204" t="s">
        <v>241</v>
      </c>
      <c r="C31" s="204"/>
      <c r="D31" s="204"/>
      <c r="E31" s="204"/>
      <c r="F31" s="204"/>
      <c r="G31" s="204"/>
      <c r="H31" s="204"/>
      <c r="I31" s="204"/>
      <c r="J31" s="204"/>
      <c r="K31" s="204"/>
      <c r="L31" s="204"/>
      <c r="M31" s="204"/>
      <c r="N31" s="204"/>
      <c r="O31" s="204"/>
      <c r="P31" s="204"/>
      <c r="Q31" s="204"/>
      <c r="R31" s="204"/>
      <c r="S31" s="204"/>
      <c r="T31" s="204"/>
      <c r="U31" s="204"/>
      <c r="V31" s="204"/>
      <c r="W31" s="204"/>
      <c r="X31" s="204"/>
      <c r="Y31" s="204"/>
      <c r="Z31" s="204"/>
      <c r="AA31" s="204"/>
      <c r="AB31" s="204"/>
      <c r="AC31" s="204"/>
      <c r="AD31" s="204"/>
      <c r="AE31" s="204"/>
      <c r="AF31" s="204"/>
      <c r="AG31" s="204"/>
      <c r="AH31" s="204"/>
      <c r="AI31" s="204"/>
      <c r="AJ31" s="204"/>
      <c r="AK31" s="204"/>
      <c r="BK31" s="19"/>
    </row>
    <row r="32" spans="1:63" ht="15" customHeight="1">
      <c r="A32" s="18"/>
      <c r="B32" s="54"/>
      <c r="C32" s="219" t="s">
        <v>249</v>
      </c>
      <c r="D32" s="219"/>
      <c r="E32" s="219"/>
      <c r="F32" s="219"/>
      <c r="G32" s="219"/>
      <c r="H32" s="219"/>
      <c r="I32" s="219"/>
      <c r="J32" s="219"/>
      <c r="K32" s="219"/>
      <c r="L32" s="219"/>
      <c r="M32" s="219"/>
      <c r="N32" s="219"/>
      <c r="O32" s="219"/>
      <c r="P32" s="219"/>
      <c r="Q32" s="219"/>
      <c r="R32" s="219"/>
      <c r="S32" s="219"/>
      <c r="T32" s="219"/>
      <c r="U32" s="219"/>
      <c r="V32" s="219"/>
      <c r="W32" s="219"/>
      <c r="X32" s="219"/>
      <c r="Y32" s="219"/>
      <c r="Z32" s="219"/>
      <c r="AA32" s="219"/>
      <c r="AB32" s="219"/>
      <c r="AC32" s="219"/>
      <c r="AD32" s="219"/>
      <c r="AE32" s="219"/>
      <c r="AF32" s="219"/>
      <c r="AG32" s="219"/>
      <c r="AH32" s="219"/>
      <c r="AI32" s="219"/>
      <c r="AJ32" s="219"/>
      <c r="AK32" s="219"/>
      <c r="BK32" s="19"/>
    </row>
    <row r="33" spans="1:63" ht="15" customHeight="1">
      <c r="A33" s="18"/>
      <c r="B33" s="54"/>
      <c r="C33" s="219" t="s">
        <v>250</v>
      </c>
      <c r="D33" s="219"/>
      <c r="E33" s="219"/>
      <c r="F33" s="219"/>
      <c r="G33" s="219"/>
      <c r="H33" s="219"/>
      <c r="I33" s="219"/>
      <c r="J33" s="219"/>
      <c r="K33" s="219"/>
      <c r="L33" s="219"/>
      <c r="M33" s="219"/>
      <c r="N33" s="219"/>
      <c r="O33" s="219"/>
      <c r="P33" s="219"/>
      <c r="Q33" s="219"/>
      <c r="R33" s="219"/>
      <c r="S33" s="219"/>
      <c r="T33" s="219"/>
      <c r="U33" s="219"/>
      <c r="V33" s="219"/>
      <c r="W33" s="219"/>
      <c r="X33" s="219"/>
      <c r="Y33" s="219"/>
      <c r="Z33" s="219"/>
      <c r="AA33" s="219"/>
      <c r="AB33" s="219"/>
      <c r="AC33" s="219"/>
      <c r="AD33" s="219"/>
      <c r="AE33" s="219"/>
      <c r="AF33" s="219"/>
      <c r="AG33" s="219"/>
      <c r="AH33" s="219"/>
      <c r="AI33" s="219"/>
      <c r="AJ33" s="219"/>
      <c r="AK33" s="219"/>
      <c r="BK33" s="19"/>
    </row>
    <row r="34" spans="1:63" ht="15" customHeight="1">
      <c r="A34" s="18"/>
      <c r="B34" s="204" t="s">
        <v>243</v>
      </c>
      <c r="C34" s="204"/>
      <c r="D34" s="204"/>
      <c r="E34" s="204"/>
      <c r="F34" s="204"/>
      <c r="G34" s="204"/>
      <c r="H34" s="204"/>
      <c r="I34" s="204"/>
      <c r="J34" s="204"/>
      <c r="K34" s="204"/>
      <c r="L34" s="204"/>
      <c r="M34" s="204"/>
      <c r="N34" s="204"/>
      <c r="O34" s="204"/>
      <c r="P34" s="204"/>
      <c r="Q34" s="204"/>
      <c r="R34" s="204"/>
      <c r="S34" s="204"/>
      <c r="T34" s="204"/>
      <c r="U34" s="204"/>
      <c r="V34" s="204"/>
      <c r="W34" s="204"/>
      <c r="X34" s="204"/>
      <c r="Y34" s="204"/>
      <c r="Z34" s="204"/>
      <c r="AA34" s="204"/>
      <c r="AB34" s="204"/>
      <c r="AC34" s="204"/>
      <c r="AD34" s="204"/>
      <c r="AE34" s="204"/>
      <c r="AF34" s="204"/>
      <c r="AG34" s="204"/>
      <c r="AH34" s="204"/>
      <c r="AI34" s="204"/>
      <c r="AJ34" s="204"/>
      <c r="AK34" s="204"/>
      <c r="BK34" s="19"/>
    </row>
    <row r="35" spans="1:63" ht="15" customHeight="1">
      <c r="A35" s="18"/>
      <c r="B35" s="54"/>
      <c r="C35" s="218" t="s">
        <v>251</v>
      </c>
      <c r="D35" s="218"/>
      <c r="E35" s="218"/>
      <c r="F35" s="218"/>
      <c r="G35" s="218"/>
      <c r="H35" s="218"/>
      <c r="I35" s="218"/>
      <c r="J35" s="218"/>
      <c r="K35" s="218"/>
      <c r="L35" s="218"/>
      <c r="M35" s="218"/>
      <c r="N35" s="218"/>
      <c r="O35" s="218"/>
      <c r="P35" s="218"/>
      <c r="Q35" s="218"/>
      <c r="R35" s="218"/>
      <c r="S35" s="218"/>
      <c r="T35" s="218"/>
      <c r="U35" s="218"/>
      <c r="V35" s="218"/>
      <c r="W35" s="218"/>
      <c r="X35" s="218"/>
      <c r="Y35" s="218"/>
      <c r="Z35" s="218"/>
      <c r="AA35" s="218"/>
      <c r="AB35" s="218"/>
      <c r="AC35" s="218"/>
      <c r="AD35" s="218"/>
      <c r="AE35" s="218"/>
      <c r="AF35" s="218"/>
      <c r="AG35" s="218"/>
      <c r="AH35" s="218"/>
      <c r="AI35" s="218"/>
      <c r="AJ35" s="218"/>
      <c r="AK35" s="218"/>
      <c r="BK35" s="19"/>
    </row>
    <row r="36" spans="1:63" ht="15" customHeight="1">
      <c r="A36" s="18"/>
      <c r="B36" s="54"/>
      <c r="C36" s="218"/>
      <c r="D36" s="218"/>
      <c r="E36" s="218"/>
      <c r="F36" s="218"/>
      <c r="G36" s="218"/>
      <c r="H36" s="218"/>
      <c r="I36" s="218"/>
      <c r="J36" s="218"/>
      <c r="K36" s="218"/>
      <c r="L36" s="218"/>
      <c r="M36" s="218"/>
      <c r="N36" s="218"/>
      <c r="O36" s="218"/>
      <c r="P36" s="218"/>
      <c r="Q36" s="218"/>
      <c r="R36" s="218"/>
      <c r="S36" s="218"/>
      <c r="T36" s="218"/>
      <c r="U36" s="218"/>
      <c r="V36" s="218"/>
      <c r="W36" s="218"/>
      <c r="X36" s="218"/>
      <c r="Y36" s="218"/>
      <c r="Z36" s="218"/>
      <c r="AA36" s="218"/>
      <c r="AB36" s="218"/>
      <c r="AC36" s="218"/>
      <c r="AD36" s="218"/>
      <c r="AE36" s="218"/>
      <c r="AF36" s="218"/>
      <c r="AG36" s="218"/>
      <c r="AH36" s="218"/>
      <c r="AI36" s="218"/>
      <c r="AJ36" s="218"/>
      <c r="AK36" s="218"/>
      <c r="BK36" s="19"/>
    </row>
    <row r="37" spans="1:63" ht="15" customHeight="1">
      <c r="A37" s="18"/>
      <c r="B37" s="54"/>
      <c r="C37" s="218"/>
      <c r="D37" s="218"/>
      <c r="E37" s="218"/>
      <c r="F37" s="218"/>
      <c r="G37" s="218"/>
      <c r="H37" s="218"/>
      <c r="I37" s="218"/>
      <c r="J37" s="218"/>
      <c r="K37" s="218"/>
      <c r="L37" s="218"/>
      <c r="M37" s="218"/>
      <c r="N37" s="218"/>
      <c r="O37" s="218"/>
      <c r="P37" s="218"/>
      <c r="Q37" s="218"/>
      <c r="R37" s="218"/>
      <c r="S37" s="218"/>
      <c r="T37" s="218"/>
      <c r="U37" s="218"/>
      <c r="V37" s="218"/>
      <c r="W37" s="218"/>
      <c r="X37" s="218"/>
      <c r="Y37" s="218"/>
      <c r="Z37" s="218"/>
      <c r="AA37" s="218"/>
      <c r="AB37" s="218"/>
      <c r="AC37" s="218"/>
      <c r="AD37" s="218"/>
      <c r="AE37" s="218"/>
      <c r="AF37" s="218"/>
      <c r="AG37" s="218"/>
      <c r="AH37" s="218"/>
      <c r="AI37" s="218"/>
      <c r="AJ37" s="218"/>
      <c r="AK37" s="218"/>
      <c r="BK37" s="19"/>
    </row>
    <row r="38" spans="1:63" ht="15" customHeight="1">
      <c r="A38" s="18"/>
      <c r="B38" s="54"/>
      <c r="C38" s="218"/>
      <c r="D38" s="218"/>
      <c r="E38" s="218"/>
      <c r="F38" s="218"/>
      <c r="G38" s="218"/>
      <c r="H38" s="218"/>
      <c r="I38" s="218"/>
      <c r="J38" s="218"/>
      <c r="K38" s="218"/>
      <c r="L38" s="218"/>
      <c r="M38" s="218"/>
      <c r="N38" s="218"/>
      <c r="O38" s="218"/>
      <c r="P38" s="218"/>
      <c r="Q38" s="218"/>
      <c r="R38" s="218"/>
      <c r="S38" s="218"/>
      <c r="T38" s="218"/>
      <c r="U38" s="218"/>
      <c r="V38" s="218"/>
      <c r="W38" s="218"/>
      <c r="X38" s="218"/>
      <c r="Y38" s="218"/>
      <c r="Z38" s="218"/>
      <c r="AA38" s="218"/>
      <c r="AB38" s="218"/>
      <c r="AC38" s="218"/>
      <c r="AD38" s="218"/>
      <c r="AE38" s="218"/>
      <c r="AF38" s="218"/>
      <c r="AG38" s="218"/>
      <c r="AH38" s="218"/>
      <c r="AI38" s="218"/>
      <c r="AJ38" s="218"/>
      <c r="AK38" s="218"/>
      <c r="BK38" s="19"/>
    </row>
    <row r="39" spans="1:63" ht="15" customHeight="1">
      <c r="A39" s="18"/>
      <c r="B39" s="54"/>
      <c r="C39" s="218"/>
      <c r="D39" s="218"/>
      <c r="E39" s="218"/>
      <c r="F39" s="218"/>
      <c r="G39" s="218"/>
      <c r="H39" s="218"/>
      <c r="I39" s="218"/>
      <c r="J39" s="218"/>
      <c r="K39" s="218"/>
      <c r="L39" s="218"/>
      <c r="M39" s="218"/>
      <c r="N39" s="218"/>
      <c r="O39" s="218"/>
      <c r="P39" s="218"/>
      <c r="Q39" s="218"/>
      <c r="R39" s="218"/>
      <c r="S39" s="218"/>
      <c r="T39" s="218"/>
      <c r="U39" s="218"/>
      <c r="V39" s="218"/>
      <c r="W39" s="218"/>
      <c r="X39" s="218"/>
      <c r="Y39" s="218"/>
      <c r="Z39" s="218"/>
      <c r="AA39" s="218"/>
      <c r="AB39" s="218"/>
      <c r="AC39" s="218"/>
      <c r="AD39" s="218"/>
      <c r="AE39" s="218"/>
      <c r="AF39" s="218"/>
      <c r="AG39" s="218"/>
      <c r="AH39" s="218"/>
      <c r="AI39" s="218"/>
      <c r="AJ39" s="218"/>
      <c r="AK39" s="218"/>
      <c r="BK39" s="19"/>
    </row>
    <row r="40" spans="1:63" ht="15" customHeight="1">
      <c r="A40" s="18"/>
      <c r="B40" s="54"/>
      <c r="C40" s="218"/>
      <c r="D40" s="218"/>
      <c r="E40" s="218"/>
      <c r="F40" s="218"/>
      <c r="G40" s="218"/>
      <c r="H40" s="218"/>
      <c r="I40" s="218"/>
      <c r="J40" s="218"/>
      <c r="K40" s="218"/>
      <c r="L40" s="218"/>
      <c r="M40" s="218"/>
      <c r="N40" s="218"/>
      <c r="O40" s="218"/>
      <c r="P40" s="218"/>
      <c r="Q40" s="218"/>
      <c r="R40" s="218"/>
      <c r="S40" s="218"/>
      <c r="T40" s="218"/>
      <c r="U40" s="218"/>
      <c r="V40" s="218"/>
      <c r="W40" s="218"/>
      <c r="X40" s="218"/>
      <c r="Y40" s="218"/>
      <c r="Z40" s="218"/>
      <c r="AA40" s="218"/>
      <c r="AB40" s="218"/>
      <c r="AC40" s="218"/>
      <c r="AD40" s="218"/>
      <c r="AE40" s="218"/>
      <c r="AF40" s="218"/>
      <c r="AG40" s="218"/>
      <c r="AH40" s="218"/>
      <c r="AI40" s="218"/>
      <c r="AJ40" s="218"/>
      <c r="AK40" s="218"/>
      <c r="BK40" s="19"/>
    </row>
    <row r="41" spans="1:63" ht="15" customHeight="1">
      <c r="A41" s="18"/>
      <c r="B41" s="54"/>
      <c r="C41" s="218"/>
      <c r="D41" s="218"/>
      <c r="E41" s="218"/>
      <c r="F41" s="218"/>
      <c r="G41" s="218"/>
      <c r="H41" s="218"/>
      <c r="I41" s="218"/>
      <c r="J41" s="218"/>
      <c r="K41" s="218"/>
      <c r="L41" s="218"/>
      <c r="M41" s="218"/>
      <c r="N41" s="218"/>
      <c r="O41" s="218"/>
      <c r="P41" s="218"/>
      <c r="Q41" s="218"/>
      <c r="R41" s="218"/>
      <c r="S41" s="218"/>
      <c r="T41" s="218"/>
      <c r="U41" s="218"/>
      <c r="V41" s="218"/>
      <c r="W41" s="218"/>
      <c r="X41" s="218"/>
      <c r="Y41" s="218"/>
      <c r="Z41" s="218"/>
      <c r="AA41" s="218"/>
      <c r="AB41" s="218"/>
      <c r="AC41" s="218"/>
      <c r="AD41" s="218"/>
      <c r="AE41" s="218"/>
      <c r="AF41" s="218"/>
      <c r="AG41" s="218"/>
      <c r="AH41" s="218"/>
      <c r="AI41" s="218"/>
      <c r="AJ41" s="218"/>
      <c r="AK41" s="218"/>
      <c r="BK41" s="19"/>
    </row>
    <row r="42" spans="1:63" ht="15" customHeight="1">
      <c r="A42" s="18"/>
      <c r="B42" s="54"/>
      <c r="C42" s="218"/>
      <c r="D42" s="218"/>
      <c r="E42" s="218"/>
      <c r="F42" s="218"/>
      <c r="G42" s="218"/>
      <c r="H42" s="218"/>
      <c r="I42" s="218"/>
      <c r="J42" s="218"/>
      <c r="K42" s="218"/>
      <c r="L42" s="218"/>
      <c r="M42" s="218"/>
      <c r="N42" s="218"/>
      <c r="O42" s="218"/>
      <c r="P42" s="218"/>
      <c r="Q42" s="218"/>
      <c r="R42" s="218"/>
      <c r="S42" s="218"/>
      <c r="T42" s="218"/>
      <c r="U42" s="218"/>
      <c r="V42" s="218"/>
      <c r="W42" s="218"/>
      <c r="X42" s="218"/>
      <c r="Y42" s="218"/>
      <c r="Z42" s="218"/>
      <c r="AA42" s="218"/>
      <c r="AB42" s="218"/>
      <c r="AC42" s="218"/>
      <c r="AD42" s="218"/>
      <c r="AE42" s="218"/>
      <c r="AF42" s="218"/>
      <c r="AG42" s="218"/>
      <c r="AH42" s="218"/>
      <c r="AI42" s="218"/>
      <c r="AJ42" s="218"/>
      <c r="AK42" s="218"/>
      <c r="BK42" s="19"/>
    </row>
    <row r="43" spans="1:63" ht="15" customHeight="1">
      <c r="A43" s="18"/>
      <c r="B43" s="54"/>
      <c r="C43" s="218"/>
      <c r="D43" s="218"/>
      <c r="E43" s="218"/>
      <c r="F43" s="218"/>
      <c r="G43" s="218"/>
      <c r="H43" s="218"/>
      <c r="I43" s="218"/>
      <c r="J43" s="218"/>
      <c r="K43" s="218"/>
      <c r="L43" s="218"/>
      <c r="M43" s="218"/>
      <c r="N43" s="218"/>
      <c r="O43" s="218"/>
      <c r="P43" s="218"/>
      <c r="Q43" s="218"/>
      <c r="R43" s="218"/>
      <c r="S43" s="218"/>
      <c r="T43" s="218"/>
      <c r="U43" s="218"/>
      <c r="V43" s="218"/>
      <c r="W43" s="218"/>
      <c r="X43" s="218"/>
      <c r="Y43" s="218"/>
      <c r="Z43" s="218"/>
      <c r="AA43" s="218"/>
      <c r="AB43" s="218"/>
      <c r="AC43" s="218"/>
      <c r="AD43" s="218"/>
      <c r="AE43" s="218"/>
      <c r="AF43" s="218"/>
      <c r="AG43" s="218"/>
      <c r="AH43" s="218"/>
      <c r="AI43" s="218"/>
      <c r="AJ43" s="218"/>
      <c r="AK43" s="218"/>
      <c r="BK43" s="19"/>
    </row>
    <row r="44" spans="1:63" ht="15" customHeight="1">
      <c r="A44" s="18"/>
      <c r="B44" s="54"/>
      <c r="C44" s="218"/>
      <c r="D44" s="218"/>
      <c r="E44" s="218"/>
      <c r="F44" s="218"/>
      <c r="G44" s="218"/>
      <c r="H44" s="218"/>
      <c r="I44" s="218"/>
      <c r="J44" s="218"/>
      <c r="K44" s="218"/>
      <c r="L44" s="218"/>
      <c r="M44" s="218"/>
      <c r="N44" s="218"/>
      <c r="O44" s="218"/>
      <c r="P44" s="218"/>
      <c r="Q44" s="218"/>
      <c r="R44" s="218"/>
      <c r="S44" s="218"/>
      <c r="T44" s="218"/>
      <c r="U44" s="218"/>
      <c r="V44" s="218"/>
      <c r="W44" s="218"/>
      <c r="X44" s="218"/>
      <c r="Y44" s="218"/>
      <c r="Z44" s="218"/>
      <c r="AA44" s="218"/>
      <c r="AB44" s="218"/>
      <c r="AC44" s="218"/>
      <c r="AD44" s="218"/>
      <c r="AE44" s="218"/>
      <c r="AF44" s="218"/>
      <c r="AG44" s="218"/>
      <c r="AH44" s="218"/>
      <c r="AI44" s="218"/>
      <c r="AJ44" s="218"/>
      <c r="AK44" s="218"/>
      <c r="BK44" s="19"/>
    </row>
    <row r="45" spans="1:63" ht="15" customHeight="1">
      <c r="A45" s="18"/>
      <c r="B45" s="54"/>
      <c r="C45" s="218"/>
      <c r="D45" s="218"/>
      <c r="E45" s="218"/>
      <c r="F45" s="218"/>
      <c r="G45" s="218"/>
      <c r="H45" s="218"/>
      <c r="I45" s="218"/>
      <c r="J45" s="218"/>
      <c r="K45" s="218"/>
      <c r="L45" s="218"/>
      <c r="M45" s="218"/>
      <c r="N45" s="218"/>
      <c r="O45" s="218"/>
      <c r="P45" s="218"/>
      <c r="Q45" s="218"/>
      <c r="R45" s="218"/>
      <c r="S45" s="218"/>
      <c r="T45" s="218"/>
      <c r="U45" s="218"/>
      <c r="V45" s="218"/>
      <c r="W45" s="218"/>
      <c r="X45" s="218"/>
      <c r="Y45" s="218"/>
      <c r="Z45" s="218"/>
      <c r="AA45" s="218"/>
      <c r="AB45" s="218"/>
      <c r="AC45" s="218"/>
      <c r="AD45" s="218"/>
      <c r="AE45" s="218"/>
      <c r="AF45" s="218"/>
      <c r="AG45" s="218"/>
      <c r="AH45" s="218"/>
      <c r="AI45" s="218"/>
      <c r="AJ45" s="218"/>
      <c r="AK45" s="218"/>
      <c r="BK45" s="19"/>
    </row>
    <row r="46" spans="1:63" ht="15" customHeight="1">
      <c r="A46" s="18"/>
      <c r="B46" s="54"/>
      <c r="C46" s="218"/>
      <c r="D46" s="218"/>
      <c r="E46" s="218"/>
      <c r="F46" s="218"/>
      <c r="G46" s="218"/>
      <c r="H46" s="218"/>
      <c r="I46" s="218"/>
      <c r="J46" s="218"/>
      <c r="K46" s="218"/>
      <c r="L46" s="218"/>
      <c r="M46" s="218"/>
      <c r="N46" s="218"/>
      <c r="O46" s="218"/>
      <c r="P46" s="218"/>
      <c r="Q46" s="218"/>
      <c r="R46" s="218"/>
      <c r="S46" s="218"/>
      <c r="T46" s="218"/>
      <c r="U46" s="218"/>
      <c r="V46" s="218"/>
      <c r="W46" s="218"/>
      <c r="X46" s="218"/>
      <c r="Y46" s="218"/>
      <c r="Z46" s="218"/>
      <c r="AA46" s="218"/>
      <c r="AB46" s="218"/>
      <c r="AC46" s="218"/>
      <c r="AD46" s="218"/>
      <c r="AE46" s="218"/>
      <c r="AF46" s="218"/>
      <c r="AG46" s="218"/>
      <c r="AH46" s="218"/>
      <c r="AI46" s="218"/>
      <c r="AJ46" s="218"/>
      <c r="AK46" s="218"/>
      <c r="BK46" s="19"/>
    </row>
    <row r="47" spans="1:63" ht="15" customHeight="1">
      <c r="A47" s="18"/>
      <c r="B47" s="54"/>
      <c r="C47" s="218"/>
      <c r="D47" s="218"/>
      <c r="E47" s="218"/>
      <c r="F47" s="218"/>
      <c r="G47" s="218"/>
      <c r="H47" s="218"/>
      <c r="I47" s="218"/>
      <c r="J47" s="218"/>
      <c r="K47" s="218"/>
      <c r="L47" s="218"/>
      <c r="M47" s="218"/>
      <c r="N47" s="218"/>
      <c r="O47" s="218"/>
      <c r="P47" s="218"/>
      <c r="Q47" s="218"/>
      <c r="R47" s="218"/>
      <c r="S47" s="218"/>
      <c r="T47" s="218"/>
      <c r="U47" s="218"/>
      <c r="V47" s="218"/>
      <c r="W47" s="218"/>
      <c r="X47" s="218"/>
      <c r="Y47" s="218"/>
      <c r="Z47" s="218"/>
      <c r="AA47" s="218"/>
      <c r="AB47" s="218"/>
      <c r="AC47" s="218"/>
      <c r="AD47" s="218"/>
      <c r="AE47" s="218"/>
      <c r="AF47" s="218"/>
      <c r="AG47" s="218"/>
      <c r="AH47" s="218"/>
      <c r="AI47" s="218"/>
      <c r="AJ47" s="218"/>
      <c r="AK47" s="218"/>
      <c r="BK47" s="19"/>
    </row>
    <row r="48" spans="1:63" ht="15" customHeight="1">
      <c r="A48" s="18"/>
      <c r="B48" s="54"/>
      <c r="C48" s="218"/>
      <c r="D48" s="218"/>
      <c r="E48" s="218"/>
      <c r="F48" s="218"/>
      <c r="G48" s="218"/>
      <c r="H48" s="218"/>
      <c r="I48" s="218"/>
      <c r="J48" s="218"/>
      <c r="K48" s="218"/>
      <c r="L48" s="218"/>
      <c r="M48" s="218"/>
      <c r="N48" s="218"/>
      <c r="O48" s="218"/>
      <c r="P48" s="218"/>
      <c r="Q48" s="218"/>
      <c r="R48" s="218"/>
      <c r="S48" s="218"/>
      <c r="T48" s="218"/>
      <c r="U48" s="218"/>
      <c r="V48" s="218"/>
      <c r="W48" s="218"/>
      <c r="X48" s="218"/>
      <c r="Y48" s="218"/>
      <c r="Z48" s="218"/>
      <c r="AA48" s="218"/>
      <c r="AB48" s="218"/>
      <c r="AC48" s="218"/>
      <c r="AD48" s="218"/>
      <c r="AE48" s="218"/>
      <c r="AF48" s="218"/>
      <c r="AG48" s="218"/>
      <c r="AH48" s="218"/>
      <c r="AI48" s="218"/>
      <c r="AJ48" s="218"/>
      <c r="AK48" s="218"/>
      <c r="BK48" s="19"/>
    </row>
    <row r="49" spans="1:63" ht="15" customHeight="1">
      <c r="A49" s="18"/>
      <c r="B49" s="54"/>
      <c r="C49" s="218"/>
      <c r="D49" s="218"/>
      <c r="E49" s="218"/>
      <c r="F49" s="218"/>
      <c r="G49" s="218"/>
      <c r="H49" s="218"/>
      <c r="I49" s="218"/>
      <c r="J49" s="218"/>
      <c r="K49" s="218"/>
      <c r="L49" s="218"/>
      <c r="M49" s="218"/>
      <c r="N49" s="218"/>
      <c r="O49" s="218"/>
      <c r="P49" s="218"/>
      <c r="Q49" s="218"/>
      <c r="R49" s="218"/>
      <c r="S49" s="218"/>
      <c r="T49" s="218"/>
      <c r="U49" s="218"/>
      <c r="V49" s="218"/>
      <c r="W49" s="218"/>
      <c r="X49" s="218"/>
      <c r="Y49" s="218"/>
      <c r="Z49" s="218"/>
      <c r="AA49" s="218"/>
      <c r="AB49" s="218"/>
      <c r="AC49" s="218"/>
      <c r="AD49" s="218"/>
      <c r="AE49" s="218"/>
      <c r="AF49" s="218"/>
      <c r="AG49" s="218"/>
      <c r="AH49" s="218"/>
      <c r="AI49" s="218"/>
      <c r="AJ49" s="218"/>
      <c r="AK49" s="218"/>
      <c r="BK49" s="19"/>
    </row>
    <row r="50" spans="1:63" ht="15" customHeight="1">
      <c r="A50" s="18"/>
      <c r="B50" s="54"/>
      <c r="C50" s="218"/>
      <c r="D50" s="218"/>
      <c r="E50" s="218"/>
      <c r="F50" s="218"/>
      <c r="G50" s="218"/>
      <c r="H50" s="218"/>
      <c r="I50" s="218"/>
      <c r="J50" s="218"/>
      <c r="K50" s="218"/>
      <c r="L50" s="218"/>
      <c r="M50" s="218"/>
      <c r="N50" s="218"/>
      <c r="O50" s="218"/>
      <c r="P50" s="218"/>
      <c r="Q50" s="218"/>
      <c r="R50" s="218"/>
      <c r="S50" s="218"/>
      <c r="T50" s="218"/>
      <c r="U50" s="218"/>
      <c r="V50" s="218"/>
      <c r="W50" s="218"/>
      <c r="X50" s="218"/>
      <c r="Y50" s="218"/>
      <c r="Z50" s="218"/>
      <c r="AA50" s="218"/>
      <c r="AB50" s="218"/>
      <c r="AC50" s="218"/>
      <c r="AD50" s="218"/>
      <c r="AE50" s="218"/>
      <c r="AF50" s="218"/>
      <c r="AG50" s="218"/>
      <c r="AH50" s="218"/>
      <c r="AI50" s="218"/>
      <c r="AJ50" s="218"/>
      <c r="AK50" s="218"/>
      <c r="BK50" s="19"/>
    </row>
    <row r="51" spans="1:63" ht="15" customHeight="1">
      <c r="A51" s="18"/>
      <c r="B51" s="204" t="s">
        <v>245</v>
      </c>
      <c r="C51" s="204"/>
      <c r="D51" s="204"/>
      <c r="E51" s="204"/>
      <c r="F51" s="204"/>
      <c r="G51" s="204"/>
      <c r="H51" s="204"/>
      <c r="I51" s="204"/>
      <c r="J51" s="204"/>
      <c r="K51" s="204"/>
      <c r="L51" s="204"/>
      <c r="M51" s="204"/>
      <c r="N51" s="204"/>
      <c r="O51" s="204"/>
      <c r="P51" s="204"/>
      <c r="Q51" s="204"/>
      <c r="R51" s="204"/>
      <c r="S51" s="204"/>
      <c r="T51" s="204"/>
      <c r="U51" s="204"/>
      <c r="V51" s="204"/>
      <c r="W51" s="204"/>
      <c r="X51" s="204"/>
      <c r="Y51" s="204"/>
      <c r="Z51" s="204"/>
      <c r="AA51" s="204"/>
      <c r="AB51" s="204"/>
      <c r="AC51" s="204"/>
      <c r="AD51" s="204"/>
      <c r="AE51" s="204"/>
      <c r="AF51" s="204"/>
      <c r="AG51" s="204"/>
      <c r="AH51" s="204"/>
      <c r="AI51" s="204"/>
      <c r="AJ51" s="204"/>
      <c r="AK51" s="204"/>
      <c r="BK51" s="19"/>
    </row>
    <row r="52" spans="1:63" ht="15" customHeight="1">
      <c r="A52" s="18"/>
      <c r="B52" s="54"/>
      <c r="C52" s="219" t="s">
        <v>246</v>
      </c>
      <c r="D52" s="219"/>
      <c r="E52" s="219"/>
      <c r="F52" s="219"/>
      <c r="G52" s="219"/>
      <c r="H52" s="219"/>
      <c r="I52" s="219"/>
      <c r="J52" s="219"/>
      <c r="K52" s="219"/>
      <c r="L52" s="219"/>
      <c r="M52" s="219"/>
      <c r="N52" s="219"/>
      <c r="O52" s="219"/>
      <c r="P52" s="219"/>
      <c r="Q52" s="219"/>
      <c r="R52" s="219"/>
      <c r="S52" s="219"/>
      <c r="T52" s="219"/>
      <c r="U52" s="219"/>
      <c r="V52" s="219"/>
      <c r="W52" s="219"/>
      <c r="X52" s="219"/>
      <c r="Y52" s="219"/>
      <c r="Z52" s="219"/>
      <c r="AA52" s="219"/>
      <c r="AB52" s="219"/>
      <c r="AC52" s="219"/>
      <c r="AD52" s="219"/>
      <c r="AE52" s="219"/>
      <c r="AF52" s="219"/>
      <c r="AG52" s="219"/>
      <c r="AH52" s="219"/>
      <c r="AI52" s="219"/>
      <c r="AJ52" s="219"/>
      <c r="AK52" s="219"/>
      <c r="BK52" s="19"/>
    </row>
  </sheetData>
  <mergeCells count="37">
    <mergeCell ref="A4:G4"/>
    <mergeCell ref="H4:T4"/>
    <mergeCell ref="U4:Y4"/>
    <mergeCell ref="C11:AK11"/>
    <mergeCell ref="A1:J1"/>
    <mergeCell ref="K1:V1"/>
    <mergeCell ref="W1:AO3"/>
    <mergeCell ref="B8:AK8"/>
    <mergeCell ref="B10:AK10"/>
    <mergeCell ref="C9:AK9"/>
    <mergeCell ref="A2:J3"/>
    <mergeCell ref="K2:V3"/>
    <mergeCell ref="AY2:BB3"/>
    <mergeCell ref="AY1:BB1"/>
    <mergeCell ref="Z4:AO4"/>
    <mergeCell ref="AP4:BK4"/>
    <mergeCell ref="BC1:BG1"/>
    <mergeCell ref="BH1:BK1"/>
    <mergeCell ref="BC2:BG3"/>
    <mergeCell ref="BH2:BK3"/>
    <mergeCell ref="AP1:AS1"/>
    <mergeCell ref="AT1:AX1"/>
    <mergeCell ref="AP2:AS3"/>
    <mergeCell ref="AT2:AX3"/>
    <mergeCell ref="B12:AK12"/>
    <mergeCell ref="C13:AK24"/>
    <mergeCell ref="B25:AK25"/>
    <mergeCell ref="C26:AK26"/>
    <mergeCell ref="B29:AK29"/>
    <mergeCell ref="C35:AK50"/>
    <mergeCell ref="B51:AK51"/>
    <mergeCell ref="C52:AK52"/>
    <mergeCell ref="C30:AK30"/>
    <mergeCell ref="B31:AK31"/>
    <mergeCell ref="C32:AK32"/>
    <mergeCell ref="C33:AK33"/>
    <mergeCell ref="B34:AK34"/>
  </mergeCells>
  <hyperlinks>
    <hyperlink ref="C26" r:id="rId1" display="pos-monitoring@luvina.net" xr:uid="{A95148A7-0F99-6A44-BD78-86A9F1F467B0}"/>
    <hyperlink ref="C52" r:id="rId2" display="pos-monitoring@luvina.net" xr:uid="{E8CD2ED4-C59A-124A-B8C7-C573A004EE26}"/>
    <hyperlink ref="C32" r:id="rId3" xr:uid="{BEEE8CC0-0762-1F40-8837-B326D6EB1E58}"/>
    <hyperlink ref="C32:Y32" r:id="rId4" display="aws-pos-alert@luvina.net" xr:uid="{7F940B86-FDF7-9C40-9FE0-58ED2A70E696}"/>
    <hyperlink ref="C26:Y26" r:id="rId5" display="pos-monitoring@luvina.net" xr:uid="{7211B815-2451-437E-AF89-9645AEB74ACA}"/>
    <hyperlink ref="C52:Y52" r:id="rId6" display="pos-monitoring@luvina.net" xr:uid="{03177852-A430-447A-85CD-B76C06274E2C}"/>
  </hyperlinks>
  <printOptions horizontalCentered="1" verticalCentered="1"/>
  <pageMargins left="0.59055118110236204" right="0.59055118110236204" top="0.39370078740157499" bottom="0.39370078740157499" header="0.31496062992126" footer="0.31496062992126"/>
  <pageSetup paperSize="9" scale="66" orientation="landscape" r:id="rId7"/>
  <headerFooter>
    <oddHeader>&amp;R&amp;F</oddHeader>
    <oddFooter>&amp;C&amp;P / &amp;N ページ</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4a0992f-8328-4daf-870b-3d2b13d3e940">
      <Terms xmlns="http://schemas.microsoft.com/office/infopath/2007/PartnerControls"/>
    </lcf76f155ced4ddcb4097134ff3c332f>
    <TaxCatchAll xmlns="4a37abda-15dd-4e37-8275-3b7fb2897b6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F884365-3261-4917-8AB9-72241B0DFBB9}"/>
</file>

<file path=customXml/itemProps2.xml><?xml version="1.0" encoding="utf-8"?>
<ds:datastoreItem xmlns:ds="http://schemas.openxmlformats.org/officeDocument/2006/customXml" ds:itemID="{6945C2C5-631C-46F6-9501-C3737A722CDE}"/>
</file>

<file path=customXml/itemProps3.xml><?xml version="1.0" encoding="utf-8"?>
<ds:datastoreItem xmlns:ds="http://schemas.openxmlformats.org/officeDocument/2006/customXml" ds:itemID="{E7B92DDF-9C14-43AB-A93C-5794B0FB7D7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Tran Van Dat</cp:lastModifiedBy>
  <cp:revision/>
  <dcterms:created xsi:type="dcterms:W3CDTF">2015-06-05T18:19:34Z</dcterms:created>
  <dcterms:modified xsi:type="dcterms:W3CDTF">2025-12-22T05:14:20Z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